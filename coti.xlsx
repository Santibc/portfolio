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portfolio\"/>
    </mc:Choice>
  </mc:AlternateContent>
  <xr:revisionPtr revIDLastSave="0" documentId="8_{C7671829-9652-4BAE-B48C-DE2AC6E111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TIZACION (2)" sheetId="3" r:id="rId1"/>
  </sheets>
  <definedNames>
    <definedName name="_xlnm.Print_Area" localSheetId="0">'COTIZACION (2)'!$A$1:$H$41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3" l="1"/>
  <c r="H34" i="3"/>
  <c r="H30" i="3"/>
  <c r="H33" i="3"/>
  <c r="H32" i="3"/>
  <c r="H29" i="3"/>
  <c r="H28" i="3"/>
  <c r="H27" i="3" l="1"/>
  <c r="H26" i="3" l="1"/>
  <c r="H25" i="3"/>
  <c r="H35" i="3" l="1"/>
  <c r="H37" i="3" l="1"/>
</calcChain>
</file>

<file path=xl/sharedStrings.xml><?xml version="1.0" encoding="utf-8"?>
<sst xmlns="http://schemas.openxmlformats.org/spreadsheetml/2006/main" count="33" uniqueCount="32">
  <si>
    <t>REFERENCIA CODIGO</t>
  </si>
  <si>
    <t>CANTIDAD</t>
  </si>
  <si>
    <t>VALOR UNITARIO</t>
  </si>
  <si>
    <t>SUBTOTAL</t>
  </si>
  <si>
    <t>TOTAL</t>
  </si>
  <si>
    <t>IVA</t>
  </si>
  <si>
    <t xml:space="preserve">NIT  </t>
  </si>
  <si>
    <t>Telefono</t>
  </si>
  <si>
    <t>Direccion</t>
  </si>
  <si>
    <t xml:space="preserve">Cliente </t>
  </si>
  <si>
    <t xml:space="preserve">Correo electronico </t>
  </si>
  <si>
    <t>Fecha</t>
  </si>
  <si>
    <t>Asesor</t>
  </si>
  <si>
    <t>FOTO</t>
  </si>
  <si>
    <t>DESCRIPCION</t>
  </si>
  <si>
    <t>TOTAL ANTES DE IVA</t>
  </si>
  <si>
    <t>LA FECHA DE ENTREGA SE DETERMINARÁ EN EL MOMENTO DE EFECTUAR EL PEDIDO, LOS PRECIOS DE ESTA OFERTA SE PODRÁN MODIFICAR SIN PREVIO AVISO</t>
  </si>
  <si>
    <r>
      <rPr>
        <b/>
        <sz val="12"/>
        <rFont val="Trebuchet MS"/>
        <family val="2"/>
      </rPr>
      <t>LOS METODOS DE PAGO EN EFECTIVO, POR TARJETA O TRANSFERENCIA A NUESTRA CUENTA AHORROS DE BANCOLOMBIA # 825-00005436 A NOMBRE DE INOVATECH GLOBAL SAS</t>
    </r>
    <r>
      <rPr>
        <sz val="10"/>
        <rFont val="Trebuchet MS"/>
        <family val="2"/>
      </rPr>
      <t xml:space="preserve">
Autorizo a INOVATECH GLOBAL  S.A.S. para recaudar, almacenar, utilizar y actualizar mis datos personales con fines exclusicamente comerciales garantizándome que esta información no será revelada a terceros salvo orden de autoridad competente - Ley 1581 de 2012, Decreto 1377 de 2013.</t>
    </r>
  </si>
  <si>
    <t>INNOVATECH GLOBAL SAS</t>
  </si>
  <si>
    <t>NIT: 901543944-6</t>
  </si>
  <si>
    <t>TELEFONO: 3145954725 - 305 2774730 - 3152443850</t>
  </si>
  <si>
    <t>DIRECCION: CALLE 24AN #5N 58 LOCAL 12 CC ASTROCENTRO - SEDE NORTE</t>
  </si>
  <si>
    <t>DISTRIBUIMOS LAS MEJORES MARCAS</t>
  </si>
  <si>
    <t>WEB: WWW.INNOVATECHGLOBAL.COM.CO</t>
  </si>
  <si>
    <t>CORREO: comercial4@innovatechglobal.com.co</t>
  </si>
  <si>
    <t>COTIZACION</t>
  </si>
  <si>
    <t>MIGUEL GRIJALBA</t>
  </si>
  <si>
    <t>DS-2CE10KF0T-LPFS</t>
  </si>
  <si>
    <t>CÁMARA BALA 3 K COLORVU SMART HYBRID / LENTE FIJA 2.8/3.6 MM / IR+BLANCO 20 M / MICRÓFONO / IP67</t>
  </si>
  <si>
    <t>ACCESORIOS</t>
  </si>
  <si>
    <t>ACCESORIOS DE INSTALACION, FUENTE, BALU Y CAJA</t>
  </si>
  <si>
    <t>NANCY LORENA PEREDDO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</si>
</sst>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_-&quot;$&quot;* #,##0_-;\-&quot;$&quot;* #,##0_-;_-&quot;$&quot;* &quot;-&quot;_-;_-@_-"/>
  </numFmts>
  <fonts count="24">
    <font>
      <sz val="10"/>
      <name val="Arial"/>
    </font>
    <font>
      <sz val="11"/>
      <color theme="1"/>
      <name val="Calibri"/>
      <family val="2"/>
      <scheme val="minor"/>
    </font>
    <font>
      <sz val="10"/>
      <name val="Trebuchet MS"/>
      <family val="2"/>
    </font>
    <font>
      <b/>
      <sz val="10"/>
      <name val="Trebuchet MS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4"/>
      <name val="Trebuchet MS"/>
      <family val="2"/>
    </font>
    <font>
      <b/>
      <sz val="12"/>
      <name val="Trebuchet MS"/>
      <family val="2"/>
    </font>
    <font>
      <sz val="10"/>
      <name val="Arial"/>
      <family val="2"/>
    </font>
    <font>
      <sz val="14"/>
      <name val="Trebuchet MS"/>
      <family val="2"/>
    </font>
    <font>
      <b/>
      <sz val="8"/>
      <name val="Trebuchet MS"/>
      <family val="2"/>
    </font>
    <font>
      <b/>
      <sz val="11"/>
      <name val="Trebuchet MS"/>
      <family val="2"/>
    </font>
    <font>
      <u/>
      <sz val="10"/>
      <color theme="10"/>
      <name val="Arial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sz val="14"/>
      <name val="Arial"/>
      <family val="2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8"/>
      <color theme="1"/>
      <name val="Trebuchet MS"/>
      <family val="2"/>
    </font>
    <font>
      <b/>
      <sz val="14"/>
      <color theme="0"/>
      <name val="Arial MT"/>
    </font>
    <font>
      <b/>
      <sz val="14"/>
      <color theme="0"/>
      <name val="Trebuchet MS"/>
      <family val="2"/>
    </font>
    <font>
      <b/>
      <sz val="16"/>
      <color theme="0"/>
      <name val="Trebuchet MS"/>
      <family val="2"/>
    </font>
    <font>
      <sz val="12"/>
      <name val="Trebuchet MS"/>
      <family val="2"/>
    </font>
    <font>
      <b/>
      <sz val="12"/>
      <color theme="0"/>
      <name val="Arial MT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7">
    <xf numFmtId="0" fontId="0" fillId="0" borderId="0"/>
    <xf numFmtId="165" fontId="4" fillId="0" borderId="0" applyFont="0" applyFill="0" applyBorder="0" applyAlignment="0" applyProtection="0"/>
    <xf numFmtId="0" fontId="5" fillId="0" borderId="0"/>
    <xf numFmtId="0" fontId="8" fillId="0" borderId="0"/>
    <xf numFmtId="0" fontId="4" fillId="0" borderId="0"/>
    <xf numFmtId="165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7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2" fillId="0" borderId="1" xfId="0" applyFont="1" applyBorder="1"/>
    <xf numFmtId="0" fontId="12" fillId="0" borderId="0" xfId="6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164" fontId="6" fillId="0" borderId="0" xfId="0" applyNumberFormat="1" applyFont="1" applyAlignment="1">
      <alignment horizontal="center" vertical="center" wrapText="1"/>
    </xf>
    <xf numFmtId="0" fontId="14" fillId="0" borderId="0" xfId="0" applyFont="1"/>
    <xf numFmtId="0" fontId="0" fillId="0" borderId="5" xfId="0" applyBorder="1"/>
    <xf numFmtId="11" fontId="11" fillId="0" borderId="5" xfId="0" applyNumberFormat="1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165" fontId="9" fillId="0" borderId="5" xfId="1" applyFont="1" applyBorder="1" applyAlignment="1">
      <alignment horizontal="center" vertical="center"/>
    </xf>
    <xf numFmtId="165" fontId="6" fillId="0" borderId="5" xfId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5" fontId="0" fillId="0" borderId="0" xfId="0" applyNumberFormat="1"/>
    <xf numFmtId="0" fontId="7" fillId="0" borderId="0" xfId="0" applyFont="1" applyAlignment="1">
      <alignment horizontal="center"/>
    </xf>
    <xf numFmtId="0" fontId="16" fillId="2" borderId="3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65" fontId="18" fillId="3" borderId="5" xfId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1" fillId="2" borderId="5" xfId="0" applyFont="1" applyFill="1" applyBorder="1" applyAlignment="1">
      <alignment horizontal="center"/>
    </xf>
    <xf numFmtId="0" fontId="19" fillId="2" borderId="5" xfId="0" applyFont="1" applyFill="1" applyBorder="1" applyAlignment="1">
      <alignment vertical="center"/>
    </xf>
    <xf numFmtId="0" fontId="15" fillId="0" borderId="5" xfId="0" applyFont="1" applyBorder="1" applyAlignment="1">
      <alignment horizontal="left" vertical="center"/>
    </xf>
    <xf numFmtId="0" fontId="20" fillId="2" borderId="5" xfId="0" applyFont="1" applyFill="1" applyBorder="1" applyAlignment="1">
      <alignment vertical="center"/>
    </xf>
    <xf numFmtId="14" fontId="15" fillId="0" borderId="5" xfId="0" applyNumberFormat="1" applyFont="1" applyBorder="1" applyAlignment="1">
      <alignment horizontal="left" vertical="center"/>
    </xf>
    <xf numFmtId="0" fontId="6" fillId="0" borderId="0" xfId="0" applyFont="1"/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2" fillId="0" borderId="0" xfId="0" applyFont="1"/>
    <xf numFmtId="0" fontId="23" fillId="2" borderId="5" xfId="0" applyFont="1" applyFill="1" applyBorder="1" applyAlignment="1">
      <alignment vertical="center"/>
    </xf>
    <xf numFmtId="1" fontId="14" fillId="0" borderId="5" xfId="0" applyNumberFormat="1" applyFont="1" applyBorder="1" applyAlignment="1">
      <alignment horizontal="center"/>
    </xf>
    <xf numFmtId="0" fontId="20" fillId="2" borderId="6" xfId="0" applyFont="1" applyFill="1" applyBorder="1" applyAlignment="1">
      <alignment horizontal="center" vertical="center" wrapText="1"/>
    </xf>
    <xf numFmtId="0" fontId="4" fillId="0" borderId="0" xfId="0" applyFont="1"/>
    <xf numFmtId="0" fontId="12" fillId="0" borderId="5" xfId="6" applyBorder="1" applyAlignment="1">
      <alignment horizontal="left" vertical="center"/>
    </xf>
    <xf numFmtId="164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14" fontId="1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22" fillId="0" borderId="0" xfId="0" applyFont="1" applyAlignment="1">
      <alignment horizontal="left"/>
    </xf>
  </cellXfs>
  <cellStyles count="7">
    <cellStyle name="Hipervínculo" xfId="6" builtinId="8"/>
    <cellStyle name="Moneda [0]" xfId="1" builtinId="7"/>
    <cellStyle name="Moneda [0] 2" xfId="5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</cellStyles>
  <dxfs count="0"/>
  <tableStyles count="0" defaultTableStyle="TableStyleMedium2" defaultPivotStyle="PivotStyleLight16"/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34</xdr:row>
      <xdr:rowOff>0</xdr:rowOff>
    </xdr:from>
    <xdr:to>
      <xdr:col>7</xdr:col>
      <xdr:colOff>304800</xdr:colOff>
      <xdr:row>34</xdr:row>
      <xdr:rowOff>301625</xdr:rowOff>
    </xdr:to>
    <xdr:sp macro="" textlink="">
      <xdr:nvSpPr>
        <xdr:cNvPr id="4" name="AutoShape 3" descr="Resultado de imagen para TAG-0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2249150" y="38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304800</xdr:colOff>
      <xdr:row>34</xdr:row>
      <xdr:rowOff>301625</xdr:rowOff>
    </xdr:to>
    <xdr:sp macro="" textlink="">
      <xdr:nvSpPr>
        <xdr:cNvPr id="5" name="AutoShape 4" descr="Resultado de imagen para TAG-0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2249150" y="38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301625</xdr:rowOff>
    </xdr:to>
    <xdr:sp macro="" textlink="">
      <xdr:nvSpPr>
        <xdr:cNvPr id="1025" name="AutoShape 1" descr="https://mail.google.com/mail/u/0?ui=2&amp;ik=06eeef27c6&amp;attid=0.1&amp;permmsgid=msg-f:1610613389312646860&amp;th=165a0c581c77decc&amp;view=fimg&amp;sz=s0-l75-ft&amp;attbid=ANGjdJ9T5ioHngUHKQn5nzWRHafxNjg1PvS7Lra4k3zIsWVlBk8y6tfnI2y18O00Yx_J0ceElSpdy2t1z4-h43xk0Kg_xaBp-Rz84h6xDa0Y-3dGYbMVfB5HDC0SEHo&amp;disp=emb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20980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9" name="AutoShape 1" descr="https://mail.google.com/mail/u/0?ui=2&amp;ik=06eeef27c6&amp;attid=0.1&amp;permmsgid=msg-f:1610613389312646860&amp;th=165a0c581c77decc&amp;view=fimg&amp;sz=s0-l75-ft&amp;attbid=ANGjdJ9T5ioHngUHKQn5nzWRHafxNjg1PvS7Lra4k3zIsWVlBk8y6tfnI2y18O00Yx_J0ceElSpdy2t1z4-h43xk0Kg_xaBp-Rz84h6xDa0Y-3dGYbMVfB5HDC0SEHo&amp;disp=emb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2105025" y="663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5" name="AutoShape 2" descr="Resultado de imagen para soporte zl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276350" y="11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4" name="AutoShape 2" descr="Resultado de imagen para soporte zl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276350" y="11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0" name="AutoShape 2" descr="Resultado de imagen para soporte zl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276350" y="11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3" name="AutoShape 2" descr="Resultado de imagen para soporte zl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276350" y="11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23" name="AutoShape 2" descr="Resultado de imagen para soporte zl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276350" y="11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34</xdr:row>
      <xdr:rowOff>0</xdr:rowOff>
    </xdr:from>
    <xdr:to>
      <xdr:col>2</xdr:col>
      <xdr:colOff>304800</xdr:colOff>
      <xdr:row>34</xdr:row>
      <xdr:rowOff>301625</xdr:rowOff>
    </xdr:to>
    <xdr:sp macro="" textlink="">
      <xdr:nvSpPr>
        <xdr:cNvPr id="38" name="AutoShape 2" descr="Resultado de imagen para soporte zl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276350" y="33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7" name="AutoShape 2" descr="Resultado de imagen para soporte zl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276350" y="11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35" name="AutoShape 2" descr="Resultado de imagen para soporte zl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990600" y="86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36" name="AutoShape 2" descr="Resultado de imagen para soporte zl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990600" y="86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18" name="AutoShape 2" descr="Resultado de imagen para soporte zl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2105025" y="50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19" name="AutoShape 2" descr="Resultado de imagen para soporte zl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2105025" y="50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0" name="AutoShape 2" descr="Resultado de imagen para soporte zl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2105025" y="50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38100</xdr:colOff>
      <xdr:row>0</xdr:row>
      <xdr:rowOff>0</xdr:rowOff>
    </xdr:from>
    <xdr:to>
      <xdr:col>3</xdr:col>
      <xdr:colOff>2032000</xdr:colOff>
      <xdr:row>6</xdr:row>
      <xdr:rowOff>187155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2F3036FC-0D7B-1FDF-C9C6-F4DBAA2FD3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51" t="35597" r="5755" b="38173"/>
        <a:stretch/>
      </xdr:blipFill>
      <xdr:spPr>
        <a:xfrm>
          <a:off x="762000" y="0"/>
          <a:ext cx="3848100" cy="1114255"/>
        </a:xfrm>
        <a:prstGeom prst="rect">
          <a:avLst/>
        </a:prstGeom>
      </xdr:spPr>
    </xdr:pic>
    <xdr:clientData/>
  </xdr:twoCellAnchor>
  <xdr:twoCellAnchor editAs="oneCell">
    <xdr:from>
      <xdr:col>4</xdr:col>
      <xdr:colOff>917624</xdr:colOff>
      <xdr:row>8</xdr:row>
      <xdr:rowOff>139700</xdr:rowOff>
    </xdr:from>
    <xdr:to>
      <xdr:col>7</xdr:col>
      <xdr:colOff>1806575</xdr:colOff>
      <xdr:row>11</xdr:row>
      <xdr:rowOff>177800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60FFAA-4CA9-F899-31C3-B3F19F5E8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8924" y="1524000"/>
          <a:ext cx="4937076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1"/>
  <sheetViews>
    <sheetView showGridLines="0" tabSelected="1" topLeftCell="B1" zoomScaleNormal="100" workbookViewId="0">
      <selection activeCell="J26" sqref="J26"/>
    </sheetView>
  </sheetViews>
  <sheetFormatPr baseColWidth="10" defaultRowHeight="14.4"/>
  <cols>
    <col min="1" max="1" width="2.6640625" hidden="1" customWidth="1"/>
    <col min="2" max="2" width="9.44140625" customWidth="1"/>
    <col min="3" max="3" width="24.33203125" style="1" customWidth="1"/>
    <col min="4" max="4" width="64.77734375" style="1" bestFit="1" customWidth="1"/>
    <col min="5" max="5" width="12.6640625" style="1" customWidth="1"/>
    <col min="6" max="6" width="15.44140625" style="1" customWidth="1"/>
    <col min="7" max="7" width="22.33203125" style="1" customWidth="1"/>
    <col min="8" max="8" width="27.109375" style="1" customWidth="1"/>
    <col min="9" max="9" width="13.109375" customWidth="1"/>
    <col min="10" max="10" width="11.109375" bestFit="1" customWidth="1"/>
    <col min="11" max="11" width="17.6640625" customWidth="1"/>
  </cols>
  <sheetData>
    <row r="1" spans="3:8">
      <c r="C1"/>
    </row>
    <row r="2" spans="3:8" ht="22.2">
      <c r="D2" s="9"/>
      <c r="E2" s="9"/>
      <c r="F2" s="10"/>
      <c r="G2" s="45"/>
      <c r="H2" s="45"/>
    </row>
    <row r="3" spans="3:8" ht="22.2">
      <c r="C3"/>
      <c r="D3" s="9"/>
      <c r="E3" s="9"/>
      <c r="F3" s="12"/>
      <c r="G3" s="27" t="s">
        <v>25</v>
      </c>
      <c r="H3" s="37">
        <v>1735</v>
      </c>
    </row>
    <row r="4" spans="3:8" ht="0.75" customHeight="1">
      <c r="F4" s="46"/>
      <c r="G4" s="46"/>
      <c r="H4" s="46"/>
    </row>
    <row r="5" spans="3:8" ht="16.2" hidden="1">
      <c r="C5" s="2"/>
      <c r="D5" s="2"/>
      <c r="E5" s="2"/>
      <c r="F5" s="2"/>
      <c r="G5" s="2"/>
      <c r="H5" s="2"/>
    </row>
    <row r="6" spans="3:8" ht="18" customHeight="1">
      <c r="C6" s="47"/>
      <c r="D6" s="47"/>
      <c r="E6" s="47"/>
      <c r="F6" s="47"/>
      <c r="G6" s="47"/>
      <c r="H6" s="47"/>
    </row>
    <row r="7" spans="3:8" ht="18" customHeight="1">
      <c r="C7" s="20"/>
      <c r="D7" s="20"/>
      <c r="E7" s="20"/>
      <c r="F7" s="20"/>
      <c r="G7" s="20"/>
      <c r="H7" s="20"/>
    </row>
    <row r="8" spans="3:8" ht="18" customHeight="1">
      <c r="C8" s="50" t="s">
        <v>18</v>
      </c>
      <c r="D8" s="50"/>
      <c r="E8" s="20"/>
      <c r="F8" s="32" t="s">
        <v>22</v>
      </c>
      <c r="G8" s="2"/>
      <c r="H8" s="2"/>
    </row>
    <row r="9" spans="3:8" ht="18" customHeight="1">
      <c r="C9" s="33" t="s">
        <v>19</v>
      </c>
      <c r="D9" s="34"/>
      <c r="E9" s="20"/>
      <c r="F9" s="20"/>
      <c r="G9" s="20"/>
      <c r="H9" s="20"/>
    </row>
    <row r="10" spans="3:8" ht="18" customHeight="1">
      <c r="C10" s="51" t="s">
        <v>20</v>
      </c>
      <c r="D10" s="51"/>
      <c r="E10" s="20"/>
      <c r="F10" s="20"/>
      <c r="G10" s="20"/>
      <c r="H10" s="20"/>
    </row>
    <row r="11" spans="3:8" ht="18" customHeight="1">
      <c r="C11" s="35" t="s">
        <v>24</v>
      </c>
      <c r="D11" s="35"/>
      <c r="E11" s="2"/>
      <c r="F11" s="2"/>
      <c r="G11" s="2"/>
      <c r="H11" s="2"/>
    </row>
    <row r="12" spans="3:8" ht="18" customHeight="1">
      <c r="C12" s="35" t="s">
        <v>21</v>
      </c>
      <c r="D12" s="35"/>
      <c r="E12" s="2"/>
      <c r="F12" s="2"/>
      <c r="G12" s="2"/>
      <c r="H12" s="2"/>
    </row>
    <row r="13" spans="3:8" ht="18" customHeight="1">
      <c r="C13" s="35" t="s">
        <v>23</v>
      </c>
      <c r="D13" s="35"/>
      <c r="E13" s="2"/>
      <c r="F13" s="2"/>
      <c r="G13" s="2"/>
      <c r="H13" s="2"/>
    </row>
    <row r="14" spans="3:8" ht="18" customHeight="1">
      <c r="C14" s="47"/>
      <c r="D14" s="47"/>
      <c r="E14" s="47"/>
      <c r="F14" s="47"/>
      <c r="G14" s="47"/>
      <c r="H14" s="47"/>
    </row>
    <row r="15" spans="3:8" hidden="1"/>
    <row r="16" spans="3:8" ht="25.05" customHeight="1">
      <c r="C16" s="28" t="s">
        <v>9</v>
      </c>
      <c r="D16" s="29" t="s">
        <v>31</v>
      </c>
      <c r="E16" s="3"/>
      <c r="F16" s="3"/>
      <c r="G16" s="30" t="s">
        <v>12</v>
      </c>
      <c r="H16" s="29" t="s">
        <v>26</v>
      </c>
    </row>
    <row r="17" spans="2:12" ht="24" customHeight="1">
      <c r="C17" s="28" t="s">
        <v>6</v>
      </c>
      <c r="D17" s="29"/>
      <c r="E17" s="3"/>
      <c r="F17"/>
      <c r="G17" s="30" t="s">
        <v>7</v>
      </c>
      <c r="H17" s="29">
        <v>3145954725</v>
      </c>
    </row>
    <row r="18" spans="2:12" ht="25.05" customHeight="1">
      <c r="C18" s="28" t="s">
        <v>7</v>
      </c>
      <c r="D18" s="29"/>
      <c r="F18"/>
      <c r="G18" s="30" t="s">
        <v>11</v>
      </c>
      <c r="H18" s="31">
        <v>45972</v>
      </c>
    </row>
    <row r="19" spans="2:12" ht="22.95" customHeight="1">
      <c r="C19" s="28" t="s">
        <v>8</v>
      </c>
      <c r="D19" s="29"/>
      <c r="E19" s="3"/>
      <c r="F19"/>
      <c r="G19"/>
      <c r="H19"/>
    </row>
    <row r="20" spans="2:12" ht="22.05" customHeight="1">
      <c r="C20" s="36" t="s">
        <v>10</v>
      </c>
      <c r="D20" s="40"/>
      <c r="F20"/>
      <c r="G20"/>
      <c r="H20"/>
    </row>
    <row r="21" spans="2:12">
      <c r="C21" s="3"/>
      <c r="D21" s="8"/>
      <c r="E21" s="7"/>
      <c r="F21"/>
      <c r="G21" s="5"/>
      <c r="H21"/>
    </row>
    <row r="22" spans="2:12" ht="16.95" hidden="1" customHeight="1" thickBot="1">
      <c r="C22" s="2"/>
      <c r="D22" s="2"/>
    </row>
    <row r="23" spans="2:12" ht="13.95" hidden="1" customHeight="1" thickBot="1"/>
    <row r="24" spans="2:12" ht="32.25" customHeight="1">
      <c r="C24" s="21" t="s">
        <v>0</v>
      </c>
      <c r="D24" s="22" t="s">
        <v>14</v>
      </c>
      <c r="E24" s="23" t="s">
        <v>13</v>
      </c>
      <c r="F24" s="22" t="s">
        <v>1</v>
      </c>
      <c r="G24" s="22" t="s">
        <v>2</v>
      </c>
      <c r="H24" s="24" t="s">
        <v>3</v>
      </c>
      <c r="I24" s="41"/>
      <c r="J24" s="42"/>
      <c r="K24" s="42"/>
    </row>
    <row r="25" spans="2:12" ht="63" customHeight="1">
      <c r="C25" s="14" t="s">
        <v>27</v>
      </c>
      <c r="D25" s="14" t="s">
        <v>28</v>
      </c>
      <c r="E25" s="13"/>
      <c r="F25" s="18">
        <v>1</v>
      </c>
      <c r="G25" s="16">
        <v>245000</v>
      </c>
      <c r="H25" s="16">
        <f t="shared" ref="H25" si="0">F25*G25</f>
        <v>245000</v>
      </c>
      <c r="I25" s="11"/>
    </row>
    <row r="26" spans="2:12" ht="48" customHeight="1">
      <c r="B26" s="39"/>
      <c r="C26" s="14" t="s">
        <v>29</v>
      </c>
      <c r="D26" s="14" t="s">
        <v>30</v>
      </c>
      <c r="E26" s="13"/>
      <c r="F26" s="18">
        <v>1</v>
      </c>
      <c r="G26" s="16">
        <v>30000</v>
      </c>
      <c r="H26" s="16">
        <f t="shared" ref="H26:H27" si="1">F26*G26</f>
        <v>30000</v>
      </c>
      <c r="I26" s="11"/>
      <c r="L26" s="39"/>
    </row>
    <row r="27" spans="2:12" ht="58.05" customHeight="1">
      <c r="C27" s="14"/>
      <c r="D27" s="14"/>
      <c r="E27" s="13"/>
      <c r="F27" s="18"/>
      <c r="G27" s="16"/>
      <c r="H27" s="16">
        <f t="shared" si="1"/>
        <v>0</v>
      </c>
      <c r="I27" s="11"/>
    </row>
    <row r="28" spans="2:12" ht="52.05" customHeight="1">
      <c r="C28" s="14"/>
      <c r="D28" s="14"/>
      <c r="E28" s="13"/>
      <c r="F28" s="18"/>
      <c r="G28" s="16"/>
      <c r="H28" s="16">
        <f t="shared" ref="H28:H34" si="2">G28*F28</f>
        <v>0</v>
      </c>
      <c r="I28" s="11"/>
      <c r="K28" s="4"/>
    </row>
    <row r="29" spans="2:12" ht="46.95" customHeight="1">
      <c r="C29" s="14"/>
      <c r="D29" s="14"/>
      <c r="E29" s="13"/>
      <c r="F29" s="18"/>
      <c r="G29" s="16"/>
      <c r="H29" s="16">
        <f t="shared" si="2"/>
        <v>0</v>
      </c>
      <c r="I29" s="11"/>
      <c r="K29" s="4"/>
    </row>
    <row r="30" spans="2:12" ht="46.95" customHeight="1">
      <c r="C30" s="14"/>
      <c r="D30" s="14"/>
      <c r="E30" s="13"/>
      <c r="F30" s="18"/>
      <c r="G30" s="16"/>
      <c r="H30" s="16">
        <f t="shared" si="2"/>
        <v>0</v>
      </c>
      <c r="I30" s="11"/>
      <c r="K30" s="4"/>
    </row>
    <row r="31" spans="2:12" ht="46.95" customHeight="1">
      <c r="C31" s="14"/>
      <c r="D31" s="14"/>
      <c r="E31" s="13"/>
      <c r="F31" s="18"/>
      <c r="G31" s="16"/>
      <c r="H31" s="16">
        <f t="shared" si="2"/>
        <v>0</v>
      </c>
      <c r="I31" s="11"/>
      <c r="K31" s="4"/>
    </row>
    <row r="32" spans="2:12" ht="46.95" customHeight="1">
      <c r="C32" s="14"/>
      <c r="D32" s="14"/>
      <c r="E32" s="13"/>
      <c r="F32" s="18"/>
      <c r="G32" s="16"/>
      <c r="H32" s="16">
        <f t="shared" si="2"/>
        <v>0</v>
      </c>
      <c r="I32" s="11"/>
      <c r="K32" s="4"/>
    </row>
    <row r="33" spans="3:11" ht="46.95" customHeight="1">
      <c r="C33" s="14"/>
      <c r="D33" s="14"/>
      <c r="E33" s="13"/>
      <c r="F33" s="18"/>
      <c r="G33" s="16"/>
      <c r="H33" s="16">
        <f t="shared" si="2"/>
        <v>0</v>
      </c>
      <c r="I33" s="11"/>
      <c r="K33" s="4"/>
    </row>
    <row r="34" spans="3:11" ht="68.25" customHeight="1">
      <c r="C34" s="14"/>
      <c r="D34" s="14"/>
      <c r="E34" s="14"/>
      <c r="F34" s="15"/>
      <c r="G34" s="16"/>
      <c r="H34" s="17">
        <f t="shared" si="2"/>
        <v>0</v>
      </c>
      <c r="I34" s="11"/>
      <c r="J34" s="4"/>
      <c r="K34" s="4"/>
    </row>
    <row r="35" spans="3:11" ht="39" customHeight="1">
      <c r="C35" s="49" t="s">
        <v>17</v>
      </c>
      <c r="D35" s="49"/>
      <c r="E35" s="49"/>
      <c r="F35" s="26"/>
      <c r="G35" s="38" t="s">
        <v>15</v>
      </c>
      <c r="H35" s="25">
        <f>SUM(H25:H34)</f>
        <v>275000</v>
      </c>
    </row>
    <row r="36" spans="3:11" ht="31.95" customHeight="1">
      <c r="C36" s="44"/>
      <c r="D36" s="44"/>
      <c r="E36" s="44"/>
      <c r="F36" s="26"/>
      <c r="G36" s="38" t="s">
        <v>5</v>
      </c>
      <c r="H36" s="25"/>
    </row>
    <row r="37" spans="3:11" ht="27.75" customHeight="1">
      <c r="C37" s="44"/>
      <c r="D37" s="44"/>
      <c r="E37" s="44"/>
      <c r="F37" s="26"/>
      <c r="G37" s="38" t="s">
        <v>4</v>
      </c>
      <c r="H37" s="25">
        <f>H35+H36</f>
        <v>275000</v>
      </c>
      <c r="J37" s="19"/>
    </row>
    <row r="38" spans="3:11" ht="3" customHeight="1">
      <c r="G38"/>
      <c r="H38"/>
    </row>
    <row r="39" spans="3:11" ht="19.5" customHeight="1">
      <c r="C39" s="44" t="s">
        <v>16</v>
      </c>
      <c r="D39" s="44"/>
      <c r="E39" s="44"/>
      <c r="F39" s="48"/>
      <c r="G39" s="48"/>
      <c r="H39" s="48"/>
    </row>
    <row r="40" spans="3:11" ht="18" customHeight="1">
      <c r="C40" s="44"/>
      <c r="D40" s="44"/>
      <c r="E40" s="44"/>
      <c r="F40" s="48"/>
      <c r="G40" s="48"/>
      <c r="H40" s="48"/>
    </row>
    <row r="41" spans="3:11">
      <c r="C41" s="43"/>
      <c r="D41" s="43"/>
      <c r="F41" s="6"/>
    </row>
  </sheetData>
  <mergeCells count="11">
    <mergeCell ref="I24:K24"/>
    <mergeCell ref="C41:D41"/>
    <mergeCell ref="C39:E40"/>
    <mergeCell ref="G2:H2"/>
    <mergeCell ref="F4:H4"/>
    <mergeCell ref="C6:H6"/>
    <mergeCell ref="C14:H14"/>
    <mergeCell ref="F39:H40"/>
    <mergeCell ref="C35:E37"/>
    <mergeCell ref="C8:D8"/>
    <mergeCell ref="C10:D10"/>
  </mergeCells>
  <pageMargins left="0.25" right="0.25" top="0.75" bottom="0.75" header="0.3" footer="0.3"/>
  <pageSetup scale="5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COTIZACION (2)</vt:lpstr>
      <vt:lpstr>'COTIZACION (2)'!Área_de_impresión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C260</dc:creator>
  <cp:lastModifiedBy>Santiago Bellaizan Chaparro</cp:lastModifiedBy>
  <cp:lastPrinted>2025-11-13T19:37:04Z</cp:lastPrinted>
  <dcterms:created xsi:type="dcterms:W3CDTF">2017-06-08T15:02:11Z</dcterms:created>
  <dcterms:modified xsi:type="dcterms:W3CDTF">2025-11-14T23:16:07Z</dcterms:modified>
</cp:coreProperties>
</file>