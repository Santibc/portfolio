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Hoja1" sheetId="2" r:id="rId5"/>
  </sheets>
  <definedNames/>
  <calcPr/>
</workbook>
</file>

<file path=xl/sharedStrings.xml><?xml version="1.0" encoding="utf-8"?>
<sst xmlns="http://schemas.openxmlformats.org/spreadsheetml/2006/main" count="174" uniqueCount="110">
  <si>
    <r>
      <rPr>
        <rFont val="Tahoma"/>
        <b/>
        <color rgb="FF000000"/>
        <sz val="7.0"/>
      </rPr>
      <t>CONTROL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DE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LA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VEGETACIÓN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EN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PLATAFORMA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Y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MÁRGENES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E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INSTALACIONES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DE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LAS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LÍNEAS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CONVENCIONALES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Y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DE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ANCHO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MÉTRICO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DE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ADIF.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6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LOTES.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LOTE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3: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NORESTE.</t>
    </r>
  </si>
  <si>
    <r>
      <rPr>
        <rFont val="Tahoma"/>
        <b/>
        <color theme="1"/>
        <sz val="7.0"/>
      </rPr>
      <t>FECHA:</t>
    </r>
  </si>
  <si>
    <r>
      <rPr>
        <rFont val="Tahoma"/>
        <b/>
        <color theme="1"/>
        <sz val="7.0"/>
      </rPr>
      <t>JORNADA:</t>
    </r>
  </si>
  <si>
    <t>DIURNA</t>
  </si>
  <si>
    <r>
      <rPr>
        <rFont val="Tahoma"/>
        <b/>
        <color theme="1"/>
        <sz val="7.0"/>
      </rPr>
      <t>GERENCIA/JEFAT:</t>
    </r>
  </si>
  <si>
    <t>BCN</t>
  </si>
  <si>
    <r>
      <rPr>
        <rFont val="Tahoma"/>
        <b/>
        <color theme="1"/>
        <sz val="7.0"/>
      </rPr>
      <t>DISTRITO:</t>
    </r>
  </si>
  <si>
    <t>Lerida</t>
  </si>
  <si>
    <r>
      <rPr>
        <rFont val="Tahoma"/>
        <b/>
        <color theme="1"/>
        <sz val="7.0"/>
      </rPr>
      <t>LINEA:</t>
    </r>
  </si>
  <si>
    <t>L220 E1</t>
  </si>
  <si>
    <t xml:space="preserve">TRAYECTO:   </t>
  </si>
  <si>
    <t xml:space="preserve">Calaf - Manresa </t>
  </si>
  <si>
    <t xml:space="preserve">BRIGADA:  </t>
  </si>
  <si>
    <t>MANZER</t>
  </si>
  <si>
    <r>
      <rPr>
        <rFont val="Tahoma"/>
        <b/>
        <color rgb="FF000000"/>
        <sz val="7.0"/>
      </rPr>
      <t>NOMBRE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Y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APELLIDOS</t>
    </r>
  </si>
  <si>
    <r>
      <rPr>
        <rFont val="Tahoma"/>
        <b/>
        <color rgb="FF000000"/>
        <sz val="7.0"/>
      </rPr>
      <t>APLICADOR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(S/N)</t>
    </r>
  </si>
  <si>
    <r>
      <rPr>
        <rFont val="Tahoma"/>
        <b/>
        <color rgb="FF000000"/>
        <sz val="7.0"/>
      </rPr>
      <t>DNI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(SI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ES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APLICADOR)</t>
    </r>
  </si>
  <si>
    <t>Jordan Jaime rande</t>
  </si>
  <si>
    <t xml:space="preserve">Jonathan Sánchez </t>
  </si>
  <si>
    <t>Jonathan montoya</t>
  </si>
  <si>
    <t>Krzysztof Brandt</t>
  </si>
  <si>
    <t>Viorel Miguel Cercel</t>
  </si>
  <si>
    <r>
      <rPr>
        <rFont val="Tahoma"/>
        <b/>
        <color rgb="FF000000"/>
        <sz val="6.0"/>
      </rPr>
      <t>HERBICIDA</t>
    </r>
    <r>
      <rPr>
        <rFont val="Times New Roman"/>
        <color rgb="FF000000"/>
        <sz val="6.0"/>
      </rPr>
      <t xml:space="preserve">  </t>
    </r>
    <r>
      <rPr>
        <rFont val="Tahoma"/>
        <b/>
        <color rgb="FF000000"/>
        <sz val="6.0"/>
      </rPr>
      <t>(H)</t>
    </r>
  </si>
  <si>
    <r>
      <rPr>
        <rFont val="Tahoma"/>
        <b/>
        <color rgb="FF000000"/>
        <sz val="6.0"/>
      </rPr>
      <t>DESBROCE</t>
    </r>
    <r>
      <rPr>
        <rFont val="Times New Roman"/>
        <color rgb="FF000000"/>
        <sz val="6.0"/>
      </rPr>
      <t xml:space="preserve"> </t>
    </r>
    <r>
      <rPr>
        <rFont val="Tahoma"/>
        <b/>
        <color rgb="FF000000"/>
        <sz val="6.0"/>
      </rPr>
      <t>(D)</t>
    </r>
  </si>
  <si>
    <r>
      <rPr>
        <rFont val="Tahoma"/>
        <b/>
        <color rgb="FF000000"/>
        <sz val="6.0"/>
      </rPr>
      <t>PODA</t>
    </r>
    <r>
      <rPr>
        <rFont val="Times New Roman"/>
        <color rgb="FF000000"/>
        <sz val="6.0"/>
      </rPr>
      <t xml:space="preserve"> </t>
    </r>
    <r>
      <rPr>
        <rFont val="Tahoma"/>
        <b/>
        <color rgb="FF000000"/>
        <sz val="6.0"/>
      </rPr>
      <t>(P)</t>
    </r>
  </si>
  <si>
    <r>
      <rPr>
        <rFont val="Tahoma"/>
        <b/>
        <color rgb="FF000000"/>
        <sz val="6.0"/>
      </rPr>
      <t>TALA</t>
    </r>
    <r>
      <rPr>
        <rFont val="Times New Roman"/>
        <color rgb="FF000000"/>
        <sz val="6.0"/>
      </rPr>
      <t xml:space="preserve"> </t>
    </r>
    <r>
      <rPr>
        <rFont val="Tahoma"/>
        <b/>
        <color rgb="FF000000"/>
        <sz val="6.0"/>
      </rPr>
      <t>(T)</t>
    </r>
  </si>
  <si>
    <r>
      <rPr>
        <rFont val="Tahoma"/>
        <b/>
        <color rgb="FF000000"/>
        <sz val="6.0"/>
      </rPr>
      <t>LIMPIEZA</t>
    </r>
    <r>
      <rPr>
        <rFont val="Times New Roman"/>
        <color rgb="FF000000"/>
        <sz val="6.0"/>
      </rPr>
      <t xml:space="preserve"> </t>
    </r>
    <r>
      <rPr>
        <rFont val="Tahoma"/>
        <b/>
        <color rgb="FF000000"/>
        <sz val="6.0"/>
      </rPr>
      <t>(L)</t>
    </r>
  </si>
  <si>
    <r>
      <rPr>
        <rFont val="Tahoma"/>
        <b/>
        <color rgb="FF000000"/>
        <sz val="6.0"/>
      </rPr>
      <t>PK:</t>
    </r>
    <r>
      <rPr>
        <rFont val="Times New Roman"/>
        <color rgb="FF000000"/>
        <sz val="6.0"/>
      </rPr>
      <t xml:space="preserve"> INICIO</t>
    </r>
  </si>
  <si>
    <r>
      <rPr>
        <rFont val="Tahoma"/>
        <b/>
        <color rgb="FF000000"/>
        <sz val="6.0"/>
      </rPr>
      <t>PK:</t>
    </r>
    <r>
      <rPr>
        <rFont val="Times New Roman"/>
        <color rgb="FF000000"/>
        <sz val="6.0"/>
      </rPr>
      <t xml:space="preserve"> </t>
    </r>
    <r>
      <rPr>
        <rFont val="Tahoma"/>
        <b/>
        <color rgb="FF000000"/>
        <sz val="6.0"/>
      </rPr>
      <t>FINAL</t>
    </r>
  </si>
  <si>
    <r>
      <rPr>
        <rFont val="Tahoma"/>
        <b/>
        <color rgb="FF000000"/>
        <sz val="6.0"/>
      </rPr>
      <t>MARGEN</t>
    </r>
    <r>
      <rPr>
        <rFont val="Times New Roman"/>
        <color rgb="FF000000"/>
        <sz val="6.0"/>
      </rPr>
      <t xml:space="preserve"> </t>
    </r>
    <r>
      <rPr>
        <rFont val="Tahoma"/>
        <b/>
        <color rgb="FF000000"/>
        <sz val="6.0"/>
      </rPr>
      <t>IZQUIERDA</t>
    </r>
  </si>
  <si>
    <r>
      <rPr>
        <rFont val="Tahoma"/>
        <b/>
        <color rgb="FF000000"/>
        <sz val="6.0"/>
      </rPr>
      <t xml:space="preserve">ANCHO
</t>
    </r>
    <r>
      <rPr>
        <rFont val="Tahoma"/>
        <b/>
        <color rgb="FF000000"/>
        <sz val="6.0"/>
      </rPr>
      <t>/</t>
    </r>
    <r>
      <rPr>
        <rFont val="Times New Roman"/>
        <color rgb="FF000000"/>
        <sz val="6.0"/>
      </rPr>
      <t xml:space="preserve"> </t>
    </r>
    <r>
      <rPr>
        <rFont val="Tahoma"/>
        <b/>
        <color rgb="FF000000"/>
        <sz val="6.0"/>
      </rPr>
      <t>UNIDADES</t>
    </r>
  </si>
  <si>
    <r>
      <rPr>
        <rFont val="Tahoma"/>
        <b/>
        <color rgb="FF000000"/>
        <sz val="6.0"/>
      </rPr>
      <t>MARGEN</t>
    </r>
    <r>
      <rPr>
        <rFont val="Times New Roman"/>
        <color rgb="FF000000"/>
        <sz val="6.0"/>
      </rPr>
      <t xml:space="preserve"> </t>
    </r>
    <r>
      <rPr>
        <rFont val="Tahoma"/>
        <b/>
        <color rgb="FF000000"/>
        <sz val="6.0"/>
      </rPr>
      <t>DERECHA</t>
    </r>
  </si>
  <si>
    <r>
      <rPr>
        <rFont val="Tahoma"/>
        <b/>
        <color rgb="FF000000"/>
        <sz val="6.0"/>
      </rPr>
      <t xml:space="preserve">ANCHO
</t>
    </r>
    <r>
      <rPr>
        <rFont val="Tahoma"/>
        <b/>
        <color rgb="FF000000"/>
        <sz val="6.0"/>
      </rPr>
      <t>/</t>
    </r>
    <r>
      <rPr>
        <rFont val="Times New Roman"/>
        <color rgb="FF000000"/>
        <sz val="6.0"/>
      </rPr>
      <t xml:space="preserve"> </t>
    </r>
    <r>
      <rPr>
        <rFont val="Tahoma"/>
        <b/>
        <color rgb="FF000000"/>
        <sz val="6.0"/>
      </rPr>
      <t>UNIDADES</t>
    </r>
  </si>
  <si>
    <t>X</t>
  </si>
  <si>
    <t>262+450</t>
  </si>
  <si>
    <t>262+650</t>
  </si>
  <si>
    <t>x</t>
  </si>
  <si>
    <t>262+457</t>
  </si>
  <si>
    <t>262+800</t>
  </si>
  <si>
    <t>263+350</t>
  </si>
  <si>
    <t>263+600</t>
  </si>
  <si>
    <t>263+800</t>
  </si>
  <si>
    <t>264+100</t>
  </si>
  <si>
    <t xml:space="preserve">OBSERVACIONES (INDICAR SI CORRESPONDEN A (H), (D), (P), (T), (L)):                                                     </t>
  </si>
  <si>
    <r>
      <rPr>
        <rFont val="Tahoma"/>
        <b/>
        <color theme="1"/>
        <sz val="7.0"/>
        <u/>
      </rPr>
      <t>HERBICIDA:</t>
    </r>
  </si>
  <si>
    <t xml:space="preserve">DESBROCE TOTAL = </t>
  </si>
  <si>
    <t>Herbicida Manual P4 =</t>
  </si>
  <si>
    <t xml:space="preserve">DESBROCE P5= </t>
  </si>
  <si>
    <t xml:space="preserve">P23 = </t>
  </si>
  <si>
    <t xml:space="preserve">DESBROCE P6= </t>
  </si>
  <si>
    <t xml:space="preserve">P10= </t>
  </si>
  <si>
    <r>
      <rPr>
        <rFont val="Tahoma"/>
        <b/>
        <color theme="1"/>
        <sz val="7.0"/>
      </rPr>
      <t>PRODUCTO</t>
    </r>
  </si>
  <si>
    <r>
      <rPr>
        <rFont val="Tahoma"/>
        <b/>
        <color rgb="FF000000"/>
        <sz val="7.0"/>
      </rPr>
      <t>Nº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>REGISTRO</t>
    </r>
  </si>
  <si>
    <r>
      <rPr>
        <rFont val="Tahoma"/>
        <b/>
        <color theme="1"/>
        <sz val="7.0"/>
      </rPr>
      <t>DOSIFICACIÓN</t>
    </r>
  </si>
  <si>
    <r>
      <rPr>
        <rFont val="Tahoma"/>
        <b/>
        <color theme="1"/>
        <sz val="7.0"/>
      </rPr>
      <t>CANTIDAD</t>
    </r>
  </si>
  <si>
    <t>LIMPIEZA P8=</t>
  </si>
  <si>
    <t>TALAS=</t>
  </si>
  <si>
    <t>PODAS=</t>
  </si>
  <si>
    <r>
      <rPr>
        <rFont val="Tahoma"/>
        <b/>
        <color rgb="FF000000"/>
        <sz val="7.0"/>
        <u/>
      </rPr>
      <t>Control</t>
    </r>
    <r>
      <rPr>
        <rFont val="Times New Roman"/>
        <color rgb="FF000000"/>
        <sz val="7.0"/>
        <u/>
      </rPr>
      <t> </t>
    </r>
    <r>
      <rPr>
        <rFont val="Tahoma"/>
        <b/>
        <color rgb="FF000000"/>
        <sz val="7.0"/>
        <u/>
      </rPr>
      <t>Vegetación</t>
    </r>
    <r>
      <rPr>
        <rFont val="Times New Roman"/>
        <color rgb="FF000000"/>
        <sz val="7.0"/>
        <u/>
      </rPr>
      <t> </t>
    </r>
    <r>
      <rPr>
        <rFont val="Tahoma"/>
        <b/>
        <color rgb="FF000000"/>
        <sz val="7.0"/>
        <u/>
      </rPr>
      <t>Lote</t>
    </r>
    <r>
      <rPr>
        <rFont val="Times New Roman"/>
        <color rgb="FF000000"/>
        <sz val="7.0"/>
        <u/>
      </rPr>
      <t> </t>
    </r>
    <r>
      <rPr>
        <rFont val="Tahoma"/>
        <b/>
        <color rgb="FF000000"/>
        <sz val="7.0"/>
        <u/>
      </rPr>
      <t>3</t>
    </r>
    <r>
      <rPr>
        <rFont val="Times New Roman"/>
        <color rgb="FF000000"/>
        <sz val="7.0"/>
        <u/>
      </rPr>
      <t> </t>
    </r>
    <r>
      <rPr>
        <rFont val="Tahoma"/>
        <b/>
        <color rgb="FF000000"/>
        <sz val="7.0"/>
        <u/>
      </rPr>
      <t>UTE</t>
    </r>
  </si>
  <si>
    <r>
      <rPr>
        <rFont val="Tahoma"/>
        <b/>
        <color theme="1"/>
        <sz val="7.0"/>
        <u/>
      </rPr>
      <t>ADIF</t>
    </r>
  </si>
  <si>
    <r>
      <rPr>
        <rFont val="Tahoma"/>
        <b/>
        <color theme="1"/>
        <sz val="7.0"/>
      </rPr>
      <t>Firma</t>
    </r>
    <r>
      <rPr>
        <rFont val="Times New Roman"/>
        <color theme="1"/>
        <sz val="7.0"/>
      </rPr>
      <t xml:space="preserve"> </t>
    </r>
    <r>
      <rPr>
        <rFont val="Tahoma"/>
        <b/>
        <color theme="1"/>
        <sz val="7.0"/>
      </rPr>
      <t xml:space="preserve">Encargado
</t>
    </r>
    <r>
      <rPr>
        <rFont val="Arial"/>
        <color theme="1"/>
        <sz val="10.0"/>
      </rPr>
      <t xml:space="preserve">
</t>
    </r>
    <r>
      <rPr>
        <rFont val="Tahoma"/>
        <b/>
        <color theme="1"/>
        <sz val="7.0"/>
      </rPr>
      <t>Nombre: DIEGO JURADO</t>
    </r>
  </si>
  <si>
    <r>
      <rPr>
        <rFont val="Tahoma"/>
        <b/>
        <color rgb="FF000000"/>
        <sz val="7.0"/>
      </rPr>
      <t>Firma</t>
    </r>
    <r>
      <rPr>
        <rFont val="Times New Roman"/>
        <color rgb="FF000000"/>
        <sz val="7.0"/>
      </rPr>
      <t xml:space="preserve"> </t>
    </r>
    <r>
      <rPr>
        <rFont val="Tahoma"/>
        <b/>
        <color rgb="FF000000"/>
        <sz val="7.0"/>
      </rPr>
      <t xml:space="preserve">Encargado
</t>
    </r>
    <r>
      <rPr>
        <rFont val="Tahoma"/>
        <b/>
        <color rgb="FF000000"/>
        <sz val="7.0"/>
      </rPr>
      <t>Nombre:</t>
    </r>
  </si>
  <si>
    <r>
      <rPr>
        <rFont val="Tahoma"/>
        <b/>
        <color theme="1"/>
        <sz val="7.0"/>
        <u/>
      </rPr>
      <t>INCID</t>
    </r>
  </si>
  <si>
    <t>JORNADA</t>
  </si>
  <si>
    <t>LINEAS</t>
  </si>
  <si>
    <t>L222 LA TOUR DE CAROL-ENVEIGT a BIF. AIGÜES</t>
  </si>
  <si>
    <t>NOCTURNA</t>
  </si>
  <si>
    <t xml:space="preserve">L224 CERDANYOLA UNIVERSITAT a CERDANYOLA DEL VALLÉS </t>
  </si>
  <si>
    <t>L230 LA PLANA-PICAMOIXOS a REUS</t>
  </si>
  <si>
    <t>JEFAT</t>
  </si>
  <si>
    <t xml:space="preserve">L234 REUS a CONSTANTÍ </t>
  </si>
  <si>
    <t>L238 CASTELLBISBAL-AGUJAS LLOBREGAT a BARCELONA MORROT</t>
  </si>
  <si>
    <t>ZGZ</t>
  </si>
  <si>
    <t>L240 S.V. CALDERS a L'HOSPITALET DE LLOBREGAT</t>
  </si>
  <si>
    <t>L242 MARTORELL SEAT a AGUJA KM. 71,185</t>
  </si>
  <si>
    <t>L244 AGUJA K.M. 70,477 a AGUJA KM. 0,500</t>
  </si>
  <si>
    <t>SUBCONTRATA</t>
  </si>
  <si>
    <t xml:space="preserve">L246 MOLLET-SANT FOST a CASTELLBISBAL-AGUJAS RUBÍ </t>
  </si>
  <si>
    <t xml:space="preserve">L250 BELLVITGE AGUJA KM. 674,8 a L'HOSPITALET DE LLOBREGAT </t>
  </si>
  <si>
    <t>SERJARLIM</t>
  </si>
  <si>
    <t xml:space="preserve">L254 AEROPORT a EL PRAT DE LLOBEGAT </t>
  </si>
  <si>
    <t>FOREST QUALITY</t>
  </si>
  <si>
    <t xml:space="preserve">L260 FIGUERES-VILAFANT a VILAMALLA </t>
  </si>
  <si>
    <t>JAMAL</t>
  </si>
  <si>
    <t xml:space="preserve">L270 CERBER a BIF. ARAGÓ </t>
  </si>
  <si>
    <t xml:space="preserve">L276 MAÇANET-MASSANES a L'HOSPITALET DE LLOBREGAT </t>
  </si>
  <si>
    <t xml:space="preserve">L278 LA LLAGOSTA a BIF. NUDO MOLLET </t>
  </si>
  <si>
    <t>HERBICIDA</t>
  </si>
  <si>
    <t xml:space="preserve">L280 BIF. MOLLET a BIF. NUDO MOLLET </t>
  </si>
  <si>
    <t>SE APLICA HERBICIDA</t>
  </si>
  <si>
    <t xml:space="preserve">L294 RODA DE BARÁ-CAMBIADOR DE ANCHO </t>
  </si>
  <si>
    <t xml:space="preserve">L298 GIRONA-MERCADERIES a BIF, GERONA MERCADERIES </t>
  </si>
  <si>
    <t xml:space="preserve">L600 VALENCIA E. NORD a CAMBIADOR DE LA BOELLA </t>
  </si>
  <si>
    <t xml:space="preserve">L622 AGUJA CLASIF. KM. 272,0 a TARRAGONA MERCADERIES </t>
  </si>
  <si>
    <t>PILOTO</t>
  </si>
  <si>
    <t>L624 AGUJA CLASIF. KM. 100,4 a TARRAGONA</t>
  </si>
  <si>
    <t>FRAN PRADA - 01</t>
  </si>
  <si>
    <t>L630 PORT AVENTURA a TARRAGONA</t>
  </si>
  <si>
    <t>CHRISTIAN ORDUÑA - 02</t>
  </si>
  <si>
    <t xml:space="preserve">L632 BIF. LA FEREDAT a BIF. VILA-SECA </t>
  </si>
  <si>
    <t>LLUIS REBULL - 03</t>
  </si>
  <si>
    <t xml:space="preserve">L640 CAMBIADOR DE LA BOELLA a CAMP DE TARRAGONA </t>
  </si>
  <si>
    <t>DANIEL MOLINA - 04</t>
  </si>
  <si>
    <t>MARC SANCHEZ - 05</t>
  </si>
  <si>
    <t>FRANCISCO BARBA - 06</t>
  </si>
  <si>
    <t>JORDI CABANE - 07</t>
  </si>
  <si>
    <t>IGOR SOTO - 08</t>
  </si>
  <si>
    <t>MANUEL JURADO- 09</t>
  </si>
  <si>
    <t>RODRIGO RINCON - 10</t>
  </si>
  <si>
    <t>JOSE MANUEL GONZALEZ  - 11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</si>
</sst>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#.00&quot;m2&quot;"/>
    <numFmt numFmtId="166" formatCode="#0.00&quot; L&quot;"/>
    <numFmt numFmtId="167" formatCode="#0.00&quot; Kg&quot;"/>
    <numFmt numFmtId="168" formatCode="#&quot;u&quot;"/>
    <numFmt numFmtId="169" formatCode="#0&quot; L&quot;"/>
  </numFmts>
  <fonts count="15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Times New Roman"/>
    </font>
    <font/>
    <font>
      <b/>
      <sz val="7.0"/>
      <color theme="1"/>
      <name val="Tahoma"/>
    </font>
    <font>
      <sz val="12.0"/>
      <color rgb="FF000000"/>
      <name val="Arial"/>
    </font>
    <font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sz val="7.0"/>
      <color theme="1"/>
      <name val="Times New Roman"/>
    </font>
    <font>
      <b/>
      <sz val="10.0"/>
      <color theme="1"/>
      <name val="Arial"/>
    </font>
    <font>
      <b/>
      <sz val="10.0"/>
      <color rgb="FF000000"/>
      <name val="Times New Roman"/>
    </font>
    <font>
      <b/>
      <sz val="7.0"/>
      <color theme="1"/>
      <name val="Times New Roman"/>
    </font>
    <font>
      <sz val="10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BEBEBE"/>
        <bgColor rgb="FFBEBEBE"/>
      </patternFill>
    </fill>
    <fill>
      <patternFill patternType="solid">
        <fgColor rgb="FFDAEDF3"/>
        <bgColor rgb="FFDAEDF3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4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1" fillId="2" fontId="4" numFmtId="0" xfId="0" applyAlignment="1" applyBorder="1" applyFont="1">
      <alignment horizontal="left" shrinkToFit="0" vertical="center" wrapText="1"/>
    </xf>
    <xf borderId="4" fillId="0" fontId="5" numFmtId="164" xfId="0" applyAlignment="1" applyBorder="1" applyFont="1" applyNumberFormat="1">
      <alignment horizontal="left" readingOrder="0" shrinkToFit="1" vertical="center" wrapText="0"/>
    </xf>
    <xf borderId="5" fillId="0" fontId="3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vertical="top"/>
    </xf>
    <xf borderId="7" fillId="2" fontId="4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9" fillId="2" fontId="4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left" vertical="top"/>
    </xf>
    <xf borderId="13" fillId="0" fontId="3" numFmtId="0" xfId="0" applyAlignment="1" applyBorder="1" applyFont="1">
      <alignment horizontal="left" vertical="top"/>
    </xf>
    <xf borderId="14" fillId="0" fontId="7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7" fillId="0" fontId="2" numFmtId="0" xfId="0" applyAlignment="1" applyBorder="1" applyFont="1">
      <alignment horizontal="left" shrinkToFit="0" vertical="center" wrapText="1"/>
    </xf>
    <xf borderId="18" fillId="0" fontId="3" numFmtId="0" xfId="0" applyAlignment="1" applyBorder="1" applyFont="1">
      <alignment horizontal="left" vertical="top"/>
    </xf>
    <xf borderId="19" fillId="0" fontId="3" numFmtId="0" xfId="0" applyAlignment="1" applyBorder="1" applyFont="1">
      <alignment horizontal="left" vertical="top"/>
    </xf>
    <xf borderId="20" fillId="0" fontId="3" numFmtId="0" xfId="0" applyAlignment="1" applyBorder="1" applyFont="1">
      <alignment horizontal="left" vertical="top"/>
    </xf>
    <xf borderId="21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2" fillId="0" fontId="3" numFmtId="0" xfId="0" applyAlignment="1" applyBorder="1" applyFont="1">
      <alignment horizontal="left" vertical="top"/>
    </xf>
    <xf borderId="21" fillId="0" fontId="7" numFmtId="0" xfId="0" applyAlignment="1" applyBorder="1" applyFont="1">
      <alignment horizontal="center" readingOrder="0"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24" fillId="0" fontId="3" numFmtId="0" xfId="0" applyAlignment="1" applyBorder="1" applyFont="1">
      <alignment horizontal="left" vertical="top"/>
    </xf>
    <xf borderId="25" fillId="3" fontId="2" numFmtId="0" xfId="0" applyAlignment="1" applyBorder="1" applyFill="1" applyFont="1">
      <alignment horizontal="center" shrinkToFit="0" textRotation="90" vertical="center" wrapText="1"/>
    </xf>
    <xf borderId="25" fillId="4" fontId="2" numFmtId="0" xfId="0" applyAlignment="1" applyBorder="1" applyFill="1" applyFont="1">
      <alignment horizontal="center" shrinkToFit="0" textRotation="90" vertical="center" wrapText="1"/>
    </xf>
    <xf borderId="25" fillId="2" fontId="2" numFmtId="0" xfId="0" applyAlignment="1" applyBorder="1" applyFont="1">
      <alignment horizontal="center" shrinkToFit="0" vertical="center" wrapText="1"/>
    </xf>
    <xf borderId="26" fillId="2" fontId="2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horizontal="left" vertical="top"/>
    </xf>
    <xf borderId="28" fillId="5" fontId="2" numFmtId="0" xfId="0" applyAlignment="1" applyBorder="1" applyFill="1" applyFont="1">
      <alignment horizontal="left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29" fillId="4" fontId="2" numFmtId="0" xfId="0" applyAlignment="1" applyBorder="1" applyFont="1">
      <alignment horizontal="center" shrinkToFit="0" vertical="center" wrapText="1"/>
    </xf>
    <xf borderId="29" fillId="0" fontId="9" numFmtId="3" xfId="0" applyAlignment="1" applyBorder="1" applyFont="1" applyNumberFormat="1">
      <alignment horizontal="center" readingOrder="0" shrinkToFit="0" vertical="center" wrapText="1"/>
    </xf>
    <xf borderId="17" fillId="0" fontId="9" numFmtId="0" xfId="0" applyAlignment="1" applyBorder="1" applyFont="1">
      <alignment horizontal="center" readingOrder="0" shrinkToFit="0" vertical="center" wrapText="1"/>
    </xf>
    <xf borderId="29" fillId="0" fontId="9" numFmtId="0" xfId="0" applyAlignment="1" applyBorder="1" applyFont="1">
      <alignment horizontal="center" readingOrder="0" shrinkToFit="0" vertical="center" wrapText="1"/>
    </xf>
    <xf borderId="30" fillId="0" fontId="9" numFmtId="0" xfId="0" applyAlignment="1" applyBorder="1" applyFont="1">
      <alignment horizontal="center" readingOrder="0" shrinkToFit="0" vertical="center" wrapText="1"/>
    </xf>
    <xf borderId="31" fillId="5" fontId="2" numFmtId="0" xfId="0" applyAlignment="1" applyBorder="1" applyFont="1">
      <alignment horizontal="left" shrinkToFit="0" vertical="center" wrapText="1"/>
    </xf>
    <xf borderId="32" fillId="0" fontId="7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horizontal="center" shrinkToFit="0" vertical="center" wrapText="1"/>
    </xf>
    <xf borderId="32" fillId="4" fontId="2" numFmtId="0" xfId="0" applyAlignment="1" applyBorder="1" applyFont="1">
      <alignment horizontal="center" shrinkToFit="0" vertical="center" wrapText="1"/>
    </xf>
    <xf borderId="32" fillId="0" fontId="7" numFmtId="3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32" fillId="0" fontId="7" numFmtId="0" xfId="0" applyAlignment="1" applyBorder="1" applyFont="1">
      <alignment horizontal="center" readingOrder="0" shrinkToFit="0" vertical="center" wrapText="1"/>
    </xf>
    <xf borderId="33" fillId="0" fontId="7" numFmtId="0" xfId="0" applyAlignment="1" applyBorder="1" applyFont="1">
      <alignment horizontal="center" readingOrder="0"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32" fillId="0" fontId="9" numFmtId="3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32" fillId="0" fontId="9" numFmtId="0" xfId="0" applyAlignment="1" applyBorder="1" applyFont="1">
      <alignment horizontal="center" readingOrder="0" shrinkToFit="0" vertical="center" wrapText="1"/>
    </xf>
    <xf borderId="33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33" fillId="0" fontId="9" numFmtId="0" xfId="0" applyAlignment="1" applyBorder="1" applyFont="1">
      <alignment horizontal="center" shrinkToFit="0" vertical="center" wrapText="1"/>
    </xf>
    <xf borderId="34" fillId="5" fontId="2" numFmtId="0" xfId="0" applyAlignment="1" applyBorder="1" applyFont="1">
      <alignment horizontal="left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35" fillId="4" fontId="2" numFmtId="0" xfId="0" applyAlignment="1" applyBorder="1" applyFont="1">
      <alignment horizontal="center" shrinkToFit="0" vertical="center" wrapText="1"/>
    </xf>
    <xf borderId="35" fillId="0" fontId="9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36" fillId="0" fontId="9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37" fillId="0" fontId="2" numFmtId="0" xfId="0" applyAlignment="1" applyBorder="1" applyFont="1">
      <alignment horizontal="left" vertical="center"/>
    </xf>
    <xf borderId="38" fillId="0" fontId="2" numFmtId="0" xfId="0" applyAlignment="1" applyBorder="1" applyFont="1">
      <alignment horizontal="left" vertical="center"/>
    </xf>
    <xf borderId="37" fillId="0" fontId="10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8" fillId="6" fontId="11" numFmtId="165" xfId="0" applyAlignment="1" applyBorder="1" applyFill="1" applyFont="1" applyNumberFormat="1">
      <alignment horizontal="left" readingOrder="0" vertical="center"/>
    </xf>
    <xf borderId="38" fillId="0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11" numFmtId="165" xfId="0" applyAlignment="1" applyFont="1" applyNumberFormat="1">
      <alignment horizontal="left" vertical="center"/>
    </xf>
    <xf borderId="4" fillId="0" fontId="12" numFmtId="0" xfId="0" applyAlignment="1" applyBorder="1" applyFont="1">
      <alignment horizontal="center" shrinkToFit="0" vertical="center" wrapText="1"/>
    </xf>
    <xf borderId="5" fillId="0" fontId="11" numFmtId="165" xfId="0" applyAlignment="1" applyBorder="1" applyFont="1" applyNumberFormat="1">
      <alignment horizontal="center" vertical="center"/>
    </xf>
    <xf borderId="38" fillId="0" fontId="13" numFmtId="0" xfId="0" applyAlignment="1" applyBorder="1" applyFont="1">
      <alignment horizontal="center" shrinkToFit="0" vertical="center" wrapText="1"/>
    </xf>
    <xf borderId="32" fillId="2" fontId="2" numFmtId="0" xfId="0" applyAlignment="1" applyBorder="1" applyFont="1">
      <alignment horizontal="left" shrinkToFit="0" vertical="center" wrapText="1"/>
    </xf>
    <xf borderId="32" fillId="2" fontId="4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2" fillId="0" fontId="2" numFmtId="166" xfId="0" applyAlignment="1" applyBorder="1" applyFont="1" applyNumberFormat="1">
      <alignment horizontal="left" shrinkToFit="0" vertical="center" wrapText="1"/>
    </xf>
    <xf borderId="32" fillId="0" fontId="2" numFmtId="167" xfId="0" applyAlignment="1" applyBorder="1" applyFont="1" applyNumberFormat="1">
      <alignment horizontal="left" shrinkToFit="0" vertical="center" wrapText="1"/>
    </xf>
    <xf borderId="8" fillId="7" fontId="11" numFmtId="168" xfId="0" applyAlignment="1" applyBorder="1" applyFill="1" applyFont="1" applyNumberFormat="1">
      <alignment horizontal="left" vertical="center"/>
    </xf>
    <xf borderId="32" fillId="0" fontId="2" numFmtId="0" xfId="0" applyAlignment="1" applyBorder="1" applyFont="1">
      <alignment horizontal="left" shrinkToFit="0" vertical="center" wrapText="1"/>
    </xf>
    <xf borderId="32" fillId="0" fontId="2" numFmtId="169" xfId="0" applyAlignment="1" applyBorder="1" applyFont="1" applyNumberFormat="1">
      <alignment horizontal="left" shrinkToFit="0" vertical="center" wrapText="1"/>
    </xf>
    <xf borderId="39" fillId="0" fontId="10" numFmtId="0" xfId="0" applyAlignment="1" applyBorder="1" applyFont="1">
      <alignment horizontal="left" shrinkToFit="0" vertical="center" wrapText="1"/>
    </xf>
    <xf borderId="40" fillId="0" fontId="10" numFmtId="0" xfId="0" applyAlignment="1" applyBorder="1" applyFont="1">
      <alignment horizontal="left" shrinkToFit="0" vertical="center" wrapText="1"/>
    </xf>
    <xf borderId="41" fillId="0" fontId="10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6" fillId="2" fontId="2" numFmtId="0" xfId="0" applyAlignment="1" applyBorder="1" applyFont="1">
      <alignment horizontal="left" shrinkToFit="0" vertical="center" wrapText="1"/>
    </xf>
    <xf borderId="42" fillId="0" fontId="3" numFmtId="0" xfId="0" applyAlignment="1" applyBorder="1" applyFont="1">
      <alignment horizontal="left" vertical="top"/>
    </xf>
    <xf borderId="26" fillId="2" fontId="4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left" shrinkToFit="0" vertical="center" wrapText="1"/>
    </xf>
    <xf borderId="40" fillId="0" fontId="2" numFmtId="0" xfId="0" applyAlignment="1" applyBorder="1" applyFont="1">
      <alignment horizontal="left" shrinkToFit="0" vertical="center" wrapText="1"/>
    </xf>
    <xf borderId="40" fillId="0" fontId="3" numFmtId="0" xfId="0" applyAlignment="1" applyBorder="1" applyFont="1">
      <alignment horizontal="left" vertical="top"/>
    </xf>
    <xf borderId="41" fillId="0" fontId="3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5">
    <tableStyle count="4" pivot="0" name="Hoja1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Hoja1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Hoja1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Hoja1-style 4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Hoja1-style 5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35</xdr:row>
      <xdr:rowOff>38100</xdr:rowOff>
    </xdr:from>
    <xdr:ext cx="76200" cy="76200"/>
    <xdr:sp>
      <xdr:nvSpPr>
        <xdr:cNvPr id="3" name="Shape 3"/>
        <xdr:cNvSpPr/>
      </xdr:nvSpPr>
      <xdr:spPr>
        <a:xfrm>
          <a:off x="5312663" y="3746663"/>
          <a:ext cx="66675" cy="66675"/>
        </a:xfrm>
        <a:custGeom>
          <a:rect b="b" l="l" r="r" t="t"/>
          <a:pathLst>
            <a:path extrusionOk="0" h="9525" w="30480">
              <a:moveTo>
                <a:pt x="30479" y="0"/>
              </a:moveTo>
              <a:lnTo>
                <a:pt x="0" y="0"/>
              </a:lnTo>
              <a:lnTo>
                <a:pt x="0" y="9143"/>
              </a:lnTo>
              <a:lnTo>
                <a:pt x="30479" y="9143"/>
              </a:lnTo>
              <a:lnTo>
                <a:pt x="30479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3:D5" displayName="Table_1" name="Table_1" id="1">
  <tableColumns count="1">
    <tableColumn name="JORNADA" id="1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ref="D7:D9" displayName="Table_2" name="Table_2" id="2">
  <tableColumns count="1">
    <tableColumn name="JEFAT" id="1"/>
  </tableColumns>
  <tableStyleInfo name="Hoja1-style 2" showColumnStripes="0" showFirstColumn="1" showLastColumn="1" showRowStripes="1"/>
</table>
</file>

<file path=xl/tables/table3.xml><?xml version="1.0" encoding="utf-8"?>
<table xmlns="http://schemas.openxmlformats.org/spreadsheetml/2006/main" ref="D12:D16" displayName="Table_3" name="Table_3" id="3">
  <tableColumns count="1">
    <tableColumn name="SUBCONTRATA" id="1"/>
  </tableColumns>
  <tableStyleInfo name="Hoja1-style 3" showColumnStripes="0" showFirstColumn="1" showLastColumn="1" showRowStripes="1"/>
</table>
</file>

<file path=xl/tables/table4.xml><?xml version="1.0" encoding="utf-8"?>
<table xmlns="http://schemas.openxmlformats.org/spreadsheetml/2006/main" ref="D19:D21" displayName="Table_4" name="Table_4" id="4">
  <tableColumns count="1">
    <tableColumn name="HERBICIDA" id="1"/>
  </tableColumns>
  <tableStyleInfo name="Hoja1-style 4" showColumnStripes="0" showFirstColumn="1" showLastColumn="1" showRowStripes="1"/>
</table>
</file>

<file path=xl/tables/table5.xml><?xml version="1.0" encoding="utf-8"?>
<table xmlns="http://schemas.openxmlformats.org/spreadsheetml/2006/main" ref="D24:D35" displayName="Table_5" name="Table_5" id="5">
  <tableColumns count="1">
    <tableColumn name="PILOTO" id="1"/>
  </tableColumns>
  <tableStyleInfo name="Hoja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5.88"/>
    <col customWidth="1" min="3" max="4" width="6.75"/>
    <col customWidth="1" min="5" max="5" width="5.88"/>
    <col customWidth="1" min="6" max="6" width="8.25"/>
    <col customWidth="1" min="7" max="7" width="18.63"/>
    <col customWidth="1" min="8" max="8" width="17.38"/>
    <col customWidth="1" min="9" max="10" width="9.25"/>
    <col customWidth="1" min="11" max="11" width="12.63"/>
    <col customWidth="1" min="12" max="12" width="10.38"/>
    <col customWidth="1" min="13" max="13" width="6.75"/>
    <col customWidth="1" min="14" max="14" width="12.63"/>
    <col customWidth="1" min="15" max="16" width="9.25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.5" customHeight="1">
      <c r="A2" s="1"/>
      <c r="B2" s="2"/>
      <c r="O2" s="1"/>
      <c r="P2" s="1"/>
    </row>
    <row r="3" ht="29.25" customHeight="1">
      <c r="A3" s="1"/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1"/>
      <c r="P3" s="1"/>
    </row>
    <row r="4" ht="8.2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"/>
      <c r="P4" s="1"/>
    </row>
    <row r="5" ht="17.25" customHeight="1">
      <c r="A5" s="1"/>
      <c r="B5" s="6" t="s">
        <v>1</v>
      </c>
      <c r="C5" s="4"/>
      <c r="D5" s="7">
        <v>46013.0</v>
      </c>
      <c r="E5" s="8"/>
      <c r="F5" s="9"/>
      <c r="G5" s="10" t="s">
        <v>2</v>
      </c>
      <c r="H5" s="11" t="s">
        <v>3</v>
      </c>
      <c r="I5" s="12" t="s">
        <v>4</v>
      </c>
      <c r="J5" s="4"/>
      <c r="K5" s="11" t="s">
        <v>5</v>
      </c>
      <c r="L5" s="10" t="s">
        <v>6</v>
      </c>
      <c r="M5" s="13" t="s">
        <v>7</v>
      </c>
      <c r="N5" s="9"/>
      <c r="O5" s="1"/>
      <c r="P5" s="1"/>
    </row>
    <row r="6" ht="10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/>
      <c r="P6" s="1"/>
    </row>
    <row r="7" ht="17.25" customHeight="1">
      <c r="A7" s="1"/>
      <c r="B7" s="6" t="s">
        <v>8</v>
      </c>
      <c r="C7" s="4"/>
      <c r="D7" s="14" t="s">
        <v>9</v>
      </c>
      <c r="E7" s="8"/>
      <c r="F7" s="8"/>
      <c r="G7" s="8"/>
      <c r="H7" s="9"/>
      <c r="I7" s="12" t="s">
        <v>10</v>
      </c>
      <c r="J7" s="4"/>
      <c r="K7" s="13" t="s">
        <v>11</v>
      </c>
      <c r="L7" s="8"/>
      <c r="M7" s="8"/>
      <c r="N7" s="9"/>
      <c r="O7" s="1"/>
      <c r="P7" s="1"/>
    </row>
    <row r="8" ht="10.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"/>
      <c r="P8" s="1"/>
    </row>
    <row r="9" ht="15.75" customHeight="1">
      <c r="A9" s="1"/>
      <c r="B9" s="15" t="s">
        <v>12</v>
      </c>
      <c r="C9" s="4"/>
      <c r="D9" s="16" t="s">
        <v>13</v>
      </c>
      <c r="E9" s="8"/>
      <c r="F9" s="8"/>
      <c r="G9" s="9"/>
      <c r="H9" s="10"/>
      <c r="I9" s="10"/>
      <c r="J9" s="10"/>
      <c r="K9" s="10"/>
      <c r="L9" s="10"/>
      <c r="M9" s="10"/>
      <c r="N9" s="17"/>
      <c r="O9" s="1"/>
      <c r="P9" s="1"/>
    </row>
    <row r="10" ht="15.75" customHeight="1">
      <c r="A10" s="1"/>
      <c r="B10" s="18" t="s">
        <v>14</v>
      </c>
      <c r="C10" s="19"/>
      <c r="D10" s="19"/>
      <c r="E10" s="19"/>
      <c r="F10" s="19"/>
      <c r="G10" s="19"/>
      <c r="H10" s="19"/>
      <c r="I10" s="20"/>
      <c r="J10" s="18" t="s">
        <v>15</v>
      </c>
      <c r="K10" s="20"/>
      <c r="L10" s="18" t="s">
        <v>16</v>
      </c>
      <c r="M10" s="19"/>
      <c r="N10" s="20"/>
      <c r="O10" s="1"/>
      <c r="P10" s="1"/>
    </row>
    <row r="11" ht="15.0" customHeight="1">
      <c r="A11" s="1"/>
      <c r="B11" s="21" t="s">
        <v>17</v>
      </c>
      <c r="C11" s="22"/>
      <c r="D11" s="22"/>
      <c r="E11" s="22"/>
      <c r="F11" s="22"/>
      <c r="G11" s="22"/>
      <c r="H11" s="22"/>
      <c r="I11" s="23"/>
      <c r="J11" s="24"/>
      <c r="K11" s="25"/>
      <c r="L11" s="24"/>
      <c r="M11" s="26"/>
      <c r="N11" s="27"/>
      <c r="O11" s="1"/>
      <c r="P11" s="1"/>
    </row>
    <row r="12" ht="15.75" customHeight="1">
      <c r="A12" s="1"/>
      <c r="B12" s="28" t="s">
        <v>18</v>
      </c>
      <c r="C12" s="4"/>
      <c r="D12" s="4"/>
      <c r="E12" s="4"/>
      <c r="F12" s="4"/>
      <c r="G12" s="4"/>
      <c r="H12" s="4"/>
      <c r="I12" s="5"/>
      <c r="J12" s="29"/>
      <c r="K12" s="5"/>
      <c r="L12" s="29"/>
      <c r="M12" s="4"/>
      <c r="N12" s="30"/>
      <c r="O12" s="1"/>
      <c r="P12" s="1"/>
    </row>
    <row r="13" ht="15.75" customHeight="1">
      <c r="A13" s="1"/>
      <c r="B13" s="28" t="s">
        <v>19</v>
      </c>
      <c r="C13" s="4"/>
      <c r="D13" s="4"/>
      <c r="E13" s="4"/>
      <c r="F13" s="4"/>
      <c r="G13" s="4"/>
      <c r="H13" s="4"/>
      <c r="I13" s="5"/>
      <c r="J13" s="29"/>
      <c r="K13" s="5"/>
      <c r="L13" s="29"/>
      <c r="M13" s="4"/>
      <c r="N13" s="30"/>
      <c r="O13" s="1"/>
      <c r="P13" s="1"/>
    </row>
    <row r="14" ht="15.75" customHeight="1">
      <c r="A14" s="1"/>
      <c r="B14" s="28" t="s">
        <v>20</v>
      </c>
      <c r="C14" s="4"/>
      <c r="D14" s="4"/>
      <c r="E14" s="4"/>
      <c r="F14" s="4"/>
      <c r="G14" s="4"/>
      <c r="H14" s="4"/>
      <c r="I14" s="5"/>
      <c r="J14" s="29"/>
      <c r="K14" s="5"/>
      <c r="L14" s="29"/>
      <c r="M14" s="4"/>
      <c r="N14" s="30"/>
      <c r="O14" s="1"/>
      <c r="P14" s="1"/>
    </row>
    <row r="15" ht="15.75" customHeight="1">
      <c r="A15" s="1"/>
      <c r="B15" s="31" t="s">
        <v>21</v>
      </c>
      <c r="C15" s="4"/>
      <c r="D15" s="4"/>
      <c r="E15" s="4"/>
      <c r="F15" s="4"/>
      <c r="G15" s="4"/>
      <c r="H15" s="4"/>
      <c r="I15" s="5"/>
      <c r="J15" s="29"/>
      <c r="K15" s="5"/>
      <c r="L15" s="29"/>
      <c r="M15" s="4"/>
      <c r="N15" s="30"/>
      <c r="O15" s="1"/>
      <c r="P15" s="1"/>
    </row>
    <row r="16" ht="15.0" customHeight="1">
      <c r="A16" s="1"/>
      <c r="B16" s="21"/>
      <c r="C16" s="22"/>
      <c r="D16" s="22"/>
      <c r="E16" s="22"/>
      <c r="F16" s="22"/>
      <c r="G16" s="22"/>
      <c r="H16" s="22"/>
      <c r="I16" s="23"/>
      <c r="J16" s="32"/>
      <c r="K16" s="23"/>
      <c r="L16" s="32"/>
      <c r="M16" s="22"/>
      <c r="N16" s="33"/>
      <c r="O16" s="1"/>
      <c r="P16" s="1"/>
    </row>
    <row r="17" ht="10.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"/>
      <c r="P17" s="1"/>
    </row>
    <row r="18" ht="54.75" customHeight="1">
      <c r="A18" s="1"/>
      <c r="B18" s="34" t="s">
        <v>22</v>
      </c>
      <c r="C18" s="34" t="s">
        <v>23</v>
      </c>
      <c r="D18" s="34" t="s">
        <v>24</v>
      </c>
      <c r="E18" s="34" t="s">
        <v>25</v>
      </c>
      <c r="F18" s="35" t="s">
        <v>26</v>
      </c>
      <c r="G18" s="36" t="s">
        <v>27</v>
      </c>
      <c r="H18" s="36" t="s">
        <v>28</v>
      </c>
      <c r="I18" s="37" t="s">
        <v>29</v>
      </c>
      <c r="J18" s="38"/>
      <c r="K18" s="36" t="s">
        <v>30</v>
      </c>
      <c r="L18" s="37" t="s">
        <v>31</v>
      </c>
      <c r="M18" s="38"/>
      <c r="N18" s="36" t="s">
        <v>32</v>
      </c>
      <c r="O18" s="1"/>
      <c r="P18" s="1"/>
    </row>
    <row r="19" ht="15.75" customHeight="1">
      <c r="A19" s="1"/>
      <c r="B19" s="39"/>
      <c r="C19" s="40" t="s">
        <v>33</v>
      </c>
      <c r="D19" s="40"/>
      <c r="E19" s="41"/>
      <c r="F19" s="42" t="s">
        <v>33</v>
      </c>
      <c r="G19" s="43" t="s">
        <v>34</v>
      </c>
      <c r="H19" s="43" t="s">
        <v>35</v>
      </c>
      <c r="I19" s="44" t="s">
        <v>36</v>
      </c>
      <c r="J19" s="25"/>
      <c r="K19" s="45">
        <v>4.5</v>
      </c>
      <c r="L19" s="44"/>
      <c r="M19" s="25"/>
      <c r="N19" s="46"/>
      <c r="O19" s="1"/>
      <c r="P19" s="1"/>
    </row>
    <row r="20" ht="15.75" customHeight="1">
      <c r="A20" s="1"/>
      <c r="B20" s="47"/>
      <c r="C20" s="48" t="s">
        <v>33</v>
      </c>
      <c r="D20" s="49"/>
      <c r="E20" s="49"/>
      <c r="F20" s="50" t="s">
        <v>33</v>
      </c>
      <c r="G20" s="51" t="s">
        <v>34</v>
      </c>
      <c r="H20" s="51" t="s">
        <v>37</v>
      </c>
      <c r="I20" s="52"/>
      <c r="J20" s="5"/>
      <c r="K20" s="53"/>
      <c r="L20" s="52" t="s">
        <v>36</v>
      </c>
      <c r="M20" s="5"/>
      <c r="N20" s="54">
        <v>15.0</v>
      </c>
      <c r="O20" s="1"/>
      <c r="P20" s="1"/>
    </row>
    <row r="21" ht="15.75" customHeight="1">
      <c r="A21" s="1"/>
      <c r="B21" s="47"/>
      <c r="C21" s="55" t="s">
        <v>33</v>
      </c>
      <c r="D21" s="49"/>
      <c r="E21" s="49"/>
      <c r="F21" s="50" t="s">
        <v>33</v>
      </c>
      <c r="G21" s="56" t="s">
        <v>37</v>
      </c>
      <c r="H21" s="56" t="s">
        <v>35</v>
      </c>
      <c r="I21" s="57"/>
      <c r="J21" s="5"/>
      <c r="K21" s="58"/>
      <c r="L21" s="57" t="s">
        <v>36</v>
      </c>
      <c r="M21" s="5"/>
      <c r="N21" s="59">
        <v>4.5</v>
      </c>
      <c r="O21" s="1"/>
      <c r="P21" s="1"/>
    </row>
    <row r="22" ht="15.75" customHeight="1">
      <c r="A22" s="1"/>
      <c r="B22" s="47"/>
      <c r="C22" s="49" t="s">
        <v>33</v>
      </c>
      <c r="D22" s="49"/>
      <c r="E22" s="49"/>
      <c r="F22" s="50" t="s">
        <v>33</v>
      </c>
      <c r="G22" s="56" t="s">
        <v>35</v>
      </c>
      <c r="H22" s="56" t="s">
        <v>38</v>
      </c>
      <c r="I22" s="60"/>
      <c r="J22" s="5"/>
      <c r="K22" s="55"/>
      <c r="L22" s="57" t="s">
        <v>36</v>
      </c>
      <c r="M22" s="5"/>
      <c r="N22" s="59">
        <v>2.5</v>
      </c>
      <c r="O22" s="1"/>
      <c r="P22" s="1"/>
    </row>
    <row r="23" ht="15.75" customHeight="1">
      <c r="A23" s="1"/>
      <c r="B23" s="47"/>
      <c r="C23" s="49" t="s">
        <v>33</v>
      </c>
      <c r="D23" s="49"/>
      <c r="E23" s="49"/>
      <c r="F23" s="50" t="s">
        <v>33</v>
      </c>
      <c r="G23" s="56" t="s">
        <v>35</v>
      </c>
      <c r="H23" s="58" t="s">
        <v>38</v>
      </c>
      <c r="I23" s="57" t="s">
        <v>36</v>
      </c>
      <c r="J23" s="5"/>
      <c r="K23" s="58">
        <v>2.5</v>
      </c>
      <c r="L23" s="60"/>
      <c r="M23" s="5"/>
      <c r="N23" s="61"/>
      <c r="O23" s="1"/>
      <c r="P23" s="1"/>
    </row>
    <row r="24" ht="15.0" customHeight="1">
      <c r="A24" s="1"/>
      <c r="B24" s="47"/>
      <c r="C24" s="49" t="s">
        <v>33</v>
      </c>
      <c r="D24" s="49"/>
      <c r="E24" s="49"/>
      <c r="F24" s="50" t="s">
        <v>33</v>
      </c>
      <c r="G24" s="56" t="s">
        <v>38</v>
      </c>
      <c r="H24" s="56" t="s">
        <v>39</v>
      </c>
      <c r="I24" s="60"/>
      <c r="J24" s="5"/>
      <c r="K24" s="55"/>
      <c r="L24" s="57" t="s">
        <v>36</v>
      </c>
      <c r="M24" s="5"/>
      <c r="N24" s="59">
        <v>4.5</v>
      </c>
      <c r="O24" s="1"/>
      <c r="P24" s="1"/>
    </row>
    <row r="25" ht="15.75" customHeight="1">
      <c r="A25" s="1"/>
      <c r="B25" s="47"/>
      <c r="C25" s="49" t="s">
        <v>33</v>
      </c>
      <c r="D25" s="49"/>
      <c r="E25" s="49"/>
      <c r="F25" s="50" t="s">
        <v>33</v>
      </c>
      <c r="G25" s="56" t="s">
        <v>38</v>
      </c>
      <c r="H25" s="56" t="s">
        <v>39</v>
      </c>
      <c r="I25" s="57" t="s">
        <v>36</v>
      </c>
      <c r="J25" s="5"/>
      <c r="K25" s="58">
        <v>4.5</v>
      </c>
      <c r="L25" s="60"/>
      <c r="M25" s="5"/>
      <c r="N25" s="61"/>
      <c r="O25" s="1"/>
      <c r="P25" s="1"/>
    </row>
    <row r="26" ht="15.75" customHeight="1">
      <c r="A26" s="1"/>
      <c r="B26" s="47"/>
      <c r="C26" s="49" t="s">
        <v>33</v>
      </c>
      <c r="D26" s="49"/>
      <c r="E26" s="49"/>
      <c r="F26" s="50" t="s">
        <v>33</v>
      </c>
      <c r="G26" s="58" t="s">
        <v>39</v>
      </c>
      <c r="H26" s="58" t="s">
        <v>40</v>
      </c>
      <c r="I26" s="60"/>
      <c r="J26" s="5"/>
      <c r="K26" s="55"/>
      <c r="L26" s="57" t="s">
        <v>36</v>
      </c>
      <c r="M26" s="5"/>
      <c r="N26" s="59">
        <v>2.0</v>
      </c>
      <c r="O26" s="1"/>
      <c r="P26" s="1"/>
    </row>
    <row r="27" ht="15.75" customHeight="1">
      <c r="A27" s="1"/>
      <c r="B27" s="47"/>
      <c r="C27" s="49" t="s">
        <v>33</v>
      </c>
      <c r="D27" s="49"/>
      <c r="E27" s="49"/>
      <c r="F27" s="50" t="s">
        <v>33</v>
      </c>
      <c r="G27" s="58" t="s">
        <v>39</v>
      </c>
      <c r="H27" s="58" t="s">
        <v>40</v>
      </c>
      <c r="I27" s="57" t="s">
        <v>36</v>
      </c>
      <c r="J27" s="5"/>
      <c r="K27" s="58">
        <v>2.0</v>
      </c>
      <c r="L27" s="60"/>
      <c r="M27" s="5"/>
      <c r="N27" s="61"/>
      <c r="O27" s="1"/>
      <c r="P27" s="1"/>
    </row>
    <row r="28" ht="15.75" customHeight="1">
      <c r="A28" s="1"/>
      <c r="B28" s="47"/>
      <c r="C28" s="49" t="s">
        <v>33</v>
      </c>
      <c r="D28" s="49"/>
      <c r="E28" s="49"/>
      <c r="F28" s="50" t="s">
        <v>33</v>
      </c>
      <c r="G28" s="58" t="s">
        <v>40</v>
      </c>
      <c r="H28" s="58" t="s">
        <v>41</v>
      </c>
      <c r="I28" s="60"/>
      <c r="J28" s="5"/>
      <c r="K28" s="55"/>
      <c r="L28" s="57" t="s">
        <v>36</v>
      </c>
      <c r="M28" s="5"/>
      <c r="N28" s="59">
        <v>4.5</v>
      </c>
      <c r="O28" s="1"/>
      <c r="P28" s="1"/>
    </row>
    <row r="29" ht="15.0" customHeight="1">
      <c r="A29" s="1"/>
      <c r="B29" s="47"/>
      <c r="C29" s="49" t="s">
        <v>33</v>
      </c>
      <c r="D29" s="49"/>
      <c r="E29" s="49"/>
      <c r="F29" s="50" t="s">
        <v>33</v>
      </c>
      <c r="G29" s="58" t="s">
        <v>40</v>
      </c>
      <c r="H29" s="58" t="s">
        <v>41</v>
      </c>
      <c r="I29" s="57" t="s">
        <v>36</v>
      </c>
      <c r="J29" s="5"/>
      <c r="K29" s="58">
        <v>4.5</v>
      </c>
      <c r="L29" s="60"/>
      <c r="M29" s="5"/>
      <c r="N29" s="61"/>
      <c r="O29" s="1"/>
      <c r="P29" s="1"/>
    </row>
    <row r="30" ht="15.75" customHeight="1">
      <c r="A30" s="1"/>
      <c r="B30" s="47"/>
      <c r="C30" s="49" t="s">
        <v>33</v>
      </c>
      <c r="D30" s="49"/>
      <c r="E30" s="49"/>
      <c r="F30" s="50" t="s">
        <v>33</v>
      </c>
      <c r="G30" s="58" t="s">
        <v>41</v>
      </c>
      <c r="H30" s="58" t="s">
        <v>42</v>
      </c>
      <c r="I30" s="60"/>
      <c r="J30" s="5"/>
      <c r="K30" s="55"/>
      <c r="L30" s="57" t="s">
        <v>36</v>
      </c>
      <c r="M30" s="5"/>
      <c r="N30" s="59">
        <v>3.0</v>
      </c>
      <c r="O30" s="1"/>
      <c r="P30" s="1"/>
    </row>
    <row r="31" ht="15.75" customHeight="1">
      <c r="A31" s="1"/>
      <c r="B31" s="47"/>
      <c r="C31" s="49" t="s">
        <v>33</v>
      </c>
      <c r="D31" s="49"/>
      <c r="E31" s="49"/>
      <c r="F31" s="50" t="s">
        <v>33</v>
      </c>
      <c r="G31" s="58" t="s">
        <v>41</v>
      </c>
      <c r="H31" s="58" t="s">
        <v>42</v>
      </c>
      <c r="I31" s="57" t="s">
        <v>36</v>
      </c>
      <c r="J31" s="5"/>
      <c r="K31" s="58">
        <v>3.0</v>
      </c>
      <c r="L31" s="60"/>
      <c r="M31" s="5"/>
      <c r="N31" s="61"/>
      <c r="O31" s="1"/>
      <c r="P31" s="1"/>
    </row>
    <row r="32" ht="15.75" customHeight="1">
      <c r="A32" s="1"/>
      <c r="B32" s="47"/>
      <c r="C32" s="49" t="s">
        <v>33</v>
      </c>
      <c r="D32" s="49"/>
      <c r="E32" s="49"/>
      <c r="F32" s="50" t="s">
        <v>33</v>
      </c>
      <c r="G32" s="55"/>
      <c r="H32" s="55"/>
      <c r="I32" s="60"/>
      <c r="J32" s="5"/>
      <c r="K32" s="55"/>
      <c r="L32" s="60"/>
      <c r="M32" s="5"/>
      <c r="N32" s="61"/>
      <c r="O32" s="1"/>
      <c r="P32" s="1"/>
    </row>
    <row r="33" ht="15.75" customHeight="1">
      <c r="A33" s="1"/>
      <c r="B33" s="47"/>
      <c r="C33" s="49" t="s">
        <v>33</v>
      </c>
      <c r="D33" s="49"/>
      <c r="E33" s="49"/>
      <c r="F33" s="50" t="s">
        <v>33</v>
      </c>
      <c r="G33" s="55"/>
      <c r="H33" s="55"/>
      <c r="I33" s="60"/>
      <c r="J33" s="5"/>
      <c r="K33" s="55"/>
      <c r="L33" s="60"/>
      <c r="M33" s="5"/>
      <c r="N33" s="61"/>
      <c r="O33" s="1"/>
      <c r="P33" s="1"/>
    </row>
    <row r="34" ht="14.25" customHeight="1">
      <c r="A34" s="1"/>
      <c r="B34" s="62"/>
      <c r="C34" s="63"/>
      <c r="D34" s="63"/>
      <c r="E34" s="63"/>
      <c r="F34" s="64"/>
      <c r="G34" s="65"/>
      <c r="H34" s="65"/>
      <c r="I34" s="66"/>
      <c r="J34" s="23"/>
      <c r="K34" s="65"/>
      <c r="L34" s="66"/>
      <c r="M34" s="23"/>
      <c r="N34" s="67"/>
      <c r="O34" s="1"/>
      <c r="P34" s="1"/>
    </row>
    <row r="35" ht="10.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"/>
      <c r="P35" s="1"/>
    </row>
    <row r="36" ht="9.0" customHeight="1">
      <c r="A36" s="1"/>
      <c r="B36" s="68" t="s">
        <v>43</v>
      </c>
      <c r="C36" s="19"/>
      <c r="D36" s="19"/>
      <c r="E36" s="19"/>
      <c r="F36" s="19"/>
      <c r="G36" s="19"/>
      <c r="H36" s="20"/>
      <c r="I36" s="69" t="s">
        <v>44</v>
      </c>
      <c r="J36" s="4"/>
      <c r="K36" s="4"/>
      <c r="L36" s="4"/>
      <c r="M36" s="4"/>
      <c r="N36" s="5"/>
      <c r="O36" s="1"/>
      <c r="P36" s="1"/>
    </row>
    <row r="37" ht="9.0" customHeight="1">
      <c r="A37" s="1"/>
      <c r="B37" s="70"/>
      <c r="C37" s="1"/>
      <c r="D37" s="1"/>
      <c r="E37" s="1"/>
      <c r="F37" s="1"/>
      <c r="G37" s="1"/>
      <c r="H37" s="71"/>
      <c r="I37" s="1"/>
      <c r="J37" s="1"/>
      <c r="K37" s="1"/>
      <c r="L37" s="1"/>
      <c r="M37" s="1"/>
      <c r="N37" s="1"/>
      <c r="O37" s="1"/>
      <c r="P37" s="1"/>
    </row>
    <row r="38" ht="18.75" customHeight="1">
      <c r="A38" s="1"/>
      <c r="B38" s="72"/>
      <c r="C38" s="73" t="s">
        <v>45</v>
      </c>
      <c r="D38" s="74"/>
      <c r="E38" s="1"/>
      <c r="F38" s="75"/>
      <c r="G38" s="76">
        <v>12173.0</v>
      </c>
      <c r="H38" s="77"/>
      <c r="I38" s="1"/>
      <c r="J38" s="16"/>
      <c r="K38" s="8"/>
      <c r="L38" s="8"/>
      <c r="M38" s="9"/>
      <c r="N38" s="1"/>
      <c r="O38" s="1"/>
      <c r="P38" s="1"/>
    </row>
    <row r="39" ht="18.0" customHeight="1">
      <c r="A39" s="1"/>
      <c r="B39" s="72"/>
      <c r="C39" s="78"/>
      <c r="D39" s="74"/>
      <c r="E39" s="1"/>
      <c r="F39" s="75"/>
      <c r="G39" s="79"/>
      <c r="H39" s="77"/>
      <c r="I39" s="1"/>
      <c r="J39" s="80" t="s">
        <v>46</v>
      </c>
      <c r="K39" s="8"/>
      <c r="L39" s="81">
        <f>+G38</f>
        <v>12173</v>
      </c>
      <c r="M39" s="9"/>
      <c r="N39" s="1"/>
      <c r="O39" s="1"/>
      <c r="P39" s="1"/>
    </row>
    <row r="40" ht="13.5" customHeight="1">
      <c r="A40" s="1"/>
      <c r="B40" s="72"/>
      <c r="C40" s="74" t="s">
        <v>47</v>
      </c>
      <c r="D40" s="74"/>
      <c r="E40" s="1"/>
      <c r="F40" s="75"/>
      <c r="G40" s="79">
        <f>+G38*0.2</f>
        <v>2434.6</v>
      </c>
      <c r="H40" s="82" t="s">
        <v>48</v>
      </c>
      <c r="I40" s="1"/>
      <c r="J40" s="1"/>
      <c r="K40" s="1"/>
      <c r="L40" s="1"/>
      <c r="M40" s="1"/>
      <c r="N40" s="1"/>
      <c r="O40" s="1"/>
      <c r="P40" s="78"/>
    </row>
    <row r="41" ht="18.0" customHeight="1">
      <c r="A41" s="1"/>
      <c r="B41" s="72"/>
      <c r="C41" s="74" t="s">
        <v>49</v>
      </c>
      <c r="D41" s="74"/>
      <c r="E41" s="1"/>
      <c r="F41" s="75"/>
      <c r="G41" s="79">
        <f>+G38*0.8</f>
        <v>9738.4</v>
      </c>
      <c r="H41" s="82" t="s">
        <v>50</v>
      </c>
      <c r="I41" s="12" t="s">
        <v>51</v>
      </c>
      <c r="J41" s="5"/>
      <c r="K41" s="83" t="s">
        <v>52</v>
      </c>
      <c r="L41" s="6" t="s">
        <v>53</v>
      </c>
      <c r="M41" s="5"/>
      <c r="N41" s="84" t="s">
        <v>54</v>
      </c>
      <c r="O41" s="1"/>
      <c r="P41" s="1"/>
    </row>
    <row r="42" ht="18.0" customHeight="1">
      <c r="A42" s="1"/>
      <c r="B42" s="72"/>
      <c r="C42" s="74" t="s">
        <v>55</v>
      </c>
      <c r="D42" s="74"/>
      <c r="E42" s="1"/>
      <c r="F42" s="75"/>
      <c r="G42" s="79">
        <f>G41</f>
        <v>9738.4</v>
      </c>
      <c r="H42" s="82"/>
      <c r="I42" s="29"/>
      <c r="J42" s="85"/>
      <c r="K42" s="29"/>
      <c r="L42" s="29"/>
      <c r="M42" s="85"/>
      <c r="N42" s="86"/>
      <c r="O42" s="1"/>
      <c r="P42" s="1"/>
    </row>
    <row r="43" ht="18.0" customHeight="1">
      <c r="A43" s="1"/>
      <c r="B43" s="72"/>
      <c r="C43" s="74"/>
      <c r="D43" s="74"/>
      <c r="E43" s="1"/>
      <c r="F43" s="75"/>
      <c r="G43" s="79"/>
      <c r="H43" s="82"/>
      <c r="I43" s="29"/>
      <c r="J43" s="85"/>
      <c r="K43" s="29"/>
      <c r="L43" s="29"/>
      <c r="M43" s="85"/>
      <c r="N43" s="87"/>
      <c r="O43" s="1"/>
      <c r="P43" s="1"/>
    </row>
    <row r="44" ht="18.0" customHeight="1">
      <c r="A44" s="1"/>
      <c r="B44" s="72"/>
      <c r="C44" s="74" t="s">
        <v>56</v>
      </c>
      <c r="D44" s="74"/>
      <c r="E44" s="88"/>
      <c r="F44" s="74" t="s">
        <v>57</v>
      </c>
      <c r="G44" s="88">
        <v>0.0</v>
      </c>
      <c r="H44" s="77"/>
      <c r="I44" s="29"/>
      <c r="J44" s="85"/>
      <c r="K44" s="89"/>
      <c r="L44" s="29"/>
      <c r="M44" s="85"/>
      <c r="N44" s="90"/>
      <c r="O44" s="1"/>
      <c r="P44" s="1"/>
    </row>
    <row r="45" ht="18.0" customHeight="1">
      <c r="A45" s="1"/>
      <c r="B45" s="91"/>
      <c r="C45" s="92"/>
      <c r="D45" s="92"/>
      <c r="E45" s="92"/>
      <c r="F45" s="92"/>
      <c r="G45" s="92"/>
      <c r="H45" s="93"/>
      <c r="I45" s="94"/>
      <c r="J45" s="5"/>
      <c r="K45" s="89"/>
      <c r="L45" s="29"/>
      <c r="M45" s="5"/>
      <c r="N45" s="89"/>
      <c r="O45" s="1"/>
      <c r="P45" s="1"/>
    </row>
    <row r="46" ht="10.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</row>
    <row r="47" ht="9.0" customHeight="1">
      <c r="A47" s="1"/>
      <c r="B47" s="95" t="s">
        <v>58</v>
      </c>
      <c r="C47" s="96"/>
      <c r="D47" s="96"/>
      <c r="E47" s="96"/>
      <c r="F47" s="96"/>
      <c r="G47" s="96"/>
      <c r="H47" s="38"/>
      <c r="I47" s="97" t="s">
        <v>59</v>
      </c>
      <c r="J47" s="96"/>
      <c r="K47" s="96"/>
      <c r="L47" s="96"/>
      <c r="M47" s="96"/>
      <c r="N47" s="38"/>
      <c r="O47" s="1"/>
      <c r="P47" s="1"/>
    </row>
    <row r="48" ht="46.5" customHeight="1">
      <c r="A48" s="1"/>
      <c r="B48" s="98" t="s">
        <v>60</v>
      </c>
      <c r="C48" s="8"/>
      <c r="D48" s="8"/>
      <c r="E48" s="8"/>
      <c r="F48" s="8"/>
      <c r="G48" s="8"/>
      <c r="H48" s="9"/>
      <c r="I48" s="99" t="s">
        <v>61</v>
      </c>
      <c r="J48" s="100"/>
      <c r="K48" s="100"/>
      <c r="L48" s="100"/>
      <c r="M48" s="100"/>
      <c r="N48" s="101"/>
      <c r="O48" s="1"/>
      <c r="P48" s="1"/>
    </row>
    <row r="49" ht="9.0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</row>
    <row r="50" ht="48.0" customHeight="1">
      <c r="A50" s="1"/>
      <c r="B50" s="102" t="s">
        <v>62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5"/>
      <c r="O50" s="1"/>
      <c r="P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I20:J20"/>
    <mergeCell ref="I21:J21"/>
    <mergeCell ref="I22:J22"/>
    <mergeCell ref="I23:J23"/>
    <mergeCell ref="I24:J24"/>
    <mergeCell ref="I25:J25"/>
    <mergeCell ref="I26:J26"/>
    <mergeCell ref="I34:J34"/>
    <mergeCell ref="I41:J41"/>
    <mergeCell ref="I45:J45"/>
    <mergeCell ref="I27:J27"/>
    <mergeCell ref="I28:J28"/>
    <mergeCell ref="I29:J29"/>
    <mergeCell ref="I30:J30"/>
    <mergeCell ref="I31:J31"/>
    <mergeCell ref="I32:J32"/>
    <mergeCell ref="I33:J33"/>
    <mergeCell ref="L21:M21"/>
    <mergeCell ref="L22:M22"/>
    <mergeCell ref="L23:M23"/>
    <mergeCell ref="L24:M24"/>
    <mergeCell ref="L25:M25"/>
    <mergeCell ref="L26:M26"/>
    <mergeCell ref="L27:M27"/>
    <mergeCell ref="L41:M41"/>
    <mergeCell ref="L45:M45"/>
    <mergeCell ref="L28:M28"/>
    <mergeCell ref="L29:M29"/>
    <mergeCell ref="L30:M30"/>
    <mergeCell ref="L31:M31"/>
    <mergeCell ref="L32:M32"/>
    <mergeCell ref="L33:M33"/>
    <mergeCell ref="L34:M34"/>
    <mergeCell ref="B2:N2"/>
    <mergeCell ref="B3:N3"/>
    <mergeCell ref="B5:C5"/>
    <mergeCell ref="D5:F5"/>
    <mergeCell ref="I5:J5"/>
    <mergeCell ref="M5:N5"/>
    <mergeCell ref="B7:C7"/>
    <mergeCell ref="K7:N7"/>
    <mergeCell ref="D7:H7"/>
    <mergeCell ref="I7:J7"/>
    <mergeCell ref="B9:C9"/>
    <mergeCell ref="D9:G9"/>
    <mergeCell ref="B10:I10"/>
    <mergeCell ref="J10:K10"/>
    <mergeCell ref="L10:N10"/>
    <mergeCell ref="J13:K13"/>
    <mergeCell ref="L13:N13"/>
    <mergeCell ref="B11:I11"/>
    <mergeCell ref="J11:K11"/>
    <mergeCell ref="L11:N11"/>
    <mergeCell ref="B12:I12"/>
    <mergeCell ref="J12:K12"/>
    <mergeCell ref="L12:N12"/>
    <mergeCell ref="B13:I13"/>
    <mergeCell ref="B14:I14"/>
    <mergeCell ref="J14:K14"/>
    <mergeCell ref="L14:N14"/>
    <mergeCell ref="B15:I15"/>
    <mergeCell ref="J15:K15"/>
    <mergeCell ref="L15:N15"/>
    <mergeCell ref="B16:I16"/>
    <mergeCell ref="J16:K16"/>
    <mergeCell ref="L16:N16"/>
    <mergeCell ref="I18:J18"/>
    <mergeCell ref="L18:M18"/>
    <mergeCell ref="I19:J19"/>
    <mergeCell ref="L19:M19"/>
    <mergeCell ref="L20:M20"/>
    <mergeCell ref="B48:H48"/>
    <mergeCell ref="I48:N48"/>
    <mergeCell ref="B50:N50"/>
    <mergeCell ref="B36:H36"/>
    <mergeCell ref="I36:N36"/>
    <mergeCell ref="J38:M38"/>
    <mergeCell ref="J39:K39"/>
    <mergeCell ref="L39:M39"/>
    <mergeCell ref="B47:H47"/>
    <mergeCell ref="I47:N47"/>
  </mergeCells>
  <conditionalFormatting sqref="I42:J44">
    <cfRule type="expression" dxfId="0" priority="1">
      <formula>$J$38&lt;&gt;0</formula>
    </cfRule>
  </conditionalFormatting>
  <conditionalFormatting sqref="I42:J44">
    <cfRule type="expression" dxfId="0" priority="2">
      <formula>$J$38=0</formula>
    </cfRule>
  </conditionalFormatting>
  <conditionalFormatting sqref="J39">
    <cfRule type="expression" dxfId="0" priority="3">
      <formula>$J$38&lt;&gt;0</formula>
    </cfRule>
  </conditionalFormatting>
  <conditionalFormatting sqref="J39">
    <cfRule type="expression" dxfId="0" priority="4">
      <formula>$J$38=0</formula>
    </cfRule>
  </conditionalFormatting>
  <conditionalFormatting sqref="K42:K43">
    <cfRule type="expression" dxfId="0" priority="5">
      <formula>$J$38&lt;&gt;0</formula>
    </cfRule>
  </conditionalFormatting>
  <conditionalFormatting sqref="K42:K43">
    <cfRule type="expression" dxfId="0" priority="6">
      <formula>$J$38=0</formula>
    </cfRule>
  </conditionalFormatting>
  <conditionalFormatting sqref="L39:M39">
    <cfRule type="expression" dxfId="0" priority="7">
      <formula>J38&lt;&gt;0</formula>
    </cfRule>
  </conditionalFormatting>
  <conditionalFormatting sqref="L39:M39">
    <cfRule type="expression" dxfId="0" priority="8">
      <formula>J38=0</formula>
    </cfRule>
  </conditionalFormatting>
  <conditionalFormatting sqref="L42:M44">
    <cfRule type="expression" dxfId="0" priority="9">
      <formula>$J$38&lt;&gt;0</formula>
    </cfRule>
  </conditionalFormatting>
  <conditionalFormatting sqref="L42:M44">
    <cfRule type="expression" dxfId="0" priority="10">
      <formula>$J$38=0</formula>
    </cfRule>
  </conditionalFormatting>
  <dataValidations>
    <dataValidation type="list" allowBlank="1" showInputMessage="1" showErrorMessage="1" prompt="JEFAT" sqref="K5">
      <formula1>Hoja1!$D$8:$D$9</formula1>
    </dataValidation>
    <dataValidation type="list" allowBlank="1" showErrorMessage="1" sqref="J38">
      <formula1>Hoja1!$D$20:$D$21</formula1>
    </dataValidation>
    <dataValidation type="list" allowBlank="1" showInputMessage="1" showErrorMessage="1" prompt="JORNADA" sqref="H5">
      <formula1>Hoja1!$D$4:$D$5</formula1>
    </dataValidation>
    <dataValidation type="list" allowBlank="1" showErrorMessage="1" sqref="D9">
      <formula1>Hoja1!$D$13:$D$16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88"/>
    <col customWidth="1" min="4" max="4" width="21.13"/>
    <col customWidth="1" min="5" max="8" width="10.88"/>
  </cols>
  <sheetData>
    <row r="1" ht="13.5" customHeight="1"/>
    <row r="2" ht="13.5" customHeight="1"/>
    <row r="3" ht="13.5" customHeight="1">
      <c r="C3" s="103" t="s">
        <v>63</v>
      </c>
      <c r="D3" s="104" t="s">
        <v>63</v>
      </c>
      <c r="H3" s="105" t="s">
        <v>64</v>
      </c>
    </row>
    <row r="4" ht="13.5" customHeight="1">
      <c r="D4" s="106" t="s">
        <v>3</v>
      </c>
      <c r="H4" s="107" t="s">
        <v>65</v>
      </c>
    </row>
    <row r="5" ht="13.5" customHeight="1">
      <c r="D5" s="106" t="s">
        <v>66</v>
      </c>
      <c r="H5" s="107" t="s">
        <v>67</v>
      </c>
    </row>
    <row r="6" ht="13.5" customHeight="1">
      <c r="H6" s="107" t="s">
        <v>68</v>
      </c>
    </row>
    <row r="7" ht="13.5" customHeight="1">
      <c r="C7" s="103" t="s">
        <v>69</v>
      </c>
      <c r="D7" s="104" t="s">
        <v>69</v>
      </c>
      <c r="H7" s="107" t="s">
        <v>70</v>
      </c>
    </row>
    <row r="8" ht="13.5" customHeight="1">
      <c r="D8" s="106" t="s">
        <v>5</v>
      </c>
      <c r="H8" s="107" t="s">
        <v>71</v>
      </c>
    </row>
    <row r="9" ht="13.5" customHeight="1">
      <c r="D9" s="106" t="s">
        <v>72</v>
      </c>
      <c r="H9" s="107" t="s">
        <v>73</v>
      </c>
    </row>
    <row r="10" ht="13.5" customHeight="1">
      <c r="H10" s="107" t="s">
        <v>74</v>
      </c>
    </row>
    <row r="11" ht="13.5" customHeight="1">
      <c r="H11" s="107" t="s">
        <v>75</v>
      </c>
    </row>
    <row r="12" ht="13.5" customHeight="1">
      <c r="D12" s="104" t="s">
        <v>76</v>
      </c>
      <c r="H12" s="107" t="s">
        <v>77</v>
      </c>
    </row>
    <row r="13" ht="13.5" customHeight="1">
      <c r="D13" s="106" t="s">
        <v>13</v>
      </c>
      <c r="H13" s="107" t="s">
        <v>78</v>
      </c>
    </row>
    <row r="14" ht="13.5" customHeight="1">
      <c r="D14" s="106" t="s">
        <v>79</v>
      </c>
      <c r="H14" s="107" t="s">
        <v>80</v>
      </c>
    </row>
    <row r="15" ht="13.5" customHeight="1">
      <c r="D15" s="106" t="s">
        <v>81</v>
      </c>
      <c r="H15" s="107" t="s">
        <v>82</v>
      </c>
    </row>
    <row r="16" ht="13.5" customHeight="1">
      <c r="D16" s="106" t="s">
        <v>83</v>
      </c>
      <c r="H16" s="107" t="s">
        <v>84</v>
      </c>
    </row>
    <row r="17" ht="13.5" customHeight="1">
      <c r="H17" s="107" t="s">
        <v>85</v>
      </c>
    </row>
    <row r="18" ht="13.5" customHeight="1">
      <c r="H18" s="107" t="s">
        <v>86</v>
      </c>
    </row>
    <row r="19" ht="13.5" customHeight="1">
      <c r="D19" s="104" t="s">
        <v>87</v>
      </c>
      <c r="H19" s="107" t="s">
        <v>88</v>
      </c>
    </row>
    <row r="20" ht="13.5" customHeight="1">
      <c r="D20" s="106" t="s">
        <v>89</v>
      </c>
      <c r="H20" s="107" t="s">
        <v>90</v>
      </c>
    </row>
    <row r="21" ht="13.5" customHeight="1">
      <c r="D21" s="106"/>
      <c r="H21" s="107" t="s">
        <v>91</v>
      </c>
    </row>
    <row r="22" ht="13.5" customHeight="1">
      <c r="H22" s="107" t="s">
        <v>92</v>
      </c>
    </row>
    <row r="23" ht="13.5" customHeight="1">
      <c r="H23" s="107" t="s">
        <v>93</v>
      </c>
    </row>
    <row r="24" ht="13.5" customHeight="1">
      <c r="D24" s="104" t="s">
        <v>94</v>
      </c>
      <c r="H24" s="107" t="s">
        <v>95</v>
      </c>
    </row>
    <row r="25" ht="13.5" customHeight="1">
      <c r="D25" s="106" t="s">
        <v>96</v>
      </c>
      <c r="H25" s="107" t="s">
        <v>97</v>
      </c>
    </row>
    <row r="26" ht="13.5" customHeight="1">
      <c r="D26" s="106" t="s">
        <v>98</v>
      </c>
      <c r="H26" s="107" t="s">
        <v>99</v>
      </c>
    </row>
    <row r="27" ht="13.5" customHeight="1">
      <c r="D27" s="106" t="s">
        <v>100</v>
      </c>
      <c r="H27" s="107" t="s">
        <v>101</v>
      </c>
    </row>
    <row r="28" ht="13.5" customHeight="1">
      <c r="D28" s="106" t="s">
        <v>102</v>
      </c>
    </row>
    <row r="29" ht="13.5" customHeight="1">
      <c r="D29" s="106" t="s">
        <v>103</v>
      </c>
    </row>
    <row r="30" ht="13.5" customHeight="1">
      <c r="D30" s="106" t="s">
        <v>104</v>
      </c>
    </row>
    <row r="31" ht="13.5" customHeight="1">
      <c r="D31" s="106" t="s">
        <v>105</v>
      </c>
    </row>
    <row r="32" ht="13.5" customHeight="1">
      <c r="D32" s="106" t="s">
        <v>106</v>
      </c>
    </row>
    <row r="33" ht="13.5" customHeight="1">
      <c r="D33" s="106" t="s">
        <v>107</v>
      </c>
    </row>
    <row r="34" ht="13.5" customHeight="1">
      <c r="D34" s="106" t="s">
        <v>108</v>
      </c>
    </row>
    <row r="35" ht="13.5" customHeight="1">
      <c r="D35" s="106" t="s">
        <v>109</v>
      </c>
    </row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