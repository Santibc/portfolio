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DD9B1361-D0AF-4025-BAAC-DA7A7EE9A8E2}" xr6:coauthVersionLast="47" xr6:coauthVersionMax="47" xr10:uidLastSave="{00000000-0000-0000-0000-000000000000}"/>
  <bookViews>
    <workbookView xWindow="-110" yWindow="-110" windowWidth="19420" windowHeight="10300" firstSheet="6" activeTab="6" xr2:uid="{00000000-000D-0000-FFFF-FFFF00000000}"/>
  </bookViews>
  <sheets>
    <sheet name="CONTROL MERCADO" sheetId="1" r:id="rId1"/>
    <sheet name="CUENTAS LC" sheetId="7" r:id="rId2"/>
    <sheet name="IMPRIMIR" sheetId="2" r:id="rId3"/>
    <sheet name="COMPRAS" sheetId="3" r:id="rId4"/>
    <sheet name="NOMINA" sheetId="10" r:id="rId5"/>
    <sheet name="PRESTAMOS" sheetId="15" r:id="rId6"/>
    <sheet name="CUENTAS" sheetId="8" r:id="rId7"/>
    <sheet name="CONSOLIDADO" sheetId="6" r:id="rId8"/>
    <sheet name="VENTAS ENERO" sheetId="5" r:id="rId9"/>
    <sheet name="VENTAS FEBRERO" sheetId="12" r:id="rId10"/>
    <sheet name="VENTAS MARZO" sheetId="13" r:id="rId11"/>
    <sheet name="VENTAS ABRIL" sheetId="14" r:id="rId12"/>
    <sheet name="VENTAS MAYO" sheetId="16" r:id="rId13"/>
    <sheet name="Hoja2" sheetId="18" r:id="rId14"/>
    <sheet name="Hoja1" sheetId="17" r:id="rId15"/>
  </sheets>
  <definedNames>
    <definedName name="_xlnm._FilterDatabase" localSheetId="8" hidden="1">'VENTAS ENERO'!#REF!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2" i="14" l="1"/>
  <c r="H281" i="14"/>
  <c r="P193" i="8"/>
  <c r="P199" i="8" s="1"/>
  <c r="P183" i="8"/>
  <c r="P175" i="8"/>
  <c r="P173" i="8"/>
  <c r="P165" i="8"/>
  <c r="P163" i="8"/>
  <c r="X195" i="8"/>
  <c r="P196" i="8"/>
  <c r="P195" i="8"/>
  <c r="P194" i="8"/>
  <c r="Q133" i="10"/>
  <c r="Q137" i="10"/>
  <c r="M136" i="10"/>
  <c r="L136" i="10"/>
  <c r="K136" i="10"/>
  <c r="I136" i="10"/>
  <c r="N136" i="10" s="1"/>
  <c r="L135" i="10"/>
  <c r="M135" i="10" s="1"/>
  <c r="K135" i="10"/>
  <c r="I135" i="10"/>
  <c r="N135" i="10" s="1"/>
  <c r="L134" i="10"/>
  <c r="M134" i="10" s="1"/>
  <c r="K134" i="10"/>
  <c r="I134" i="10"/>
  <c r="N134" i="10" s="1"/>
  <c r="M133" i="10"/>
  <c r="N133" i="10" s="1"/>
  <c r="L133" i="10"/>
  <c r="K133" i="10"/>
  <c r="I133" i="10"/>
  <c r="M132" i="10"/>
  <c r="L132" i="10"/>
  <c r="K132" i="10"/>
  <c r="I132" i="10"/>
  <c r="N132" i="10" s="1"/>
  <c r="N137" i="10" s="1"/>
  <c r="P162" i="8"/>
  <c r="P188" i="8"/>
  <c r="P187" i="8"/>
  <c r="X188" i="8"/>
  <c r="P186" i="8"/>
  <c r="P185" i="8"/>
  <c r="P184" i="8"/>
  <c r="X185" i="8"/>
  <c r="X183" i="8"/>
  <c r="X178" i="8"/>
  <c r="X179" i="8" s="1"/>
  <c r="X175" i="8"/>
  <c r="C260" i="6"/>
  <c r="C252" i="6"/>
  <c r="W227" i="6"/>
  <c r="W219" i="6"/>
  <c r="O238" i="6"/>
  <c r="O230" i="6"/>
  <c r="K238" i="6"/>
  <c r="K230" i="6"/>
  <c r="G238" i="6"/>
  <c r="G230" i="6"/>
  <c r="O249" i="6"/>
  <c r="O241" i="6"/>
  <c r="K249" i="6"/>
  <c r="K241" i="6"/>
  <c r="G249" i="6"/>
  <c r="G241" i="6"/>
  <c r="C249" i="6"/>
  <c r="C241" i="6"/>
  <c r="C238" i="6"/>
  <c r="C230" i="6"/>
  <c r="S227" i="6"/>
  <c r="S219" i="6"/>
  <c r="O227" i="6"/>
  <c r="O219" i="6"/>
  <c r="K227" i="6"/>
  <c r="K219" i="6"/>
  <c r="G227" i="6"/>
  <c r="G219" i="6"/>
  <c r="X168" i="8"/>
  <c r="X167" i="8"/>
  <c r="X165" i="8"/>
  <c r="X162" i="8"/>
  <c r="P178" i="8"/>
  <c r="P177" i="8"/>
  <c r="P176" i="8"/>
  <c r="P174" i="8"/>
  <c r="C227" i="6"/>
  <c r="C219" i="6"/>
  <c r="W216" i="6"/>
  <c r="W208" i="6"/>
  <c r="S216" i="6"/>
  <c r="S208" i="6"/>
  <c r="O216" i="6"/>
  <c r="O208" i="6"/>
  <c r="K216" i="6"/>
  <c r="K208" i="6"/>
  <c r="G216" i="6"/>
  <c r="G208" i="6"/>
  <c r="P167" i="8"/>
  <c r="P166" i="8"/>
  <c r="P164" i="8"/>
  <c r="J167" i="8"/>
  <c r="J168" i="8"/>
  <c r="I168" i="8"/>
  <c r="X139" i="8"/>
  <c r="P114" i="8"/>
  <c r="O114" i="8" s="1"/>
  <c r="P104" i="8"/>
  <c r="W104" i="8"/>
  <c r="B138" i="6"/>
  <c r="H151" i="8"/>
  <c r="M142" i="8"/>
  <c r="S110" i="8"/>
  <c r="S153" i="8" s="1"/>
  <c r="X127" i="8"/>
  <c r="P109" i="8"/>
  <c r="N122" i="10"/>
  <c r="P119" i="10"/>
  <c r="L121" i="10"/>
  <c r="K121" i="10"/>
  <c r="M121" i="10" s="1"/>
  <c r="I121" i="10"/>
  <c r="L120" i="10"/>
  <c r="M120" i="10" s="1"/>
  <c r="K120" i="10"/>
  <c r="I120" i="10"/>
  <c r="M119" i="10"/>
  <c r="N119" i="10" s="1"/>
  <c r="L119" i="10"/>
  <c r="K119" i="10"/>
  <c r="I119" i="10"/>
  <c r="L118" i="10"/>
  <c r="M118" i="10" s="1"/>
  <c r="K118" i="10"/>
  <c r="I118" i="10"/>
  <c r="N118" i="10" s="1"/>
  <c r="L117" i="10"/>
  <c r="K117" i="10"/>
  <c r="M117" i="10" s="1"/>
  <c r="N117" i="10" s="1"/>
  <c r="I117" i="10"/>
  <c r="M151" i="8"/>
  <c r="M140" i="8"/>
  <c r="M130" i="8"/>
  <c r="M120" i="8"/>
  <c r="M110" i="8"/>
  <c r="G173" i="6"/>
  <c r="C193" i="6"/>
  <c r="C185" i="6"/>
  <c r="C216" i="6"/>
  <c r="C208" i="6"/>
  <c r="W204" i="6"/>
  <c r="W196" i="6"/>
  <c r="S204" i="6"/>
  <c r="S196" i="6"/>
  <c r="O204" i="6"/>
  <c r="O196" i="6"/>
  <c r="K204" i="6"/>
  <c r="K196" i="6"/>
  <c r="G204" i="6"/>
  <c r="G196" i="6"/>
  <c r="C204" i="6"/>
  <c r="C196" i="6"/>
  <c r="P146" i="8"/>
  <c r="P145" i="8"/>
  <c r="P139" i="8"/>
  <c r="U152" i="8"/>
  <c r="J150" i="8"/>
  <c r="I150" i="8"/>
  <c r="J149" i="8"/>
  <c r="I149" i="8"/>
  <c r="J148" i="8"/>
  <c r="I148" i="8"/>
  <c r="J147" i="8"/>
  <c r="I147" i="8"/>
  <c r="J146" i="8"/>
  <c r="I146" i="8"/>
  <c r="W145" i="8"/>
  <c r="R145" i="8"/>
  <c r="R146" i="8" s="1"/>
  <c r="R148" i="8" s="1"/>
  <c r="R149" i="8" s="1"/>
  <c r="R150" i="8" s="1"/>
  <c r="R152" i="8" s="1"/>
  <c r="J145" i="8"/>
  <c r="L145" i="8" s="1"/>
  <c r="I145" i="8"/>
  <c r="G181" i="6"/>
  <c r="P137" i="8"/>
  <c r="P136" i="8"/>
  <c r="X135" i="8"/>
  <c r="Q108" i="10"/>
  <c r="Q104" i="10"/>
  <c r="M106" i="10"/>
  <c r="L106" i="10"/>
  <c r="K106" i="10"/>
  <c r="I106" i="10"/>
  <c r="N106" i="10" s="1"/>
  <c r="L105" i="10"/>
  <c r="M105" i="10" s="1"/>
  <c r="N105" i="10" s="1"/>
  <c r="K105" i="10"/>
  <c r="I105" i="10"/>
  <c r="L104" i="10"/>
  <c r="M104" i="10" s="1"/>
  <c r="K104" i="10"/>
  <c r="I104" i="10"/>
  <c r="L103" i="10"/>
  <c r="M103" i="10" s="1"/>
  <c r="N103" i="10" s="1"/>
  <c r="K103" i="10"/>
  <c r="I103" i="10"/>
  <c r="M102" i="10"/>
  <c r="N102" i="10" s="1"/>
  <c r="L102" i="10"/>
  <c r="K102" i="10"/>
  <c r="I102" i="10"/>
  <c r="P138" i="8"/>
  <c r="P135" i="8"/>
  <c r="P134" i="8"/>
  <c r="C181" i="6"/>
  <c r="C173" i="6"/>
  <c r="S170" i="6"/>
  <c r="S162" i="6"/>
  <c r="O170" i="6"/>
  <c r="O162" i="6"/>
  <c r="K170" i="6"/>
  <c r="K162" i="6"/>
  <c r="G170" i="6"/>
  <c r="G162" i="6"/>
  <c r="W159" i="6"/>
  <c r="X129" i="8"/>
  <c r="X128" i="8"/>
  <c r="P129" i="8"/>
  <c r="P128" i="8"/>
  <c r="P127" i="8"/>
  <c r="P124" i="8"/>
  <c r="P125" i="8"/>
  <c r="X124" i="8"/>
  <c r="Q91" i="10"/>
  <c r="Q87" i="10"/>
  <c r="C170" i="6"/>
  <c r="C162" i="6"/>
  <c r="W151" i="6"/>
  <c r="S159" i="6"/>
  <c r="S151" i="6"/>
  <c r="O159" i="6"/>
  <c r="O151" i="6"/>
  <c r="K159" i="6"/>
  <c r="K151" i="6"/>
  <c r="G159" i="6"/>
  <c r="G151" i="6"/>
  <c r="C159" i="6"/>
  <c r="C151" i="6"/>
  <c r="P119" i="8"/>
  <c r="P118" i="8"/>
  <c r="P117" i="8"/>
  <c r="P116" i="8"/>
  <c r="X109" i="8"/>
  <c r="N90" i="10"/>
  <c r="M90" i="10"/>
  <c r="L90" i="10"/>
  <c r="K90" i="10"/>
  <c r="I90" i="10"/>
  <c r="L89" i="10"/>
  <c r="M89" i="10" s="1"/>
  <c r="K89" i="10"/>
  <c r="I89" i="10"/>
  <c r="L88" i="10"/>
  <c r="K88" i="10"/>
  <c r="M88" i="10" s="1"/>
  <c r="I88" i="10"/>
  <c r="L87" i="10"/>
  <c r="K87" i="10"/>
  <c r="M87" i="10" s="1"/>
  <c r="I87" i="10"/>
  <c r="N87" i="10" s="1"/>
  <c r="M86" i="10"/>
  <c r="L86" i="10"/>
  <c r="K86" i="10"/>
  <c r="I86" i="10"/>
  <c r="N86" i="10" s="1"/>
  <c r="B1130" i="16"/>
  <c r="J1095" i="16" s="1"/>
  <c r="J1112" i="16" s="1"/>
  <c r="F1117" i="16"/>
  <c r="F1116" i="16"/>
  <c r="F1115" i="16"/>
  <c r="F1114" i="16"/>
  <c r="H1112" i="16"/>
  <c r="B1112" i="16"/>
  <c r="I1111" i="16"/>
  <c r="H1111" i="16"/>
  <c r="G1111" i="16"/>
  <c r="F1111" i="16"/>
  <c r="I1110" i="16"/>
  <c r="H1110" i="16"/>
  <c r="G1110" i="16"/>
  <c r="F1110" i="16"/>
  <c r="I1109" i="16"/>
  <c r="H1109" i="16"/>
  <c r="G1109" i="16"/>
  <c r="F1109" i="16"/>
  <c r="I1108" i="16"/>
  <c r="H1108" i="16"/>
  <c r="I1107" i="16"/>
  <c r="H1107" i="16"/>
  <c r="G1107" i="16"/>
  <c r="F1107" i="16"/>
  <c r="I1106" i="16"/>
  <c r="H1106" i="16"/>
  <c r="G1106" i="16"/>
  <c r="F1106" i="16"/>
  <c r="I1105" i="16"/>
  <c r="H1105" i="16"/>
  <c r="G1105" i="16"/>
  <c r="F1105" i="16"/>
  <c r="I1104" i="16"/>
  <c r="H1104" i="16"/>
  <c r="G1104" i="16"/>
  <c r="F1104" i="16"/>
  <c r="I1103" i="16"/>
  <c r="H1103" i="16"/>
  <c r="G1103" i="16"/>
  <c r="F1103" i="16"/>
  <c r="I1102" i="16"/>
  <c r="H1102" i="16"/>
  <c r="G1102" i="16"/>
  <c r="F1102" i="16"/>
  <c r="I1101" i="16"/>
  <c r="H1101" i="16"/>
  <c r="G1101" i="16"/>
  <c r="F1101" i="16"/>
  <c r="I1100" i="16"/>
  <c r="H1100" i="16"/>
  <c r="G1100" i="16"/>
  <c r="F1100" i="16"/>
  <c r="I1099" i="16"/>
  <c r="H1099" i="16"/>
  <c r="G1099" i="16"/>
  <c r="F1099" i="16"/>
  <c r="I1098" i="16"/>
  <c r="H1098" i="16"/>
  <c r="G1098" i="16"/>
  <c r="F1098" i="16"/>
  <c r="I1097" i="16"/>
  <c r="H1097" i="16"/>
  <c r="G1097" i="16"/>
  <c r="F1097" i="16"/>
  <c r="I1096" i="16"/>
  <c r="H1096" i="16"/>
  <c r="G1096" i="16"/>
  <c r="G1112" i="16" s="1"/>
  <c r="F1096" i="16"/>
  <c r="I1095" i="16"/>
  <c r="H1095" i="16"/>
  <c r="G1095" i="16"/>
  <c r="F1095" i="16"/>
  <c r="F1112" i="16" s="1"/>
  <c r="B1087" i="16"/>
  <c r="F1074" i="16"/>
  <c r="F1073" i="16"/>
  <c r="F1072" i="16"/>
  <c r="F1071" i="16"/>
  <c r="F1069" i="16"/>
  <c r="B1069" i="16"/>
  <c r="I1068" i="16"/>
  <c r="H1068" i="16"/>
  <c r="G1068" i="16"/>
  <c r="F1068" i="16"/>
  <c r="I1067" i="16"/>
  <c r="H1067" i="16"/>
  <c r="G1067" i="16"/>
  <c r="G1069" i="16" s="1"/>
  <c r="F1067" i="16"/>
  <c r="I1066" i="16"/>
  <c r="H1066" i="16"/>
  <c r="G1066" i="16"/>
  <c r="F1066" i="16"/>
  <c r="I1065" i="16"/>
  <c r="H1065" i="16"/>
  <c r="I1064" i="16"/>
  <c r="H1064" i="16"/>
  <c r="G1064" i="16"/>
  <c r="F1064" i="16"/>
  <c r="I1063" i="16"/>
  <c r="H1063" i="16"/>
  <c r="G1063" i="16"/>
  <c r="F1063" i="16"/>
  <c r="I1062" i="16"/>
  <c r="H1062" i="16"/>
  <c r="G1062" i="16"/>
  <c r="F1062" i="16"/>
  <c r="I1061" i="16"/>
  <c r="H1061" i="16"/>
  <c r="G1061" i="16"/>
  <c r="F1061" i="16"/>
  <c r="I1060" i="16"/>
  <c r="H1060" i="16"/>
  <c r="G1060" i="16"/>
  <c r="F1060" i="16"/>
  <c r="I1059" i="16"/>
  <c r="H1059" i="16"/>
  <c r="G1059" i="16"/>
  <c r="F1059" i="16"/>
  <c r="I1058" i="16"/>
  <c r="H1058" i="16"/>
  <c r="G1058" i="16"/>
  <c r="F1058" i="16"/>
  <c r="I1057" i="16"/>
  <c r="H1057" i="16"/>
  <c r="G1057" i="16"/>
  <c r="F1057" i="16"/>
  <c r="I1056" i="16"/>
  <c r="H1056" i="16"/>
  <c r="G1056" i="16"/>
  <c r="F1056" i="16"/>
  <c r="I1055" i="16"/>
  <c r="H1055" i="16"/>
  <c r="G1055" i="16"/>
  <c r="F1055" i="16"/>
  <c r="I1054" i="16"/>
  <c r="H1054" i="16"/>
  <c r="G1054" i="16"/>
  <c r="F1054" i="16"/>
  <c r="I1053" i="16"/>
  <c r="H1053" i="16"/>
  <c r="G1053" i="16"/>
  <c r="F1053" i="16"/>
  <c r="J1052" i="16"/>
  <c r="J1069" i="16" s="1"/>
  <c r="I1052" i="16"/>
  <c r="H1052" i="16"/>
  <c r="H1069" i="16" s="1"/>
  <c r="K1069" i="16" s="1"/>
  <c r="G1052" i="16"/>
  <c r="F1052" i="16"/>
  <c r="B1042" i="16"/>
  <c r="B1044" i="16" s="1"/>
  <c r="F1029" i="16"/>
  <c r="F1028" i="16"/>
  <c r="F1027" i="16"/>
  <c r="F1026" i="16"/>
  <c r="B1024" i="16"/>
  <c r="I1023" i="16"/>
  <c r="H1023" i="16"/>
  <c r="G1023" i="16"/>
  <c r="F1023" i="16"/>
  <c r="I1022" i="16"/>
  <c r="H1022" i="16"/>
  <c r="G1022" i="16"/>
  <c r="F1022" i="16"/>
  <c r="F1024" i="16" s="1"/>
  <c r="I1021" i="16"/>
  <c r="H1021" i="16"/>
  <c r="G1021" i="16"/>
  <c r="F1021" i="16"/>
  <c r="I1020" i="16"/>
  <c r="H1020" i="16"/>
  <c r="I1019" i="16"/>
  <c r="H1019" i="16"/>
  <c r="G1019" i="16"/>
  <c r="F1019" i="16"/>
  <c r="I1018" i="16"/>
  <c r="H1018" i="16"/>
  <c r="G1018" i="16"/>
  <c r="F1018" i="16"/>
  <c r="I1017" i="16"/>
  <c r="H1017" i="16"/>
  <c r="G1017" i="16"/>
  <c r="F1017" i="16"/>
  <c r="I1016" i="16"/>
  <c r="H1016" i="16"/>
  <c r="G1016" i="16"/>
  <c r="F1016" i="16"/>
  <c r="I1015" i="16"/>
  <c r="H1015" i="16"/>
  <c r="G1015" i="16"/>
  <c r="F1015" i="16"/>
  <c r="I1014" i="16"/>
  <c r="H1014" i="16"/>
  <c r="G1014" i="16"/>
  <c r="F1014" i="16"/>
  <c r="I1013" i="16"/>
  <c r="H1013" i="16"/>
  <c r="G1013" i="16"/>
  <c r="F1013" i="16"/>
  <c r="I1012" i="16"/>
  <c r="H1012" i="16"/>
  <c r="G1012" i="16"/>
  <c r="F1012" i="16"/>
  <c r="I1011" i="16"/>
  <c r="H1011" i="16"/>
  <c r="G1011" i="16"/>
  <c r="F1011" i="16"/>
  <c r="I1010" i="16"/>
  <c r="H1010" i="16"/>
  <c r="G1010" i="16"/>
  <c r="F1010" i="16"/>
  <c r="I1009" i="16"/>
  <c r="H1009" i="16"/>
  <c r="G1009" i="16"/>
  <c r="F1009" i="16"/>
  <c r="I1008" i="16"/>
  <c r="H1008" i="16"/>
  <c r="G1008" i="16"/>
  <c r="F1008" i="16"/>
  <c r="J1007" i="16"/>
  <c r="J1024" i="16" s="1"/>
  <c r="I1007" i="16"/>
  <c r="H1007" i="16"/>
  <c r="H1024" i="16" s="1"/>
  <c r="G1007" i="16"/>
  <c r="G1024" i="16" s="1"/>
  <c r="F1007" i="16"/>
  <c r="B999" i="16"/>
  <c r="J964" i="16" s="1"/>
  <c r="J981" i="16" s="1"/>
  <c r="F986" i="16"/>
  <c r="F985" i="16"/>
  <c r="F984" i="16"/>
  <c r="F983" i="16"/>
  <c r="B981" i="16"/>
  <c r="I980" i="16"/>
  <c r="H980" i="16"/>
  <c r="G980" i="16"/>
  <c r="F980" i="16"/>
  <c r="I979" i="16"/>
  <c r="H979" i="16"/>
  <c r="G979" i="16"/>
  <c r="F979" i="16"/>
  <c r="I978" i="16"/>
  <c r="H978" i="16"/>
  <c r="G978" i="16"/>
  <c r="F978" i="16"/>
  <c r="I977" i="16"/>
  <c r="H977" i="16"/>
  <c r="I976" i="16"/>
  <c r="H976" i="16"/>
  <c r="G976" i="16"/>
  <c r="F976" i="16"/>
  <c r="I975" i="16"/>
  <c r="H975" i="16"/>
  <c r="G975" i="16"/>
  <c r="F975" i="16"/>
  <c r="I974" i="16"/>
  <c r="H974" i="16"/>
  <c r="G974" i="16"/>
  <c r="F974" i="16"/>
  <c r="I973" i="16"/>
  <c r="H973" i="16"/>
  <c r="G973" i="16"/>
  <c r="F973" i="16"/>
  <c r="I972" i="16"/>
  <c r="H972" i="16"/>
  <c r="G972" i="16"/>
  <c r="F972" i="16"/>
  <c r="I971" i="16"/>
  <c r="H971" i="16"/>
  <c r="G971" i="16"/>
  <c r="F971" i="16"/>
  <c r="I970" i="16"/>
  <c r="H970" i="16"/>
  <c r="G970" i="16"/>
  <c r="F970" i="16"/>
  <c r="I969" i="16"/>
  <c r="H969" i="16"/>
  <c r="G969" i="16"/>
  <c r="F969" i="16"/>
  <c r="I968" i="16"/>
  <c r="H968" i="16"/>
  <c r="G968" i="16"/>
  <c r="F968" i="16"/>
  <c r="I967" i="16"/>
  <c r="H967" i="16"/>
  <c r="G967" i="16"/>
  <c r="F967" i="16"/>
  <c r="I966" i="16"/>
  <c r="H966" i="16"/>
  <c r="G966" i="16"/>
  <c r="F966" i="16"/>
  <c r="I965" i="16"/>
  <c r="H965" i="16"/>
  <c r="G965" i="16"/>
  <c r="F965" i="16"/>
  <c r="I964" i="16"/>
  <c r="H964" i="16"/>
  <c r="H981" i="16" s="1"/>
  <c r="K981" i="16" s="1"/>
  <c r="G964" i="16"/>
  <c r="G981" i="16" s="1"/>
  <c r="F964" i="16"/>
  <c r="F981" i="16" s="1"/>
  <c r="B956" i="16"/>
  <c r="F943" i="16"/>
  <c r="F942" i="16"/>
  <c r="F941" i="16"/>
  <c r="F940" i="16"/>
  <c r="J938" i="16"/>
  <c r="B938" i="16"/>
  <c r="I937" i="16"/>
  <c r="H937" i="16"/>
  <c r="G937" i="16"/>
  <c r="F937" i="16"/>
  <c r="I936" i="16"/>
  <c r="H936" i="16"/>
  <c r="G936" i="16"/>
  <c r="F936" i="16"/>
  <c r="I935" i="16"/>
  <c r="H935" i="16"/>
  <c r="G935" i="16"/>
  <c r="F935" i="16"/>
  <c r="I934" i="16"/>
  <c r="H934" i="16"/>
  <c r="I933" i="16"/>
  <c r="H933" i="16"/>
  <c r="G933" i="16"/>
  <c r="F933" i="16"/>
  <c r="I932" i="16"/>
  <c r="H932" i="16"/>
  <c r="G932" i="16"/>
  <c r="F932" i="16"/>
  <c r="I931" i="16"/>
  <c r="H931" i="16"/>
  <c r="G931" i="16"/>
  <c r="F931" i="16"/>
  <c r="I930" i="16"/>
  <c r="H930" i="16"/>
  <c r="G930" i="16"/>
  <c r="F930" i="16"/>
  <c r="I929" i="16"/>
  <c r="H929" i="16"/>
  <c r="G929" i="16"/>
  <c r="F929" i="16"/>
  <c r="I928" i="16"/>
  <c r="H928" i="16"/>
  <c r="G928" i="16"/>
  <c r="F928" i="16"/>
  <c r="I927" i="16"/>
  <c r="H927" i="16"/>
  <c r="G927" i="16"/>
  <c r="F927" i="16"/>
  <c r="I926" i="16"/>
  <c r="H926" i="16"/>
  <c r="G926" i="16"/>
  <c r="F926" i="16"/>
  <c r="I925" i="16"/>
  <c r="H925" i="16"/>
  <c r="G925" i="16"/>
  <c r="F925" i="16"/>
  <c r="I924" i="16"/>
  <c r="H924" i="16"/>
  <c r="G924" i="16"/>
  <c r="F924" i="16"/>
  <c r="I923" i="16"/>
  <c r="H923" i="16"/>
  <c r="G923" i="16"/>
  <c r="F923" i="16"/>
  <c r="I922" i="16"/>
  <c r="H922" i="16"/>
  <c r="H938" i="16" s="1"/>
  <c r="K938" i="16" s="1"/>
  <c r="G922" i="16"/>
  <c r="F922" i="16"/>
  <c r="J921" i="16"/>
  <c r="I921" i="16"/>
  <c r="H921" i="16"/>
  <c r="G921" i="16"/>
  <c r="G938" i="16" s="1"/>
  <c r="F921" i="16"/>
  <c r="F938" i="16" s="1"/>
  <c r="B913" i="16"/>
  <c r="J878" i="16" s="1"/>
  <c r="J895" i="16" s="1"/>
  <c r="F900" i="16"/>
  <c r="F899" i="16"/>
  <c r="F898" i="16"/>
  <c r="F897" i="16"/>
  <c r="G895" i="16"/>
  <c r="B895" i="16"/>
  <c r="I894" i="16"/>
  <c r="H894" i="16"/>
  <c r="G894" i="16"/>
  <c r="F894" i="16"/>
  <c r="I893" i="16"/>
  <c r="H893" i="16"/>
  <c r="G893" i="16"/>
  <c r="F893" i="16"/>
  <c r="I892" i="16"/>
  <c r="H892" i="16"/>
  <c r="G892" i="16"/>
  <c r="F892" i="16"/>
  <c r="I891" i="16"/>
  <c r="H891" i="16"/>
  <c r="H895" i="16" s="1"/>
  <c r="I890" i="16"/>
  <c r="H890" i="16"/>
  <c r="G890" i="16"/>
  <c r="F890" i="16"/>
  <c r="I889" i="16"/>
  <c r="H889" i="16"/>
  <c r="G889" i="16"/>
  <c r="F889" i="16"/>
  <c r="I888" i="16"/>
  <c r="H888" i="16"/>
  <c r="G888" i="16"/>
  <c r="F888" i="16"/>
  <c r="I887" i="16"/>
  <c r="H887" i="16"/>
  <c r="G887" i="16"/>
  <c r="F887" i="16"/>
  <c r="I886" i="16"/>
  <c r="H886" i="16"/>
  <c r="G886" i="16"/>
  <c r="F886" i="16"/>
  <c r="I885" i="16"/>
  <c r="H885" i="16"/>
  <c r="G885" i="16"/>
  <c r="F885" i="16"/>
  <c r="I884" i="16"/>
  <c r="H884" i="16"/>
  <c r="G884" i="16"/>
  <c r="F884" i="16"/>
  <c r="I883" i="16"/>
  <c r="H883" i="16"/>
  <c r="G883" i="16"/>
  <c r="F883" i="16"/>
  <c r="I882" i="16"/>
  <c r="H882" i="16"/>
  <c r="G882" i="16"/>
  <c r="F882" i="16"/>
  <c r="I881" i="16"/>
  <c r="H881" i="16"/>
  <c r="G881" i="16"/>
  <c r="F881" i="16"/>
  <c r="I880" i="16"/>
  <c r="H880" i="16"/>
  <c r="G880" i="16"/>
  <c r="F880" i="16"/>
  <c r="I879" i="16"/>
  <c r="H879" i="16"/>
  <c r="G879" i="16"/>
  <c r="F879" i="16"/>
  <c r="F895" i="16" s="1"/>
  <c r="I878" i="16"/>
  <c r="H878" i="16"/>
  <c r="G878" i="16"/>
  <c r="F878" i="16"/>
  <c r="B870" i="16"/>
  <c r="F857" i="16"/>
  <c r="F856" i="16"/>
  <c r="F855" i="16"/>
  <c r="F854" i="16"/>
  <c r="B852" i="16"/>
  <c r="I851" i="16"/>
  <c r="H851" i="16"/>
  <c r="G851" i="16"/>
  <c r="F851" i="16"/>
  <c r="I850" i="16"/>
  <c r="H850" i="16"/>
  <c r="G850" i="16"/>
  <c r="F850" i="16"/>
  <c r="F852" i="16" s="1"/>
  <c r="I849" i="16"/>
  <c r="H849" i="16"/>
  <c r="G849" i="16"/>
  <c r="F849" i="16"/>
  <c r="I848" i="16"/>
  <c r="H848" i="16"/>
  <c r="I847" i="16"/>
  <c r="H847" i="16"/>
  <c r="G847" i="16"/>
  <c r="F847" i="16"/>
  <c r="I846" i="16"/>
  <c r="H846" i="16"/>
  <c r="G846" i="16"/>
  <c r="F846" i="16"/>
  <c r="I845" i="16"/>
  <c r="H845" i="16"/>
  <c r="G845" i="16"/>
  <c r="F845" i="16"/>
  <c r="I844" i="16"/>
  <c r="H844" i="16"/>
  <c r="G844" i="16"/>
  <c r="F844" i="16"/>
  <c r="I843" i="16"/>
  <c r="H843" i="16"/>
  <c r="G843" i="16"/>
  <c r="F843" i="16"/>
  <c r="I842" i="16"/>
  <c r="H842" i="16"/>
  <c r="G842" i="16"/>
  <c r="F842" i="16"/>
  <c r="I841" i="16"/>
  <c r="H841" i="16"/>
  <c r="G841" i="16"/>
  <c r="F841" i="16"/>
  <c r="I840" i="16"/>
  <c r="H840" i="16"/>
  <c r="G840" i="16"/>
  <c r="F840" i="16"/>
  <c r="I839" i="16"/>
  <c r="H839" i="16"/>
  <c r="G839" i="16"/>
  <c r="F839" i="16"/>
  <c r="I838" i="16"/>
  <c r="H838" i="16"/>
  <c r="G838" i="16"/>
  <c r="F838" i="16"/>
  <c r="I837" i="16"/>
  <c r="H837" i="16"/>
  <c r="G837" i="16"/>
  <c r="F837" i="16"/>
  <c r="I836" i="16"/>
  <c r="H836" i="16"/>
  <c r="G836" i="16"/>
  <c r="F836" i="16"/>
  <c r="J835" i="16"/>
  <c r="J852" i="16" s="1"/>
  <c r="I835" i="16"/>
  <c r="H835" i="16"/>
  <c r="H852" i="16" s="1"/>
  <c r="K852" i="16" s="1"/>
  <c r="G835" i="16"/>
  <c r="G852" i="16" s="1"/>
  <c r="F835" i="16"/>
  <c r="B827" i="16"/>
  <c r="J792" i="16" s="1"/>
  <c r="J809" i="16" s="1"/>
  <c r="F814" i="16"/>
  <c r="F813" i="16"/>
  <c r="F812" i="16"/>
  <c r="F811" i="16"/>
  <c r="B809" i="16"/>
  <c r="I808" i="16"/>
  <c r="H808" i="16"/>
  <c r="G808" i="16"/>
  <c r="F808" i="16"/>
  <c r="I807" i="16"/>
  <c r="H807" i="16"/>
  <c r="G807" i="16"/>
  <c r="F807" i="16"/>
  <c r="I806" i="16"/>
  <c r="H806" i="16"/>
  <c r="G806" i="16"/>
  <c r="F806" i="16"/>
  <c r="I805" i="16"/>
  <c r="H805" i="16"/>
  <c r="I804" i="16"/>
  <c r="H804" i="16"/>
  <c r="G804" i="16"/>
  <c r="F804" i="16"/>
  <c r="I803" i="16"/>
  <c r="H803" i="16"/>
  <c r="G803" i="16"/>
  <c r="F803" i="16"/>
  <c r="I802" i="16"/>
  <c r="H802" i="16"/>
  <c r="G802" i="16"/>
  <c r="F802" i="16"/>
  <c r="I801" i="16"/>
  <c r="H801" i="16"/>
  <c r="G801" i="16"/>
  <c r="F801" i="16"/>
  <c r="I800" i="16"/>
  <c r="H800" i="16"/>
  <c r="G800" i="16"/>
  <c r="F800" i="16"/>
  <c r="I799" i="16"/>
  <c r="H799" i="16"/>
  <c r="G799" i="16"/>
  <c r="F799" i="16"/>
  <c r="I798" i="16"/>
  <c r="H798" i="16"/>
  <c r="G798" i="16"/>
  <c r="F798" i="16"/>
  <c r="I797" i="16"/>
  <c r="H797" i="16"/>
  <c r="G797" i="16"/>
  <c r="F797" i="16"/>
  <c r="I796" i="16"/>
  <c r="H796" i="16"/>
  <c r="G796" i="16"/>
  <c r="F796" i="16"/>
  <c r="I795" i="16"/>
  <c r="H795" i="16"/>
  <c r="G795" i="16"/>
  <c r="F795" i="16"/>
  <c r="I794" i="16"/>
  <c r="H794" i="16"/>
  <c r="G794" i="16"/>
  <c r="F794" i="16"/>
  <c r="I793" i="16"/>
  <c r="H793" i="16"/>
  <c r="G793" i="16"/>
  <c r="F793" i="16"/>
  <c r="I792" i="16"/>
  <c r="H792" i="16"/>
  <c r="H809" i="16" s="1"/>
  <c r="K809" i="16" s="1"/>
  <c r="G792" i="16"/>
  <c r="G809" i="16" s="1"/>
  <c r="F792" i="16"/>
  <c r="F809" i="16" s="1"/>
  <c r="B784" i="16"/>
  <c r="F771" i="16"/>
  <c r="F770" i="16"/>
  <c r="F769" i="16"/>
  <c r="F768" i="16"/>
  <c r="J766" i="16"/>
  <c r="B766" i="16"/>
  <c r="I765" i="16"/>
  <c r="H765" i="16"/>
  <c r="G765" i="16"/>
  <c r="F765" i="16"/>
  <c r="I764" i="16"/>
  <c r="H764" i="16"/>
  <c r="G764" i="16"/>
  <c r="F764" i="16"/>
  <c r="I763" i="16"/>
  <c r="H763" i="16"/>
  <c r="G763" i="16"/>
  <c r="F763" i="16"/>
  <c r="I762" i="16"/>
  <c r="H762" i="16"/>
  <c r="I761" i="16"/>
  <c r="H761" i="16"/>
  <c r="G761" i="16"/>
  <c r="F761" i="16"/>
  <c r="I760" i="16"/>
  <c r="H760" i="16"/>
  <c r="G760" i="16"/>
  <c r="F760" i="16"/>
  <c r="I759" i="16"/>
  <c r="H759" i="16"/>
  <c r="G759" i="16"/>
  <c r="F759" i="16"/>
  <c r="I758" i="16"/>
  <c r="H758" i="16"/>
  <c r="G758" i="16"/>
  <c r="F758" i="16"/>
  <c r="I757" i="16"/>
  <c r="H757" i="16"/>
  <c r="G757" i="16"/>
  <c r="F757" i="16"/>
  <c r="I756" i="16"/>
  <c r="H756" i="16"/>
  <c r="G756" i="16"/>
  <c r="F756" i="16"/>
  <c r="I755" i="16"/>
  <c r="H755" i="16"/>
  <c r="G755" i="16"/>
  <c r="F755" i="16"/>
  <c r="I754" i="16"/>
  <c r="H754" i="16"/>
  <c r="G754" i="16"/>
  <c r="F754" i="16"/>
  <c r="I753" i="16"/>
  <c r="H753" i="16"/>
  <c r="G753" i="16"/>
  <c r="F753" i="16"/>
  <c r="I752" i="16"/>
  <c r="H752" i="16"/>
  <c r="G752" i="16"/>
  <c r="F752" i="16"/>
  <c r="I751" i="16"/>
  <c r="H751" i="16"/>
  <c r="G751" i="16"/>
  <c r="F751" i="16"/>
  <c r="I750" i="16"/>
  <c r="H750" i="16"/>
  <c r="H766" i="16" s="1"/>
  <c r="K766" i="16" s="1"/>
  <c r="G750" i="16"/>
  <c r="F750" i="16"/>
  <c r="J749" i="16"/>
  <c r="I749" i="16"/>
  <c r="H749" i="16"/>
  <c r="G749" i="16"/>
  <c r="G766" i="16" s="1"/>
  <c r="F749" i="16"/>
  <c r="F766" i="16" s="1"/>
  <c r="B741" i="16"/>
  <c r="J706" i="16" s="1"/>
  <c r="J723" i="16" s="1"/>
  <c r="F728" i="16"/>
  <c r="F727" i="16"/>
  <c r="F726" i="16"/>
  <c r="F725" i="16"/>
  <c r="G723" i="16"/>
  <c r="B723" i="16"/>
  <c r="I722" i="16"/>
  <c r="H722" i="16"/>
  <c r="G722" i="16"/>
  <c r="F722" i="16"/>
  <c r="I721" i="16"/>
  <c r="H721" i="16"/>
  <c r="G721" i="16"/>
  <c r="F721" i="16"/>
  <c r="I720" i="16"/>
  <c r="H720" i="16"/>
  <c r="G720" i="16"/>
  <c r="F720" i="16"/>
  <c r="I719" i="16"/>
  <c r="H719" i="16"/>
  <c r="H723" i="16" s="1"/>
  <c r="K723" i="16" s="1"/>
  <c r="I718" i="16"/>
  <c r="H718" i="16"/>
  <c r="G718" i="16"/>
  <c r="F718" i="16"/>
  <c r="I717" i="16"/>
  <c r="H717" i="16"/>
  <c r="G717" i="16"/>
  <c r="F717" i="16"/>
  <c r="I716" i="16"/>
  <c r="H716" i="16"/>
  <c r="G716" i="16"/>
  <c r="F716" i="16"/>
  <c r="I715" i="16"/>
  <c r="H715" i="16"/>
  <c r="G715" i="16"/>
  <c r="F715" i="16"/>
  <c r="I714" i="16"/>
  <c r="H714" i="16"/>
  <c r="G714" i="16"/>
  <c r="F714" i="16"/>
  <c r="I713" i="16"/>
  <c r="H713" i="16"/>
  <c r="G713" i="16"/>
  <c r="F713" i="16"/>
  <c r="I712" i="16"/>
  <c r="H712" i="16"/>
  <c r="G712" i="16"/>
  <c r="F712" i="16"/>
  <c r="I711" i="16"/>
  <c r="H711" i="16"/>
  <c r="G711" i="16"/>
  <c r="F711" i="16"/>
  <c r="I710" i="16"/>
  <c r="H710" i="16"/>
  <c r="G710" i="16"/>
  <c r="F710" i="16"/>
  <c r="I709" i="16"/>
  <c r="H709" i="16"/>
  <c r="G709" i="16"/>
  <c r="F709" i="16"/>
  <c r="I708" i="16"/>
  <c r="H708" i="16"/>
  <c r="G708" i="16"/>
  <c r="F708" i="16"/>
  <c r="I707" i="16"/>
  <c r="H707" i="16"/>
  <c r="G707" i="16"/>
  <c r="F707" i="16"/>
  <c r="F723" i="16" s="1"/>
  <c r="I706" i="16"/>
  <c r="H706" i="16"/>
  <c r="G706" i="16"/>
  <c r="F706" i="16"/>
  <c r="B698" i="16"/>
  <c r="F685" i="16"/>
  <c r="F684" i="16"/>
  <c r="F683" i="16"/>
  <c r="F682" i="16"/>
  <c r="B680" i="16"/>
  <c r="I679" i="16"/>
  <c r="H679" i="16"/>
  <c r="G679" i="16"/>
  <c r="F679" i="16"/>
  <c r="I678" i="16"/>
  <c r="H678" i="16"/>
  <c r="G678" i="16"/>
  <c r="F678" i="16"/>
  <c r="F680" i="16" s="1"/>
  <c r="I677" i="16"/>
  <c r="H677" i="16"/>
  <c r="G677" i="16"/>
  <c r="F677" i="16"/>
  <c r="I676" i="16"/>
  <c r="H676" i="16"/>
  <c r="I675" i="16"/>
  <c r="H675" i="16"/>
  <c r="G675" i="16"/>
  <c r="F675" i="16"/>
  <c r="I674" i="16"/>
  <c r="H674" i="16"/>
  <c r="G674" i="16"/>
  <c r="F674" i="16"/>
  <c r="I673" i="16"/>
  <c r="H673" i="16"/>
  <c r="G673" i="16"/>
  <c r="F673" i="16"/>
  <c r="I672" i="16"/>
  <c r="H672" i="16"/>
  <c r="G672" i="16"/>
  <c r="F672" i="16"/>
  <c r="I671" i="16"/>
  <c r="H671" i="16"/>
  <c r="G671" i="16"/>
  <c r="F671" i="16"/>
  <c r="I670" i="16"/>
  <c r="H670" i="16"/>
  <c r="G670" i="16"/>
  <c r="F670" i="16"/>
  <c r="I669" i="16"/>
  <c r="H669" i="16"/>
  <c r="G669" i="16"/>
  <c r="F669" i="16"/>
  <c r="I668" i="16"/>
  <c r="H668" i="16"/>
  <c r="G668" i="16"/>
  <c r="F668" i="16"/>
  <c r="I667" i="16"/>
  <c r="H667" i="16"/>
  <c r="G667" i="16"/>
  <c r="F667" i="16"/>
  <c r="I666" i="16"/>
  <c r="H666" i="16"/>
  <c r="G666" i="16"/>
  <c r="F666" i="16"/>
  <c r="I665" i="16"/>
  <c r="H665" i="16"/>
  <c r="G665" i="16"/>
  <c r="F665" i="16"/>
  <c r="I664" i="16"/>
  <c r="H664" i="16"/>
  <c r="G664" i="16"/>
  <c r="F664" i="16"/>
  <c r="J663" i="16"/>
  <c r="J680" i="16" s="1"/>
  <c r="I663" i="16"/>
  <c r="H663" i="16"/>
  <c r="H680" i="16" s="1"/>
  <c r="G663" i="16"/>
  <c r="G680" i="16" s="1"/>
  <c r="F663" i="16"/>
  <c r="B655" i="16"/>
  <c r="J620" i="16" s="1"/>
  <c r="J637" i="16" s="1"/>
  <c r="F642" i="16"/>
  <c r="F641" i="16"/>
  <c r="F640" i="16"/>
  <c r="F639" i="16"/>
  <c r="B637" i="16"/>
  <c r="I636" i="16"/>
  <c r="H636" i="16"/>
  <c r="G636" i="16"/>
  <c r="F636" i="16"/>
  <c r="I635" i="16"/>
  <c r="H635" i="16"/>
  <c r="G635" i="16"/>
  <c r="F635" i="16"/>
  <c r="I634" i="16"/>
  <c r="H634" i="16"/>
  <c r="G634" i="16"/>
  <c r="F634" i="16"/>
  <c r="I633" i="16"/>
  <c r="H633" i="16"/>
  <c r="I632" i="16"/>
  <c r="H632" i="16"/>
  <c r="G632" i="16"/>
  <c r="F632" i="16"/>
  <c r="I631" i="16"/>
  <c r="H631" i="16"/>
  <c r="G631" i="16"/>
  <c r="F631" i="16"/>
  <c r="I630" i="16"/>
  <c r="H630" i="16"/>
  <c r="G630" i="16"/>
  <c r="F630" i="16"/>
  <c r="I629" i="16"/>
  <c r="H629" i="16"/>
  <c r="G629" i="16"/>
  <c r="F629" i="16"/>
  <c r="I628" i="16"/>
  <c r="H628" i="16"/>
  <c r="G628" i="16"/>
  <c r="F628" i="16"/>
  <c r="I627" i="16"/>
  <c r="H627" i="16"/>
  <c r="G627" i="16"/>
  <c r="F627" i="16"/>
  <c r="I626" i="16"/>
  <c r="H626" i="16"/>
  <c r="G626" i="16"/>
  <c r="F626" i="16"/>
  <c r="I625" i="16"/>
  <c r="H625" i="16"/>
  <c r="G625" i="16"/>
  <c r="F625" i="16"/>
  <c r="I624" i="16"/>
  <c r="H624" i="16"/>
  <c r="G624" i="16"/>
  <c r="F624" i="16"/>
  <c r="I623" i="16"/>
  <c r="H623" i="16"/>
  <c r="G623" i="16"/>
  <c r="F623" i="16"/>
  <c r="I622" i="16"/>
  <c r="H622" i="16"/>
  <c r="G622" i="16"/>
  <c r="F622" i="16"/>
  <c r="I621" i="16"/>
  <c r="H621" i="16"/>
  <c r="G621" i="16"/>
  <c r="F621" i="16"/>
  <c r="I620" i="16"/>
  <c r="H620" i="16"/>
  <c r="H637" i="16" s="1"/>
  <c r="K637" i="16" s="1"/>
  <c r="G620" i="16"/>
  <c r="G637" i="16" s="1"/>
  <c r="F620" i="16"/>
  <c r="F637" i="16" s="1"/>
  <c r="B611" i="16"/>
  <c r="B612" i="16" s="1"/>
  <c r="F598" i="16"/>
  <c r="F597" i="16"/>
  <c r="F596" i="16"/>
  <c r="F595" i="16"/>
  <c r="B593" i="16"/>
  <c r="I592" i="16"/>
  <c r="H592" i="16"/>
  <c r="G592" i="16"/>
  <c r="F592" i="16"/>
  <c r="I591" i="16"/>
  <c r="H591" i="16"/>
  <c r="G591" i="16"/>
  <c r="F591" i="16"/>
  <c r="I590" i="16"/>
  <c r="H590" i="16"/>
  <c r="G590" i="16"/>
  <c r="F590" i="16"/>
  <c r="I589" i="16"/>
  <c r="H589" i="16"/>
  <c r="I588" i="16"/>
  <c r="H588" i="16"/>
  <c r="G588" i="16"/>
  <c r="F588" i="16"/>
  <c r="I587" i="16"/>
  <c r="H587" i="16"/>
  <c r="G587" i="16"/>
  <c r="F587" i="16"/>
  <c r="I586" i="16"/>
  <c r="H586" i="16"/>
  <c r="G586" i="16"/>
  <c r="F586" i="16"/>
  <c r="I585" i="16"/>
  <c r="H585" i="16"/>
  <c r="G585" i="16"/>
  <c r="F585" i="16"/>
  <c r="I584" i="16"/>
  <c r="H584" i="16"/>
  <c r="G584" i="16"/>
  <c r="F584" i="16"/>
  <c r="I583" i="16"/>
  <c r="H583" i="16"/>
  <c r="G583" i="16"/>
  <c r="F583" i="16"/>
  <c r="I582" i="16"/>
  <c r="H582" i="16"/>
  <c r="G582" i="16"/>
  <c r="F582" i="16"/>
  <c r="I581" i="16"/>
  <c r="H581" i="16"/>
  <c r="G581" i="16"/>
  <c r="F581" i="16"/>
  <c r="I580" i="16"/>
  <c r="H580" i="16"/>
  <c r="G580" i="16"/>
  <c r="F580" i="16"/>
  <c r="I579" i="16"/>
  <c r="H579" i="16"/>
  <c r="G579" i="16"/>
  <c r="F579" i="16"/>
  <c r="I578" i="16"/>
  <c r="H578" i="16"/>
  <c r="G578" i="16"/>
  <c r="F578" i="16"/>
  <c r="I577" i="16"/>
  <c r="H577" i="16"/>
  <c r="G577" i="16"/>
  <c r="F577" i="16"/>
  <c r="J576" i="16"/>
  <c r="J593" i="16" s="1"/>
  <c r="I576" i="16"/>
  <c r="H576" i="16"/>
  <c r="H593" i="16" s="1"/>
  <c r="G576" i="16"/>
  <c r="G593" i="16" s="1"/>
  <c r="F576" i="16"/>
  <c r="F593" i="16" s="1"/>
  <c r="B568" i="16"/>
  <c r="B567" i="16"/>
  <c r="F554" i="16"/>
  <c r="F553" i="16"/>
  <c r="F552" i="16"/>
  <c r="F551" i="16"/>
  <c r="J549" i="16"/>
  <c r="B549" i="16"/>
  <c r="I548" i="16"/>
  <c r="H548" i="16"/>
  <c r="G548" i="16"/>
  <c r="F548" i="16"/>
  <c r="I547" i="16"/>
  <c r="H547" i="16"/>
  <c r="G547" i="16"/>
  <c r="F547" i="16"/>
  <c r="I546" i="16"/>
  <c r="H546" i="16"/>
  <c r="G546" i="16"/>
  <c r="F546" i="16"/>
  <c r="I545" i="16"/>
  <c r="H545" i="16"/>
  <c r="I544" i="16"/>
  <c r="H544" i="16"/>
  <c r="G544" i="16"/>
  <c r="F544" i="16"/>
  <c r="I543" i="16"/>
  <c r="H543" i="16"/>
  <c r="G543" i="16"/>
  <c r="F543" i="16"/>
  <c r="I542" i="16"/>
  <c r="H542" i="16"/>
  <c r="G542" i="16"/>
  <c r="F542" i="16"/>
  <c r="I541" i="16"/>
  <c r="H541" i="16"/>
  <c r="G541" i="16"/>
  <c r="F541" i="16"/>
  <c r="I540" i="16"/>
  <c r="H540" i="16"/>
  <c r="G540" i="16"/>
  <c r="F540" i="16"/>
  <c r="I539" i="16"/>
  <c r="H539" i="16"/>
  <c r="G539" i="16"/>
  <c r="F539" i="16"/>
  <c r="I538" i="16"/>
  <c r="H538" i="16"/>
  <c r="G538" i="16"/>
  <c r="F538" i="16"/>
  <c r="I537" i="16"/>
  <c r="H537" i="16"/>
  <c r="G537" i="16"/>
  <c r="F537" i="16"/>
  <c r="I536" i="16"/>
  <c r="H536" i="16"/>
  <c r="G536" i="16"/>
  <c r="F536" i="16"/>
  <c r="I535" i="16"/>
  <c r="H535" i="16"/>
  <c r="G535" i="16"/>
  <c r="F535" i="16"/>
  <c r="I534" i="16"/>
  <c r="H534" i="16"/>
  <c r="G534" i="16"/>
  <c r="F534" i="16"/>
  <c r="I533" i="16"/>
  <c r="H533" i="16"/>
  <c r="H549" i="16" s="1"/>
  <c r="K549" i="16" s="1"/>
  <c r="G533" i="16"/>
  <c r="F533" i="16"/>
  <c r="J532" i="16"/>
  <c r="I532" i="16"/>
  <c r="H532" i="16"/>
  <c r="G532" i="16"/>
  <c r="G549" i="16" s="1"/>
  <c r="F532" i="16"/>
  <c r="F549" i="16" s="1"/>
  <c r="B524" i="16"/>
  <c r="J489" i="16" s="1"/>
  <c r="J506" i="16" s="1"/>
  <c r="F511" i="16"/>
  <c r="F510" i="16"/>
  <c r="F509" i="16"/>
  <c r="F508" i="16"/>
  <c r="G506" i="16"/>
  <c r="B506" i="16"/>
  <c r="I505" i="16"/>
  <c r="H505" i="16"/>
  <c r="G505" i="16"/>
  <c r="F505" i="16"/>
  <c r="I504" i="16"/>
  <c r="H504" i="16"/>
  <c r="G504" i="16"/>
  <c r="F504" i="16"/>
  <c r="I503" i="16"/>
  <c r="H503" i="16"/>
  <c r="G503" i="16"/>
  <c r="F503" i="16"/>
  <c r="I502" i="16"/>
  <c r="H502" i="16"/>
  <c r="H506" i="16" s="1"/>
  <c r="I501" i="16"/>
  <c r="H501" i="16"/>
  <c r="G501" i="16"/>
  <c r="F501" i="16"/>
  <c r="I500" i="16"/>
  <c r="H500" i="16"/>
  <c r="G500" i="16"/>
  <c r="F500" i="16"/>
  <c r="I499" i="16"/>
  <c r="H499" i="16"/>
  <c r="G499" i="16"/>
  <c r="F499" i="16"/>
  <c r="I498" i="16"/>
  <c r="H498" i="16"/>
  <c r="G498" i="16"/>
  <c r="F498" i="16"/>
  <c r="I497" i="16"/>
  <c r="H497" i="16"/>
  <c r="G497" i="16"/>
  <c r="F497" i="16"/>
  <c r="I496" i="16"/>
  <c r="H496" i="16"/>
  <c r="G496" i="16"/>
  <c r="F496" i="16"/>
  <c r="I495" i="16"/>
  <c r="H495" i="16"/>
  <c r="G495" i="16"/>
  <c r="F495" i="16"/>
  <c r="I494" i="16"/>
  <c r="H494" i="16"/>
  <c r="G494" i="16"/>
  <c r="F494" i="16"/>
  <c r="I493" i="16"/>
  <c r="H493" i="16"/>
  <c r="G493" i="16"/>
  <c r="F493" i="16"/>
  <c r="I492" i="16"/>
  <c r="H492" i="16"/>
  <c r="G492" i="16"/>
  <c r="F492" i="16"/>
  <c r="I491" i="16"/>
  <c r="H491" i="16"/>
  <c r="G491" i="16"/>
  <c r="F491" i="16"/>
  <c r="I490" i="16"/>
  <c r="H490" i="16"/>
  <c r="G490" i="16"/>
  <c r="F490" i="16"/>
  <c r="F506" i="16" s="1"/>
  <c r="I489" i="16"/>
  <c r="H489" i="16"/>
  <c r="G489" i="16"/>
  <c r="F489" i="16"/>
  <c r="B481" i="16"/>
  <c r="F468" i="16"/>
  <c r="F467" i="16"/>
  <c r="F466" i="16"/>
  <c r="F465" i="16"/>
  <c r="B463" i="16"/>
  <c r="I462" i="16"/>
  <c r="H462" i="16"/>
  <c r="G462" i="16"/>
  <c r="F462" i="16"/>
  <c r="I461" i="16"/>
  <c r="H461" i="16"/>
  <c r="G461" i="16"/>
  <c r="F461" i="16"/>
  <c r="F463" i="16" s="1"/>
  <c r="I460" i="16"/>
  <c r="H460" i="16"/>
  <c r="G460" i="16"/>
  <c r="F460" i="16"/>
  <c r="I459" i="16"/>
  <c r="H459" i="16"/>
  <c r="I458" i="16"/>
  <c r="H458" i="16"/>
  <c r="G458" i="16"/>
  <c r="F458" i="16"/>
  <c r="I457" i="16"/>
  <c r="H457" i="16"/>
  <c r="G457" i="16"/>
  <c r="F457" i="16"/>
  <c r="I456" i="16"/>
  <c r="H456" i="16"/>
  <c r="G456" i="16"/>
  <c r="F456" i="16"/>
  <c r="I455" i="16"/>
  <c r="H455" i="16"/>
  <c r="G455" i="16"/>
  <c r="F455" i="16"/>
  <c r="I454" i="16"/>
  <c r="H454" i="16"/>
  <c r="G454" i="16"/>
  <c r="F454" i="16"/>
  <c r="I453" i="16"/>
  <c r="H453" i="16"/>
  <c r="G453" i="16"/>
  <c r="F453" i="16"/>
  <c r="I452" i="16"/>
  <c r="H452" i="16"/>
  <c r="G452" i="16"/>
  <c r="F452" i="16"/>
  <c r="I451" i="16"/>
  <c r="H451" i="16"/>
  <c r="G451" i="16"/>
  <c r="F451" i="16"/>
  <c r="I450" i="16"/>
  <c r="H450" i="16"/>
  <c r="G450" i="16"/>
  <c r="F450" i="16"/>
  <c r="I449" i="16"/>
  <c r="H449" i="16"/>
  <c r="G449" i="16"/>
  <c r="F449" i="16"/>
  <c r="I448" i="16"/>
  <c r="H448" i="16"/>
  <c r="G448" i="16"/>
  <c r="F448" i="16"/>
  <c r="I447" i="16"/>
  <c r="H447" i="16"/>
  <c r="G447" i="16"/>
  <c r="F447" i="16"/>
  <c r="J446" i="16"/>
  <c r="J463" i="16" s="1"/>
  <c r="I446" i="16"/>
  <c r="H446" i="16"/>
  <c r="H463" i="16" s="1"/>
  <c r="K463" i="16" s="1"/>
  <c r="G446" i="16"/>
  <c r="G463" i="16" s="1"/>
  <c r="F446" i="16"/>
  <c r="B437" i="16"/>
  <c r="F424" i="16"/>
  <c r="F423" i="16"/>
  <c r="F422" i="16"/>
  <c r="F421" i="16"/>
  <c r="B419" i="16"/>
  <c r="I418" i="16"/>
  <c r="H418" i="16"/>
  <c r="G418" i="16"/>
  <c r="F418" i="16"/>
  <c r="I417" i="16"/>
  <c r="H417" i="16"/>
  <c r="G417" i="16"/>
  <c r="F417" i="16"/>
  <c r="I416" i="16"/>
  <c r="H416" i="16"/>
  <c r="G416" i="16"/>
  <c r="F416" i="16"/>
  <c r="I415" i="16"/>
  <c r="H415" i="16"/>
  <c r="I414" i="16"/>
  <c r="H414" i="16"/>
  <c r="G414" i="16"/>
  <c r="F414" i="16"/>
  <c r="I413" i="16"/>
  <c r="H413" i="16"/>
  <c r="G413" i="16"/>
  <c r="F413" i="16"/>
  <c r="I412" i="16"/>
  <c r="H412" i="16"/>
  <c r="G412" i="16"/>
  <c r="F412" i="16"/>
  <c r="I411" i="16"/>
  <c r="H411" i="16"/>
  <c r="G411" i="16"/>
  <c r="F411" i="16"/>
  <c r="I410" i="16"/>
  <c r="H410" i="16"/>
  <c r="G410" i="16"/>
  <c r="F410" i="16"/>
  <c r="I409" i="16"/>
  <c r="H409" i="16"/>
  <c r="G409" i="16"/>
  <c r="F409" i="16"/>
  <c r="I408" i="16"/>
  <c r="H408" i="16"/>
  <c r="G408" i="16"/>
  <c r="F408" i="16"/>
  <c r="I407" i="16"/>
  <c r="H407" i="16"/>
  <c r="G407" i="16"/>
  <c r="F407" i="16"/>
  <c r="I406" i="16"/>
  <c r="H406" i="16"/>
  <c r="G406" i="16"/>
  <c r="F406" i="16"/>
  <c r="I405" i="16"/>
  <c r="H405" i="16"/>
  <c r="G405" i="16"/>
  <c r="F405" i="16"/>
  <c r="I404" i="16"/>
  <c r="H404" i="16"/>
  <c r="G404" i="16"/>
  <c r="F404" i="16"/>
  <c r="I403" i="16"/>
  <c r="H403" i="16"/>
  <c r="G403" i="16"/>
  <c r="F403" i="16"/>
  <c r="J402" i="16"/>
  <c r="J419" i="16" s="1"/>
  <c r="I402" i="16"/>
  <c r="H402" i="16"/>
  <c r="H419" i="16" s="1"/>
  <c r="K419" i="16" s="1"/>
  <c r="G402" i="16"/>
  <c r="G419" i="16" s="1"/>
  <c r="F402" i="16"/>
  <c r="F419" i="16" s="1"/>
  <c r="B393" i="16"/>
  <c r="F380" i="16"/>
  <c r="F379" i="16"/>
  <c r="F378" i="16"/>
  <c r="F377" i="16"/>
  <c r="J375" i="16"/>
  <c r="B375" i="16"/>
  <c r="I374" i="16"/>
  <c r="H374" i="16"/>
  <c r="G374" i="16"/>
  <c r="F374" i="16"/>
  <c r="I373" i="16"/>
  <c r="H373" i="16"/>
  <c r="G373" i="16"/>
  <c r="F373" i="16"/>
  <c r="I372" i="16"/>
  <c r="H372" i="16"/>
  <c r="G372" i="16"/>
  <c r="F372" i="16"/>
  <c r="I371" i="16"/>
  <c r="H371" i="16"/>
  <c r="I370" i="16"/>
  <c r="H370" i="16"/>
  <c r="G370" i="16"/>
  <c r="F370" i="16"/>
  <c r="I369" i="16"/>
  <c r="H369" i="16"/>
  <c r="G369" i="16"/>
  <c r="F369" i="16"/>
  <c r="I368" i="16"/>
  <c r="H368" i="16"/>
  <c r="G368" i="16"/>
  <c r="F368" i="16"/>
  <c r="I367" i="16"/>
  <c r="H367" i="16"/>
  <c r="G367" i="16"/>
  <c r="F367" i="16"/>
  <c r="I366" i="16"/>
  <c r="H366" i="16"/>
  <c r="G366" i="16"/>
  <c r="F366" i="16"/>
  <c r="I365" i="16"/>
  <c r="H365" i="16"/>
  <c r="G365" i="16"/>
  <c r="F365" i="16"/>
  <c r="I364" i="16"/>
  <c r="H364" i="16"/>
  <c r="G364" i="16"/>
  <c r="F364" i="16"/>
  <c r="I363" i="16"/>
  <c r="H363" i="16"/>
  <c r="G363" i="16"/>
  <c r="F363" i="16"/>
  <c r="I362" i="16"/>
  <c r="H362" i="16"/>
  <c r="G362" i="16"/>
  <c r="F362" i="16"/>
  <c r="I361" i="16"/>
  <c r="H361" i="16"/>
  <c r="G361" i="16"/>
  <c r="F361" i="16"/>
  <c r="I360" i="16"/>
  <c r="H360" i="16"/>
  <c r="G360" i="16"/>
  <c r="F360" i="16"/>
  <c r="I359" i="16"/>
  <c r="H359" i="16"/>
  <c r="G359" i="16"/>
  <c r="F359" i="16"/>
  <c r="J358" i="16"/>
  <c r="I358" i="16"/>
  <c r="H358" i="16"/>
  <c r="H375" i="16" s="1"/>
  <c r="K375" i="16" s="1"/>
  <c r="G358" i="16"/>
  <c r="G375" i="16" s="1"/>
  <c r="F358" i="16"/>
  <c r="F375" i="16" s="1"/>
  <c r="B350" i="16"/>
  <c r="F337" i="16"/>
  <c r="F336" i="16"/>
  <c r="F335" i="16"/>
  <c r="F334" i="16"/>
  <c r="F332" i="16"/>
  <c r="B332" i="16"/>
  <c r="I331" i="16"/>
  <c r="H331" i="16"/>
  <c r="G331" i="16"/>
  <c r="F331" i="16"/>
  <c r="I330" i="16"/>
  <c r="H330" i="16"/>
  <c r="G330" i="16"/>
  <c r="G332" i="16" s="1"/>
  <c r="F330" i="16"/>
  <c r="I329" i="16"/>
  <c r="H329" i="16"/>
  <c r="G329" i="16"/>
  <c r="F329" i="16"/>
  <c r="I328" i="16"/>
  <c r="H328" i="16"/>
  <c r="H332" i="16" s="1"/>
  <c r="K332" i="16" s="1"/>
  <c r="I327" i="16"/>
  <c r="H327" i="16"/>
  <c r="G327" i="16"/>
  <c r="F327" i="16"/>
  <c r="I326" i="16"/>
  <c r="H326" i="16"/>
  <c r="G326" i="16"/>
  <c r="F326" i="16"/>
  <c r="I325" i="16"/>
  <c r="H325" i="16"/>
  <c r="G325" i="16"/>
  <c r="F325" i="16"/>
  <c r="I324" i="16"/>
  <c r="H324" i="16"/>
  <c r="G324" i="16"/>
  <c r="F324" i="16"/>
  <c r="I323" i="16"/>
  <c r="H323" i="16"/>
  <c r="G323" i="16"/>
  <c r="F323" i="16"/>
  <c r="I322" i="16"/>
  <c r="H322" i="16"/>
  <c r="G322" i="16"/>
  <c r="F322" i="16"/>
  <c r="I321" i="16"/>
  <c r="H321" i="16"/>
  <c r="G321" i="16"/>
  <c r="F321" i="16"/>
  <c r="I320" i="16"/>
  <c r="H320" i="16"/>
  <c r="G320" i="16"/>
  <c r="F320" i="16"/>
  <c r="I319" i="16"/>
  <c r="H319" i="16"/>
  <c r="G319" i="16"/>
  <c r="F319" i="16"/>
  <c r="I318" i="16"/>
  <c r="H318" i="16"/>
  <c r="G318" i="16"/>
  <c r="F318" i="16"/>
  <c r="I317" i="16"/>
  <c r="H317" i="16"/>
  <c r="G317" i="16"/>
  <c r="F317" i="16"/>
  <c r="I316" i="16"/>
  <c r="H316" i="16"/>
  <c r="G316" i="16"/>
  <c r="F316" i="16"/>
  <c r="J315" i="16"/>
  <c r="J332" i="16" s="1"/>
  <c r="I315" i="16"/>
  <c r="H315" i="16"/>
  <c r="G315" i="16"/>
  <c r="F315" i="16"/>
  <c r="B305" i="16"/>
  <c r="B306" i="16" s="1"/>
  <c r="J270" i="16" s="1"/>
  <c r="J287" i="16" s="1"/>
  <c r="F292" i="16"/>
  <c r="F291" i="16"/>
  <c r="F290" i="16"/>
  <c r="F289" i="16"/>
  <c r="B287" i="16"/>
  <c r="I286" i="16"/>
  <c r="H286" i="16"/>
  <c r="G286" i="16"/>
  <c r="F286" i="16"/>
  <c r="I285" i="16"/>
  <c r="H285" i="16"/>
  <c r="G285" i="16"/>
  <c r="G287" i="16" s="1"/>
  <c r="F285" i="16"/>
  <c r="F287" i="16" s="1"/>
  <c r="I284" i="16"/>
  <c r="H284" i="16"/>
  <c r="G284" i="16"/>
  <c r="F284" i="16"/>
  <c r="I283" i="16"/>
  <c r="H283" i="16"/>
  <c r="I282" i="16"/>
  <c r="H282" i="16"/>
  <c r="G282" i="16"/>
  <c r="F282" i="16"/>
  <c r="I281" i="16"/>
  <c r="H281" i="16"/>
  <c r="G281" i="16"/>
  <c r="F281" i="16"/>
  <c r="I280" i="16"/>
  <c r="H280" i="16"/>
  <c r="G280" i="16"/>
  <c r="F280" i="16"/>
  <c r="I279" i="16"/>
  <c r="H279" i="16"/>
  <c r="G279" i="16"/>
  <c r="F279" i="16"/>
  <c r="I278" i="16"/>
  <c r="H278" i="16"/>
  <c r="G278" i="16"/>
  <c r="F278" i="16"/>
  <c r="I277" i="16"/>
  <c r="H277" i="16"/>
  <c r="G277" i="16"/>
  <c r="F277" i="16"/>
  <c r="I276" i="16"/>
  <c r="H276" i="16"/>
  <c r="G276" i="16"/>
  <c r="F276" i="16"/>
  <c r="I275" i="16"/>
  <c r="H275" i="16"/>
  <c r="G275" i="16"/>
  <c r="F275" i="16"/>
  <c r="I274" i="16"/>
  <c r="H274" i="16"/>
  <c r="G274" i="16"/>
  <c r="F274" i="16"/>
  <c r="I273" i="16"/>
  <c r="H273" i="16"/>
  <c r="G273" i="16"/>
  <c r="F273" i="16"/>
  <c r="I272" i="16"/>
  <c r="H272" i="16"/>
  <c r="H287" i="16" s="1"/>
  <c r="G272" i="16"/>
  <c r="F272" i="16"/>
  <c r="I271" i="16"/>
  <c r="H271" i="16"/>
  <c r="G271" i="16"/>
  <c r="F271" i="16"/>
  <c r="I270" i="16"/>
  <c r="H270" i="16"/>
  <c r="G270" i="16"/>
  <c r="F270" i="16"/>
  <c r="B261" i="16"/>
  <c r="B262" i="16" s="1"/>
  <c r="J226" i="16" s="1"/>
  <c r="J243" i="16" s="1"/>
  <c r="F248" i="16"/>
  <c r="F247" i="16"/>
  <c r="F246" i="16"/>
  <c r="F245" i="16"/>
  <c r="B243" i="16"/>
  <c r="I242" i="16"/>
  <c r="H242" i="16"/>
  <c r="G242" i="16"/>
  <c r="F242" i="16"/>
  <c r="I241" i="16"/>
  <c r="H241" i="16"/>
  <c r="G241" i="16"/>
  <c r="F241" i="16"/>
  <c r="F243" i="16" s="1"/>
  <c r="I240" i="16"/>
  <c r="H240" i="16"/>
  <c r="G240" i="16"/>
  <c r="F240" i="16"/>
  <c r="I239" i="16"/>
  <c r="H239" i="16"/>
  <c r="I238" i="16"/>
  <c r="H238" i="16"/>
  <c r="G238" i="16"/>
  <c r="F238" i="16"/>
  <c r="I237" i="16"/>
  <c r="H237" i="16"/>
  <c r="G237" i="16"/>
  <c r="F237" i="16"/>
  <c r="I236" i="16"/>
  <c r="H236" i="16"/>
  <c r="G236" i="16"/>
  <c r="F236" i="16"/>
  <c r="I235" i="16"/>
  <c r="H235" i="16"/>
  <c r="G235" i="16"/>
  <c r="F235" i="16"/>
  <c r="I234" i="16"/>
  <c r="H234" i="16"/>
  <c r="G234" i="16"/>
  <c r="F234" i="16"/>
  <c r="I233" i="16"/>
  <c r="H233" i="16"/>
  <c r="G233" i="16"/>
  <c r="F233" i="16"/>
  <c r="I232" i="16"/>
  <c r="H232" i="16"/>
  <c r="G232" i="16"/>
  <c r="F232" i="16"/>
  <c r="I231" i="16"/>
  <c r="H231" i="16"/>
  <c r="G231" i="16"/>
  <c r="F231" i="16"/>
  <c r="I230" i="16"/>
  <c r="H230" i="16"/>
  <c r="G230" i="16"/>
  <c r="F230" i="16"/>
  <c r="I229" i="16"/>
  <c r="H229" i="16"/>
  <c r="G229" i="16"/>
  <c r="F229" i="16"/>
  <c r="I228" i="16"/>
  <c r="H228" i="16"/>
  <c r="G228" i="16"/>
  <c r="G243" i="16" s="1"/>
  <c r="F228" i="16"/>
  <c r="I227" i="16"/>
  <c r="H227" i="16"/>
  <c r="G227" i="16"/>
  <c r="F227" i="16"/>
  <c r="I226" i="16"/>
  <c r="H226" i="16"/>
  <c r="H243" i="16" s="1"/>
  <c r="G226" i="16"/>
  <c r="F226" i="16"/>
  <c r="B218" i="16"/>
  <c r="B217" i="16"/>
  <c r="F204" i="16"/>
  <c r="F203" i="16"/>
  <c r="F202" i="16"/>
  <c r="F201" i="16"/>
  <c r="B199" i="16"/>
  <c r="I198" i="16"/>
  <c r="H198" i="16"/>
  <c r="G198" i="16"/>
  <c r="F198" i="16"/>
  <c r="I197" i="16"/>
  <c r="H197" i="16"/>
  <c r="G197" i="16"/>
  <c r="F197" i="16"/>
  <c r="I196" i="16"/>
  <c r="H196" i="16"/>
  <c r="G196" i="16"/>
  <c r="F196" i="16"/>
  <c r="I195" i="16"/>
  <c r="H195" i="16"/>
  <c r="I194" i="16"/>
  <c r="H194" i="16"/>
  <c r="G194" i="16"/>
  <c r="F194" i="16"/>
  <c r="I193" i="16"/>
  <c r="H193" i="16"/>
  <c r="G193" i="16"/>
  <c r="F193" i="16"/>
  <c r="I192" i="16"/>
  <c r="H192" i="16"/>
  <c r="G192" i="16"/>
  <c r="F192" i="16"/>
  <c r="I191" i="16"/>
  <c r="H191" i="16"/>
  <c r="G191" i="16"/>
  <c r="F191" i="16"/>
  <c r="I190" i="16"/>
  <c r="H190" i="16"/>
  <c r="G190" i="16"/>
  <c r="F190" i="16"/>
  <c r="I189" i="16"/>
  <c r="H189" i="16"/>
  <c r="G189" i="16"/>
  <c r="F189" i="16"/>
  <c r="I188" i="16"/>
  <c r="H188" i="16"/>
  <c r="G188" i="16"/>
  <c r="F188" i="16"/>
  <c r="I187" i="16"/>
  <c r="H187" i="16"/>
  <c r="G187" i="16"/>
  <c r="F187" i="16"/>
  <c r="I186" i="16"/>
  <c r="H186" i="16"/>
  <c r="G186" i="16"/>
  <c r="F186" i="16"/>
  <c r="I185" i="16"/>
  <c r="H185" i="16"/>
  <c r="G185" i="16"/>
  <c r="F185" i="16"/>
  <c r="I184" i="16"/>
  <c r="H184" i="16"/>
  <c r="G184" i="16"/>
  <c r="F184" i="16"/>
  <c r="F199" i="16" s="1"/>
  <c r="I183" i="16"/>
  <c r="H183" i="16"/>
  <c r="G183" i="16"/>
  <c r="F183" i="16"/>
  <c r="J182" i="16"/>
  <c r="J199" i="16" s="1"/>
  <c r="I182" i="16"/>
  <c r="H182" i="16"/>
  <c r="H199" i="16" s="1"/>
  <c r="K199" i="16" s="1"/>
  <c r="G182" i="16"/>
  <c r="G199" i="16" s="1"/>
  <c r="F182" i="16"/>
  <c r="B174" i="16"/>
  <c r="B173" i="16"/>
  <c r="F160" i="16"/>
  <c r="F159" i="16"/>
  <c r="F158" i="16"/>
  <c r="F157" i="16"/>
  <c r="B155" i="16"/>
  <c r="I154" i="16"/>
  <c r="H154" i="16"/>
  <c r="G154" i="16"/>
  <c r="F154" i="16"/>
  <c r="I153" i="16"/>
  <c r="H153" i="16"/>
  <c r="G153" i="16"/>
  <c r="F153" i="16"/>
  <c r="I152" i="16"/>
  <c r="H152" i="16"/>
  <c r="G152" i="16"/>
  <c r="F152" i="16"/>
  <c r="I151" i="16"/>
  <c r="H151" i="16"/>
  <c r="I150" i="16"/>
  <c r="H150" i="16"/>
  <c r="G150" i="16"/>
  <c r="F150" i="16"/>
  <c r="I149" i="16"/>
  <c r="H149" i="16"/>
  <c r="G149" i="16"/>
  <c r="F149" i="16"/>
  <c r="I148" i="16"/>
  <c r="H148" i="16"/>
  <c r="G148" i="16"/>
  <c r="F148" i="16"/>
  <c r="I147" i="16"/>
  <c r="H147" i="16"/>
  <c r="G147" i="16"/>
  <c r="F147" i="16"/>
  <c r="I146" i="16"/>
  <c r="H146" i="16"/>
  <c r="G146" i="16"/>
  <c r="F146" i="16"/>
  <c r="I145" i="16"/>
  <c r="H145" i="16"/>
  <c r="G145" i="16"/>
  <c r="F145" i="16"/>
  <c r="I144" i="16"/>
  <c r="H144" i="16"/>
  <c r="G144" i="16"/>
  <c r="F144" i="16"/>
  <c r="I143" i="16"/>
  <c r="H143" i="16"/>
  <c r="G143" i="16"/>
  <c r="F143" i="16"/>
  <c r="I142" i="16"/>
  <c r="H142" i="16"/>
  <c r="G142" i="16"/>
  <c r="F142" i="16"/>
  <c r="I141" i="16"/>
  <c r="H141" i="16"/>
  <c r="G141" i="16"/>
  <c r="F141" i="16"/>
  <c r="I140" i="16"/>
  <c r="H140" i="16"/>
  <c r="G140" i="16"/>
  <c r="F140" i="16"/>
  <c r="I139" i="16"/>
  <c r="H139" i="16"/>
  <c r="G139" i="16"/>
  <c r="F139" i="16"/>
  <c r="J138" i="16"/>
  <c r="J155" i="16" s="1"/>
  <c r="I138" i="16"/>
  <c r="H138" i="16"/>
  <c r="H155" i="16" s="1"/>
  <c r="K155" i="16" s="1"/>
  <c r="G138" i="16"/>
  <c r="G155" i="16" s="1"/>
  <c r="F138" i="16"/>
  <c r="F155" i="16" s="1"/>
  <c r="B130" i="16"/>
  <c r="B131" i="16" s="1"/>
  <c r="J95" i="16" s="1"/>
  <c r="J112" i="16" s="1"/>
  <c r="F117" i="16"/>
  <c r="F116" i="16"/>
  <c r="F115" i="16"/>
  <c r="F114" i="16"/>
  <c r="B112" i="16"/>
  <c r="I111" i="16"/>
  <c r="H111" i="16"/>
  <c r="G111" i="16"/>
  <c r="F111" i="16"/>
  <c r="I110" i="16"/>
  <c r="H110" i="16"/>
  <c r="G110" i="16"/>
  <c r="F110" i="16"/>
  <c r="I109" i="16"/>
  <c r="H109" i="16"/>
  <c r="G109" i="16"/>
  <c r="F109" i="16"/>
  <c r="I108" i="16"/>
  <c r="H108" i="16"/>
  <c r="I107" i="16"/>
  <c r="H107" i="16"/>
  <c r="G107" i="16"/>
  <c r="F107" i="16"/>
  <c r="I106" i="16"/>
  <c r="H106" i="16"/>
  <c r="G106" i="16"/>
  <c r="F106" i="16"/>
  <c r="I105" i="16"/>
  <c r="H105" i="16"/>
  <c r="G105" i="16"/>
  <c r="F105" i="16"/>
  <c r="I104" i="16"/>
  <c r="H104" i="16"/>
  <c r="G104" i="16"/>
  <c r="F104" i="16"/>
  <c r="I103" i="16"/>
  <c r="H103" i="16"/>
  <c r="G103" i="16"/>
  <c r="F103" i="16"/>
  <c r="I102" i="16"/>
  <c r="H102" i="16"/>
  <c r="G102" i="16"/>
  <c r="F102" i="16"/>
  <c r="I101" i="16"/>
  <c r="H101" i="16"/>
  <c r="G101" i="16"/>
  <c r="F101" i="16"/>
  <c r="I100" i="16"/>
  <c r="H100" i="16"/>
  <c r="G100" i="16"/>
  <c r="F100" i="16"/>
  <c r="I99" i="16"/>
  <c r="H99" i="16"/>
  <c r="G99" i="16"/>
  <c r="F99" i="16"/>
  <c r="I98" i="16"/>
  <c r="H98" i="16"/>
  <c r="G98" i="16"/>
  <c r="F98" i="16"/>
  <c r="I97" i="16"/>
  <c r="H97" i="16"/>
  <c r="G97" i="16"/>
  <c r="F97" i="16"/>
  <c r="I96" i="16"/>
  <c r="H96" i="16"/>
  <c r="G96" i="16"/>
  <c r="F96" i="16"/>
  <c r="I95" i="16"/>
  <c r="H95" i="16"/>
  <c r="H112" i="16" s="1"/>
  <c r="K112" i="16" s="1"/>
  <c r="G95" i="16"/>
  <c r="G112" i="16" s="1"/>
  <c r="F95" i="16"/>
  <c r="F112" i="16" s="1"/>
  <c r="B87" i="16"/>
  <c r="J51" i="16" s="1"/>
  <c r="J68" i="16" s="1"/>
  <c r="B86" i="16"/>
  <c r="F73" i="16"/>
  <c r="F72" i="16"/>
  <c r="F71" i="16"/>
  <c r="F70" i="16"/>
  <c r="H68" i="16"/>
  <c r="K68" i="16" s="1"/>
  <c r="B68" i="16"/>
  <c r="I67" i="16"/>
  <c r="H67" i="16"/>
  <c r="G67" i="16"/>
  <c r="F67" i="16"/>
  <c r="I66" i="16"/>
  <c r="H66" i="16"/>
  <c r="G66" i="16"/>
  <c r="F66" i="16"/>
  <c r="I65" i="16"/>
  <c r="H65" i="16"/>
  <c r="G65" i="16"/>
  <c r="F65" i="16"/>
  <c r="I64" i="16"/>
  <c r="H64" i="16"/>
  <c r="I63" i="16"/>
  <c r="H63" i="16"/>
  <c r="G63" i="16"/>
  <c r="F63" i="16"/>
  <c r="I62" i="16"/>
  <c r="H62" i="16"/>
  <c r="G62" i="16"/>
  <c r="F62" i="16"/>
  <c r="I61" i="16"/>
  <c r="H61" i="16"/>
  <c r="G61" i="16"/>
  <c r="F61" i="16"/>
  <c r="I60" i="16"/>
  <c r="H60" i="16"/>
  <c r="G60" i="16"/>
  <c r="F60" i="16"/>
  <c r="I59" i="16"/>
  <c r="H59" i="16"/>
  <c r="G59" i="16"/>
  <c r="F59" i="16"/>
  <c r="I58" i="16"/>
  <c r="H58" i="16"/>
  <c r="G58" i="16"/>
  <c r="F58" i="16"/>
  <c r="I57" i="16"/>
  <c r="H57" i="16"/>
  <c r="G57" i="16"/>
  <c r="F57" i="16"/>
  <c r="I56" i="16"/>
  <c r="H56" i="16"/>
  <c r="G56" i="16"/>
  <c r="F56" i="16"/>
  <c r="I55" i="16"/>
  <c r="H55" i="16"/>
  <c r="G55" i="16"/>
  <c r="F55" i="16"/>
  <c r="I54" i="16"/>
  <c r="H54" i="16"/>
  <c r="G54" i="16"/>
  <c r="F54" i="16"/>
  <c r="I53" i="16"/>
  <c r="H53" i="16"/>
  <c r="G53" i="16"/>
  <c r="F53" i="16"/>
  <c r="I52" i="16"/>
  <c r="H52" i="16"/>
  <c r="G52" i="16"/>
  <c r="F52" i="16"/>
  <c r="I51" i="16"/>
  <c r="H51" i="16"/>
  <c r="G51" i="16"/>
  <c r="G68" i="16" s="1"/>
  <c r="F51" i="16"/>
  <c r="F68" i="16" s="1"/>
  <c r="B41" i="16"/>
  <c r="B42" i="16" s="1"/>
  <c r="J6" i="16" s="1"/>
  <c r="J23" i="16" s="1"/>
  <c r="F28" i="16"/>
  <c r="F27" i="16"/>
  <c r="F26" i="16"/>
  <c r="F25" i="16"/>
  <c r="G23" i="16"/>
  <c r="B23" i="16"/>
  <c r="I22" i="16"/>
  <c r="H22" i="16"/>
  <c r="G22" i="16"/>
  <c r="F22" i="16"/>
  <c r="I21" i="16"/>
  <c r="H21" i="16"/>
  <c r="G21" i="16"/>
  <c r="F21" i="16"/>
  <c r="I20" i="16"/>
  <c r="H20" i="16"/>
  <c r="G20" i="16"/>
  <c r="F20" i="16"/>
  <c r="I19" i="16"/>
  <c r="H19" i="16"/>
  <c r="H23" i="16" s="1"/>
  <c r="K23" i="16" s="1"/>
  <c r="I18" i="16"/>
  <c r="H18" i="16"/>
  <c r="G18" i="16"/>
  <c r="F18" i="16"/>
  <c r="I17" i="16"/>
  <c r="H17" i="16"/>
  <c r="G17" i="16"/>
  <c r="F17" i="16"/>
  <c r="I16" i="16"/>
  <c r="H16" i="16"/>
  <c r="G16" i="16"/>
  <c r="F16" i="16"/>
  <c r="I15" i="16"/>
  <c r="H15" i="16"/>
  <c r="G15" i="16"/>
  <c r="F15" i="16"/>
  <c r="I14" i="16"/>
  <c r="H14" i="16"/>
  <c r="G14" i="16"/>
  <c r="F14" i="16"/>
  <c r="I13" i="16"/>
  <c r="H13" i="16"/>
  <c r="G13" i="16"/>
  <c r="F13" i="16"/>
  <c r="I12" i="16"/>
  <c r="H12" i="16"/>
  <c r="G12" i="16"/>
  <c r="F12" i="16"/>
  <c r="I11" i="16"/>
  <c r="H11" i="16"/>
  <c r="G11" i="16"/>
  <c r="F11" i="16"/>
  <c r="I10" i="16"/>
  <c r="H10" i="16"/>
  <c r="G10" i="16"/>
  <c r="F10" i="16"/>
  <c r="I9" i="16"/>
  <c r="H9" i="16"/>
  <c r="G9" i="16"/>
  <c r="F9" i="16"/>
  <c r="I8" i="16"/>
  <c r="H8" i="16"/>
  <c r="G8" i="16"/>
  <c r="F8" i="16"/>
  <c r="I7" i="16"/>
  <c r="H7" i="16"/>
  <c r="G7" i="16"/>
  <c r="F7" i="16"/>
  <c r="I6" i="16"/>
  <c r="H6" i="16"/>
  <c r="G6" i="16"/>
  <c r="F6" i="16"/>
  <c r="F23" i="16" s="1"/>
  <c r="B1105" i="14"/>
  <c r="F1092" i="14"/>
  <c r="F1091" i="14"/>
  <c r="F1090" i="14"/>
  <c r="F1089" i="14"/>
  <c r="B1087" i="14"/>
  <c r="I1086" i="14"/>
  <c r="H1086" i="14"/>
  <c r="G1086" i="14"/>
  <c r="F1086" i="14"/>
  <c r="I1085" i="14"/>
  <c r="H1085" i="14"/>
  <c r="G1085" i="14"/>
  <c r="F1085" i="14"/>
  <c r="I1084" i="14"/>
  <c r="H1084" i="14"/>
  <c r="G1084" i="14"/>
  <c r="F1084" i="14"/>
  <c r="I1083" i="14"/>
  <c r="H1083" i="14"/>
  <c r="I1082" i="14"/>
  <c r="H1082" i="14"/>
  <c r="G1082" i="14"/>
  <c r="F1082" i="14"/>
  <c r="I1081" i="14"/>
  <c r="H1081" i="14"/>
  <c r="G1081" i="14"/>
  <c r="F1081" i="14"/>
  <c r="I1080" i="14"/>
  <c r="H1080" i="14"/>
  <c r="G1080" i="14"/>
  <c r="F1080" i="14"/>
  <c r="I1079" i="14"/>
  <c r="H1079" i="14"/>
  <c r="G1079" i="14"/>
  <c r="F1079" i="14"/>
  <c r="I1078" i="14"/>
  <c r="H1078" i="14"/>
  <c r="G1078" i="14"/>
  <c r="F1078" i="14"/>
  <c r="I1077" i="14"/>
  <c r="H1077" i="14"/>
  <c r="G1077" i="14"/>
  <c r="F1077" i="14"/>
  <c r="I1076" i="14"/>
  <c r="H1076" i="14"/>
  <c r="G1076" i="14"/>
  <c r="F1076" i="14"/>
  <c r="I1075" i="14"/>
  <c r="H1075" i="14"/>
  <c r="G1075" i="14"/>
  <c r="F1075" i="14"/>
  <c r="I1074" i="14"/>
  <c r="H1074" i="14"/>
  <c r="G1074" i="14"/>
  <c r="F1074" i="14"/>
  <c r="I1073" i="14"/>
  <c r="H1073" i="14"/>
  <c r="G1073" i="14"/>
  <c r="F1073" i="14"/>
  <c r="I1072" i="14"/>
  <c r="H1072" i="14"/>
  <c r="G1072" i="14"/>
  <c r="F1072" i="14"/>
  <c r="I1071" i="14"/>
  <c r="H1071" i="14"/>
  <c r="G1071" i="14"/>
  <c r="F1071" i="14"/>
  <c r="J1070" i="14"/>
  <c r="J1087" i="14" s="1"/>
  <c r="I1070" i="14"/>
  <c r="H1070" i="14"/>
  <c r="G1070" i="14"/>
  <c r="F1070" i="14"/>
  <c r="B1062" i="14"/>
  <c r="J1027" i="14" s="1"/>
  <c r="J1044" i="14" s="1"/>
  <c r="F1049" i="14"/>
  <c r="F1048" i="14"/>
  <c r="F1047" i="14"/>
  <c r="F1046" i="14"/>
  <c r="B1044" i="14"/>
  <c r="I1043" i="14"/>
  <c r="H1043" i="14"/>
  <c r="G1043" i="14"/>
  <c r="F1043" i="14"/>
  <c r="I1042" i="14"/>
  <c r="H1042" i="14"/>
  <c r="G1042" i="14"/>
  <c r="F1042" i="14"/>
  <c r="I1041" i="14"/>
  <c r="H1041" i="14"/>
  <c r="G1041" i="14"/>
  <c r="F1041" i="14"/>
  <c r="I1040" i="14"/>
  <c r="H1040" i="14"/>
  <c r="I1039" i="14"/>
  <c r="H1039" i="14"/>
  <c r="G1039" i="14"/>
  <c r="F1039" i="14"/>
  <c r="I1038" i="14"/>
  <c r="H1038" i="14"/>
  <c r="G1038" i="14"/>
  <c r="F1038" i="14"/>
  <c r="I1037" i="14"/>
  <c r="H1037" i="14"/>
  <c r="G1037" i="14"/>
  <c r="F1037" i="14"/>
  <c r="I1036" i="14"/>
  <c r="H1036" i="14"/>
  <c r="G1036" i="14"/>
  <c r="F1036" i="14"/>
  <c r="I1035" i="14"/>
  <c r="H1035" i="14"/>
  <c r="G1035" i="14"/>
  <c r="F1035" i="14"/>
  <c r="I1034" i="14"/>
  <c r="H1034" i="14"/>
  <c r="G1034" i="14"/>
  <c r="F1034" i="14"/>
  <c r="I1033" i="14"/>
  <c r="H1033" i="14"/>
  <c r="G1033" i="14"/>
  <c r="F1033" i="14"/>
  <c r="I1032" i="14"/>
  <c r="H1032" i="14"/>
  <c r="G1032" i="14"/>
  <c r="F1032" i="14"/>
  <c r="I1031" i="14"/>
  <c r="H1031" i="14"/>
  <c r="G1031" i="14"/>
  <c r="F1031" i="14"/>
  <c r="I1030" i="14"/>
  <c r="H1030" i="14"/>
  <c r="G1030" i="14"/>
  <c r="F1030" i="14"/>
  <c r="I1029" i="14"/>
  <c r="H1029" i="14"/>
  <c r="G1029" i="14"/>
  <c r="F1029" i="14"/>
  <c r="I1028" i="14"/>
  <c r="H1028" i="14"/>
  <c r="G1028" i="14"/>
  <c r="F1028" i="14"/>
  <c r="I1027" i="14"/>
  <c r="H1027" i="14"/>
  <c r="G1027" i="14"/>
  <c r="F1027" i="14"/>
  <c r="B1017" i="14"/>
  <c r="B1019" i="14" s="1"/>
  <c r="F1004" i="14"/>
  <c r="F1003" i="14"/>
  <c r="F1002" i="14"/>
  <c r="F1001" i="14"/>
  <c r="B999" i="14"/>
  <c r="I998" i="14"/>
  <c r="H998" i="14"/>
  <c r="G998" i="14"/>
  <c r="F998" i="14"/>
  <c r="I997" i="14"/>
  <c r="H997" i="14"/>
  <c r="G997" i="14"/>
  <c r="F997" i="14"/>
  <c r="I996" i="14"/>
  <c r="H996" i="14"/>
  <c r="G996" i="14"/>
  <c r="F996" i="14"/>
  <c r="I995" i="14"/>
  <c r="H995" i="14"/>
  <c r="I994" i="14"/>
  <c r="H994" i="14"/>
  <c r="G994" i="14"/>
  <c r="F994" i="14"/>
  <c r="I993" i="14"/>
  <c r="H993" i="14"/>
  <c r="G993" i="14"/>
  <c r="F993" i="14"/>
  <c r="I992" i="14"/>
  <c r="H992" i="14"/>
  <c r="G992" i="14"/>
  <c r="F992" i="14"/>
  <c r="I991" i="14"/>
  <c r="H991" i="14"/>
  <c r="G991" i="14"/>
  <c r="F991" i="14"/>
  <c r="I990" i="14"/>
  <c r="H990" i="14"/>
  <c r="G990" i="14"/>
  <c r="F990" i="14"/>
  <c r="I989" i="14"/>
  <c r="H989" i="14"/>
  <c r="G989" i="14"/>
  <c r="F989" i="14"/>
  <c r="I988" i="14"/>
  <c r="H988" i="14"/>
  <c r="G988" i="14"/>
  <c r="F988" i="14"/>
  <c r="I987" i="14"/>
  <c r="H987" i="14"/>
  <c r="G987" i="14"/>
  <c r="F987" i="14"/>
  <c r="I986" i="14"/>
  <c r="H986" i="14"/>
  <c r="G986" i="14"/>
  <c r="F986" i="14"/>
  <c r="I985" i="14"/>
  <c r="H985" i="14"/>
  <c r="G985" i="14"/>
  <c r="F985" i="14"/>
  <c r="I984" i="14"/>
  <c r="H984" i="14"/>
  <c r="G984" i="14"/>
  <c r="F984" i="14"/>
  <c r="I983" i="14"/>
  <c r="H983" i="14"/>
  <c r="G983" i="14"/>
  <c r="F983" i="14"/>
  <c r="I982" i="14"/>
  <c r="H982" i="14"/>
  <c r="G982" i="14"/>
  <c r="F982" i="14"/>
  <c r="B974" i="14"/>
  <c r="J939" i="14" s="1"/>
  <c r="J956" i="14" s="1"/>
  <c r="F961" i="14"/>
  <c r="F960" i="14"/>
  <c r="F959" i="14"/>
  <c r="F958" i="14"/>
  <c r="B956" i="14"/>
  <c r="I955" i="14"/>
  <c r="H955" i="14"/>
  <c r="G955" i="14"/>
  <c r="F955" i="14"/>
  <c r="I954" i="14"/>
  <c r="H954" i="14"/>
  <c r="G954" i="14"/>
  <c r="F954" i="14"/>
  <c r="I953" i="14"/>
  <c r="H953" i="14"/>
  <c r="G953" i="14"/>
  <c r="F953" i="14"/>
  <c r="I952" i="14"/>
  <c r="H952" i="14"/>
  <c r="I951" i="14"/>
  <c r="H951" i="14"/>
  <c r="G951" i="14"/>
  <c r="F951" i="14"/>
  <c r="I950" i="14"/>
  <c r="H950" i="14"/>
  <c r="G950" i="14"/>
  <c r="F950" i="14"/>
  <c r="I949" i="14"/>
  <c r="H949" i="14"/>
  <c r="G949" i="14"/>
  <c r="F949" i="14"/>
  <c r="I948" i="14"/>
  <c r="H948" i="14"/>
  <c r="G948" i="14"/>
  <c r="F948" i="14"/>
  <c r="I947" i="14"/>
  <c r="H947" i="14"/>
  <c r="G947" i="14"/>
  <c r="F947" i="14"/>
  <c r="I946" i="14"/>
  <c r="H946" i="14"/>
  <c r="G946" i="14"/>
  <c r="F946" i="14"/>
  <c r="I945" i="14"/>
  <c r="H945" i="14"/>
  <c r="G945" i="14"/>
  <c r="F945" i="14"/>
  <c r="I944" i="14"/>
  <c r="H944" i="14"/>
  <c r="G944" i="14"/>
  <c r="F944" i="14"/>
  <c r="I943" i="14"/>
  <c r="H943" i="14"/>
  <c r="G943" i="14"/>
  <c r="F943" i="14"/>
  <c r="I942" i="14"/>
  <c r="H942" i="14"/>
  <c r="G942" i="14"/>
  <c r="F942" i="14"/>
  <c r="I941" i="14"/>
  <c r="H941" i="14"/>
  <c r="G941" i="14"/>
  <c r="F941" i="14"/>
  <c r="I940" i="14"/>
  <c r="H940" i="14"/>
  <c r="G940" i="14"/>
  <c r="F940" i="14"/>
  <c r="I939" i="14"/>
  <c r="H939" i="14"/>
  <c r="G939" i="14"/>
  <c r="F939" i="14"/>
  <c r="B931" i="14"/>
  <c r="J896" i="14" s="1"/>
  <c r="J913" i="14" s="1"/>
  <c r="F918" i="14"/>
  <c r="F917" i="14"/>
  <c r="F916" i="14"/>
  <c r="F915" i="14"/>
  <c r="B913" i="14"/>
  <c r="I912" i="14"/>
  <c r="H912" i="14"/>
  <c r="G912" i="14"/>
  <c r="F912" i="14"/>
  <c r="I911" i="14"/>
  <c r="H911" i="14"/>
  <c r="G911" i="14"/>
  <c r="F911" i="14"/>
  <c r="I910" i="14"/>
  <c r="H910" i="14"/>
  <c r="G910" i="14"/>
  <c r="F910" i="14"/>
  <c r="I909" i="14"/>
  <c r="H909" i="14"/>
  <c r="I908" i="14"/>
  <c r="H908" i="14"/>
  <c r="G908" i="14"/>
  <c r="F908" i="14"/>
  <c r="I907" i="14"/>
  <c r="H907" i="14"/>
  <c r="G907" i="14"/>
  <c r="F907" i="14"/>
  <c r="I906" i="14"/>
  <c r="H906" i="14"/>
  <c r="G906" i="14"/>
  <c r="F906" i="14"/>
  <c r="I905" i="14"/>
  <c r="H905" i="14"/>
  <c r="G905" i="14"/>
  <c r="F905" i="14"/>
  <c r="I904" i="14"/>
  <c r="H904" i="14"/>
  <c r="G904" i="14"/>
  <c r="F904" i="14"/>
  <c r="I903" i="14"/>
  <c r="H903" i="14"/>
  <c r="G903" i="14"/>
  <c r="F903" i="14"/>
  <c r="I902" i="14"/>
  <c r="H902" i="14"/>
  <c r="G902" i="14"/>
  <c r="F902" i="14"/>
  <c r="I901" i="14"/>
  <c r="H901" i="14"/>
  <c r="G901" i="14"/>
  <c r="F901" i="14"/>
  <c r="I900" i="14"/>
  <c r="H900" i="14"/>
  <c r="G900" i="14"/>
  <c r="F900" i="14"/>
  <c r="I899" i="14"/>
  <c r="H899" i="14"/>
  <c r="G899" i="14"/>
  <c r="F899" i="14"/>
  <c r="I898" i="14"/>
  <c r="H898" i="14"/>
  <c r="G898" i="14"/>
  <c r="F898" i="14"/>
  <c r="I897" i="14"/>
  <c r="H897" i="14"/>
  <c r="G897" i="14"/>
  <c r="F897" i="14"/>
  <c r="I896" i="14"/>
  <c r="H896" i="14"/>
  <c r="G896" i="14"/>
  <c r="F896" i="14"/>
  <c r="B888" i="14"/>
  <c r="J853" i="14" s="1"/>
  <c r="J870" i="14" s="1"/>
  <c r="F875" i="14"/>
  <c r="F874" i="14"/>
  <c r="F873" i="14"/>
  <c r="F872" i="14"/>
  <c r="B870" i="14"/>
  <c r="I869" i="14"/>
  <c r="H869" i="14"/>
  <c r="G869" i="14"/>
  <c r="F869" i="14"/>
  <c r="I868" i="14"/>
  <c r="H868" i="14"/>
  <c r="G868" i="14"/>
  <c r="F868" i="14"/>
  <c r="I867" i="14"/>
  <c r="H867" i="14"/>
  <c r="G867" i="14"/>
  <c r="F867" i="14"/>
  <c r="I866" i="14"/>
  <c r="H866" i="14"/>
  <c r="I865" i="14"/>
  <c r="H865" i="14"/>
  <c r="G865" i="14"/>
  <c r="F865" i="14"/>
  <c r="I864" i="14"/>
  <c r="H864" i="14"/>
  <c r="G864" i="14"/>
  <c r="F864" i="14"/>
  <c r="I863" i="14"/>
  <c r="H863" i="14"/>
  <c r="G863" i="14"/>
  <c r="F863" i="14"/>
  <c r="I862" i="14"/>
  <c r="H862" i="14"/>
  <c r="G862" i="14"/>
  <c r="F862" i="14"/>
  <c r="I861" i="14"/>
  <c r="H861" i="14"/>
  <c r="G861" i="14"/>
  <c r="F861" i="14"/>
  <c r="I860" i="14"/>
  <c r="H860" i="14"/>
  <c r="G860" i="14"/>
  <c r="F860" i="14"/>
  <c r="I859" i="14"/>
  <c r="H859" i="14"/>
  <c r="G859" i="14"/>
  <c r="F859" i="14"/>
  <c r="I858" i="14"/>
  <c r="H858" i="14"/>
  <c r="G858" i="14"/>
  <c r="F858" i="14"/>
  <c r="I857" i="14"/>
  <c r="H857" i="14"/>
  <c r="G857" i="14"/>
  <c r="F857" i="14"/>
  <c r="I856" i="14"/>
  <c r="H856" i="14"/>
  <c r="G856" i="14"/>
  <c r="F856" i="14"/>
  <c r="I855" i="14"/>
  <c r="H855" i="14"/>
  <c r="G855" i="14"/>
  <c r="F855" i="14"/>
  <c r="I854" i="14"/>
  <c r="H854" i="14"/>
  <c r="G854" i="14"/>
  <c r="F854" i="14"/>
  <c r="I853" i="14"/>
  <c r="H853" i="14"/>
  <c r="G853" i="14"/>
  <c r="F853" i="14"/>
  <c r="B845" i="14"/>
  <c r="J810" i="14" s="1"/>
  <c r="J827" i="14" s="1"/>
  <c r="F832" i="14"/>
  <c r="F831" i="14"/>
  <c r="F830" i="14"/>
  <c r="F829" i="14"/>
  <c r="B827" i="14"/>
  <c r="I826" i="14"/>
  <c r="H826" i="14"/>
  <c r="G826" i="14"/>
  <c r="F826" i="14"/>
  <c r="I825" i="14"/>
  <c r="H825" i="14"/>
  <c r="G825" i="14"/>
  <c r="F825" i="14"/>
  <c r="I824" i="14"/>
  <c r="H824" i="14"/>
  <c r="G824" i="14"/>
  <c r="F824" i="14"/>
  <c r="I823" i="14"/>
  <c r="H823" i="14"/>
  <c r="I822" i="14"/>
  <c r="H822" i="14"/>
  <c r="G822" i="14"/>
  <c r="F822" i="14"/>
  <c r="I821" i="14"/>
  <c r="H821" i="14"/>
  <c r="G821" i="14"/>
  <c r="F821" i="14"/>
  <c r="I820" i="14"/>
  <c r="H820" i="14"/>
  <c r="G820" i="14"/>
  <c r="F820" i="14"/>
  <c r="I819" i="14"/>
  <c r="H819" i="14"/>
  <c r="G819" i="14"/>
  <c r="F819" i="14"/>
  <c r="I818" i="14"/>
  <c r="H818" i="14"/>
  <c r="G818" i="14"/>
  <c r="F818" i="14"/>
  <c r="I817" i="14"/>
  <c r="H817" i="14"/>
  <c r="G817" i="14"/>
  <c r="F817" i="14"/>
  <c r="I816" i="14"/>
  <c r="H816" i="14"/>
  <c r="G816" i="14"/>
  <c r="F816" i="14"/>
  <c r="I815" i="14"/>
  <c r="H815" i="14"/>
  <c r="G815" i="14"/>
  <c r="F815" i="14"/>
  <c r="I814" i="14"/>
  <c r="H814" i="14"/>
  <c r="G814" i="14"/>
  <c r="F814" i="14"/>
  <c r="I813" i="14"/>
  <c r="H813" i="14"/>
  <c r="G813" i="14"/>
  <c r="F813" i="14"/>
  <c r="I812" i="14"/>
  <c r="H812" i="14"/>
  <c r="G812" i="14"/>
  <c r="F812" i="14"/>
  <c r="I811" i="14"/>
  <c r="H811" i="14"/>
  <c r="G811" i="14"/>
  <c r="F811" i="14"/>
  <c r="I810" i="14"/>
  <c r="H810" i="14"/>
  <c r="G810" i="14"/>
  <c r="F810" i="14"/>
  <c r="B802" i="14"/>
  <c r="J773" i="14" s="1"/>
  <c r="J790" i="14" s="1"/>
  <c r="F795" i="14"/>
  <c r="F794" i="14"/>
  <c r="F793" i="14"/>
  <c r="F792" i="14"/>
  <c r="B790" i="14"/>
  <c r="I789" i="14"/>
  <c r="H789" i="14"/>
  <c r="G789" i="14"/>
  <c r="F789" i="14"/>
  <c r="I788" i="14"/>
  <c r="H788" i="14"/>
  <c r="G788" i="14"/>
  <c r="F788" i="14"/>
  <c r="I787" i="14"/>
  <c r="H787" i="14"/>
  <c r="G787" i="14"/>
  <c r="F787" i="14"/>
  <c r="I786" i="14"/>
  <c r="H786" i="14"/>
  <c r="I785" i="14"/>
  <c r="H785" i="14"/>
  <c r="G785" i="14"/>
  <c r="F785" i="14"/>
  <c r="I784" i="14"/>
  <c r="H784" i="14"/>
  <c r="G784" i="14"/>
  <c r="F784" i="14"/>
  <c r="I783" i="14"/>
  <c r="H783" i="14"/>
  <c r="G783" i="14"/>
  <c r="F783" i="14"/>
  <c r="I782" i="14"/>
  <c r="H782" i="14"/>
  <c r="G782" i="14"/>
  <c r="F782" i="14"/>
  <c r="I781" i="14"/>
  <c r="H781" i="14"/>
  <c r="G781" i="14"/>
  <c r="F781" i="14"/>
  <c r="I780" i="14"/>
  <c r="H780" i="14"/>
  <c r="G780" i="14"/>
  <c r="F780" i="14"/>
  <c r="I779" i="14"/>
  <c r="H779" i="14"/>
  <c r="G779" i="14"/>
  <c r="F779" i="14"/>
  <c r="I778" i="14"/>
  <c r="H778" i="14"/>
  <c r="G778" i="14"/>
  <c r="F778" i="14"/>
  <c r="I777" i="14"/>
  <c r="H777" i="14"/>
  <c r="G777" i="14"/>
  <c r="F777" i="14"/>
  <c r="I776" i="14"/>
  <c r="H776" i="14"/>
  <c r="G776" i="14"/>
  <c r="F776" i="14"/>
  <c r="I775" i="14"/>
  <c r="H775" i="14"/>
  <c r="G775" i="14"/>
  <c r="F775" i="14"/>
  <c r="I774" i="14"/>
  <c r="H774" i="14"/>
  <c r="G774" i="14"/>
  <c r="F774" i="14"/>
  <c r="I773" i="14"/>
  <c r="H773" i="14"/>
  <c r="G773" i="14"/>
  <c r="F773" i="14"/>
  <c r="B765" i="14"/>
  <c r="J730" i="14" s="1"/>
  <c r="J747" i="14" s="1"/>
  <c r="F752" i="14"/>
  <c r="F751" i="14"/>
  <c r="F750" i="14"/>
  <c r="F749" i="14"/>
  <c r="B747" i="14"/>
  <c r="I746" i="14"/>
  <c r="H746" i="14"/>
  <c r="G746" i="14"/>
  <c r="F746" i="14"/>
  <c r="I745" i="14"/>
  <c r="H745" i="14"/>
  <c r="G745" i="14"/>
  <c r="F745" i="14"/>
  <c r="I744" i="14"/>
  <c r="H744" i="14"/>
  <c r="G744" i="14"/>
  <c r="F744" i="14"/>
  <c r="I743" i="14"/>
  <c r="H743" i="14"/>
  <c r="I742" i="14"/>
  <c r="H742" i="14"/>
  <c r="G742" i="14"/>
  <c r="F742" i="14"/>
  <c r="I741" i="14"/>
  <c r="H741" i="14"/>
  <c r="G741" i="14"/>
  <c r="F741" i="14"/>
  <c r="I740" i="14"/>
  <c r="H740" i="14"/>
  <c r="G740" i="14"/>
  <c r="F740" i="14"/>
  <c r="I739" i="14"/>
  <c r="H739" i="14"/>
  <c r="G739" i="14"/>
  <c r="F739" i="14"/>
  <c r="I738" i="14"/>
  <c r="H738" i="14"/>
  <c r="G738" i="14"/>
  <c r="F738" i="14"/>
  <c r="I737" i="14"/>
  <c r="H737" i="14"/>
  <c r="G737" i="14"/>
  <c r="F737" i="14"/>
  <c r="I736" i="14"/>
  <c r="H736" i="14"/>
  <c r="G736" i="14"/>
  <c r="F736" i="14"/>
  <c r="I735" i="14"/>
  <c r="H735" i="14"/>
  <c r="G735" i="14"/>
  <c r="F735" i="14"/>
  <c r="I734" i="14"/>
  <c r="H734" i="14"/>
  <c r="G734" i="14"/>
  <c r="F734" i="14"/>
  <c r="I733" i="14"/>
  <c r="H733" i="14"/>
  <c r="G733" i="14"/>
  <c r="F733" i="14"/>
  <c r="I732" i="14"/>
  <c r="H732" i="14"/>
  <c r="G732" i="14"/>
  <c r="F732" i="14"/>
  <c r="I731" i="14"/>
  <c r="H731" i="14"/>
  <c r="G731" i="14"/>
  <c r="F731" i="14"/>
  <c r="I730" i="14"/>
  <c r="H730" i="14"/>
  <c r="G730" i="14"/>
  <c r="F730" i="14"/>
  <c r="B722" i="14"/>
  <c r="J687" i="14" s="1"/>
  <c r="J704" i="14" s="1"/>
  <c r="F709" i="14"/>
  <c r="F708" i="14"/>
  <c r="F707" i="14"/>
  <c r="F706" i="14"/>
  <c r="B704" i="14"/>
  <c r="I703" i="14"/>
  <c r="H703" i="14"/>
  <c r="G703" i="14"/>
  <c r="F703" i="14"/>
  <c r="I702" i="14"/>
  <c r="H702" i="14"/>
  <c r="G702" i="14"/>
  <c r="F702" i="14"/>
  <c r="I701" i="14"/>
  <c r="H701" i="14"/>
  <c r="G701" i="14"/>
  <c r="F701" i="14"/>
  <c r="I700" i="14"/>
  <c r="H700" i="14"/>
  <c r="I699" i="14"/>
  <c r="H699" i="14"/>
  <c r="G699" i="14"/>
  <c r="F699" i="14"/>
  <c r="I698" i="14"/>
  <c r="H698" i="14"/>
  <c r="G698" i="14"/>
  <c r="F698" i="14"/>
  <c r="I697" i="14"/>
  <c r="H697" i="14"/>
  <c r="G697" i="14"/>
  <c r="F697" i="14"/>
  <c r="I696" i="14"/>
  <c r="H696" i="14"/>
  <c r="G696" i="14"/>
  <c r="F696" i="14"/>
  <c r="I695" i="14"/>
  <c r="H695" i="14"/>
  <c r="G695" i="14"/>
  <c r="F695" i="14"/>
  <c r="I694" i="14"/>
  <c r="H694" i="14"/>
  <c r="G694" i="14"/>
  <c r="F694" i="14"/>
  <c r="I693" i="14"/>
  <c r="H693" i="14"/>
  <c r="G693" i="14"/>
  <c r="F693" i="14"/>
  <c r="I692" i="14"/>
  <c r="H692" i="14"/>
  <c r="G692" i="14"/>
  <c r="F692" i="14"/>
  <c r="I691" i="14"/>
  <c r="H691" i="14"/>
  <c r="G691" i="14"/>
  <c r="F691" i="14"/>
  <c r="I690" i="14"/>
  <c r="H690" i="14"/>
  <c r="G690" i="14"/>
  <c r="F690" i="14"/>
  <c r="I689" i="14"/>
  <c r="H689" i="14"/>
  <c r="G689" i="14"/>
  <c r="F689" i="14"/>
  <c r="I688" i="14"/>
  <c r="H688" i="14"/>
  <c r="G688" i="14"/>
  <c r="F688" i="14"/>
  <c r="I687" i="14"/>
  <c r="H687" i="14"/>
  <c r="G687" i="14"/>
  <c r="F687" i="14"/>
  <c r="B679" i="14"/>
  <c r="J644" i="14" s="1"/>
  <c r="J661" i="14" s="1"/>
  <c r="F666" i="14"/>
  <c r="F665" i="14"/>
  <c r="F664" i="14"/>
  <c r="F663" i="14"/>
  <c r="B661" i="14"/>
  <c r="I660" i="14"/>
  <c r="H660" i="14"/>
  <c r="G660" i="14"/>
  <c r="F660" i="14"/>
  <c r="I659" i="14"/>
  <c r="H659" i="14"/>
  <c r="G659" i="14"/>
  <c r="F659" i="14"/>
  <c r="I658" i="14"/>
  <c r="H658" i="14"/>
  <c r="G658" i="14"/>
  <c r="F658" i="14"/>
  <c r="I657" i="14"/>
  <c r="H657" i="14"/>
  <c r="I656" i="14"/>
  <c r="H656" i="14"/>
  <c r="G656" i="14"/>
  <c r="F656" i="14"/>
  <c r="I655" i="14"/>
  <c r="H655" i="14"/>
  <c r="G655" i="14"/>
  <c r="F655" i="14"/>
  <c r="I654" i="14"/>
  <c r="H654" i="14"/>
  <c r="G654" i="14"/>
  <c r="F654" i="14"/>
  <c r="I653" i="14"/>
  <c r="H653" i="14"/>
  <c r="G653" i="14"/>
  <c r="F653" i="14"/>
  <c r="I652" i="14"/>
  <c r="H652" i="14"/>
  <c r="G652" i="14"/>
  <c r="F652" i="14"/>
  <c r="I651" i="14"/>
  <c r="H651" i="14"/>
  <c r="G651" i="14"/>
  <c r="F651" i="14"/>
  <c r="I650" i="14"/>
  <c r="H650" i="14"/>
  <c r="G650" i="14"/>
  <c r="F650" i="14"/>
  <c r="I649" i="14"/>
  <c r="H649" i="14"/>
  <c r="G649" i="14"/>
  <c r="F649" i="14"/>
  <c r="I648" i="14"/>
  <c r="H648" i="14"/>
  <c r="G648" i="14"/>
  <c r="F648" i="14"/>
  <c r="I647" i="14"/>
  <c r="H647" i="14"/>
  <c r="G647" i="14"/>
  <c r="F647" i="14"/>
  <c r="I646" i="14"/>
  <c r="H646" i="14"/>
  <c r="G646" i="14"/>
  <c r="F646" i="14"/>
  <c r="I645" i="14"/>
  <c r="H645" i="14"/>
  <c r="G645" i="14"/>
  <c r="F645" i="14"/>
  <c r="I644" i="14"/>
  <c r="H644" i="14"/>
  <c r="G644" i="14"/>
  <c r="F644" i="14"/>
  <c r="B636" i="14"/>
  <c r="J601" i="14" s="1"/>
  <c r="J618" i="14" s="1"/>
  <c r="F623" i="14"/>
  <c r="F622" i="14"/>
  <c r="F621" i="14"/>
  <c r="F620" i="14"/>
  <c r="B618" i="14"/>
  <c r="I617" i="14"/>
  <c r="H617" i="14"/>
  <c r="G617" i="14"/>
  <c r="F617" i="14"/>
  <c r="I616" i="14"/>
  <c r="H616" i="14"/>
  <c r="G616" i="14"/>
  <c r="F616" i="14"/>
  <c r="I615" i="14"/>
  <c r="H615" i="14"/>
  <c r="G615" i="14"/>
  <c r="F615" i="14"/>
  <c r="I614" i="14"/>
  <c r="H614" i="14"/>
  <c r="I613" i="14"/>
  <c r="H613" i="14"/>
  <c r="G613" i="14"/>
  <c r="F613" i="14"/>
  <c r="I612" i="14"/>
  <c r="H612" i="14"/>
  <c r="G612" i="14"/>
  <c r="F612" i="14"/>
  <c r="I611" i="14"/>
  <c r="H611" i="14"/>
  <c r="G611" i="14"/>
  <c r="F611" i="14"/>
  <c r="I610" i="14"/>
  <c r="H610" i="14"/>
  <c r="G610" i="14"/>
  <c r="F610" i="14"/>
  <c r="I609" i="14"/>
  <c r="H609" i="14"/>
  <c r="G609" i="14"/>
  <c r="F609" i="14"/>
  <c r="I608" i="14"/>
  <c r="H608" i="14"/>
  <c r="G608" i="14"/>
  <c r="F608" i="14"/>
  <c r="I607" i="14"/>
  <c r="H607" i="14"/>
  <c r="G607" i="14"/>
  <c r="F607" i="14"/>
  <c r="I606" i="14"/>
  <c r="H606" i="14"/>
  <c r="G606" i="14"/>
  <c r="F606" i="14"/>
  <c r="I605" i="14"/>
  <c r="H605" i="14"/>
  <c r="G605" i="14"/>
  <c r="F605" i="14"/>
  <c r="I604" i="14"/>
  <c r="H604" i="14"/>
  <c r="G604" i="14"/>
  <c r="F604" i="14"/>
  <c r="I603" i="14"/>
  <c r="H603" i="14"/>
  <c r="G603" i="14"/>
  <c r="F603" i="14"/>
  <c r="I602" i="14"/>
  <c r="H602" i="14"/>
  <c r="G602" i="14"/>
  <c r="F602" i="14"/>
  <c r="I601" i="14"/>
  <c r="H601" i="14"/>
  <c r="G601" i="14"/>
  <c r="F601" i="14"/>
  <c r="B593" i="14"/>
  <c r="J558" i="14" s="1"/>
  <c r="J575" i="14" s="1"/>
  <c r="F580" i="14"/>
  <c r="F579" i="14"/>
  <c r="F578" i="14"/>
  <c r="F577" i="14"/>
  <c r="B575" i="14"/>
  <c r="I574" i="14"/>
  <c r="H574" i="14"/>
  <c r="G574" i="14"/>
  <c r="F574" i="14"/>
  <c r="I573" i="14"/>
  <c r="H573" i="14"/>
  <c r="G573" i="14"/>
  <c r="F573" i="14"/>
  <c r="I572" i="14"/>
  <c r="H572" i="14"/>
  <c r="G572" i="14"/>
  <c r="F572" i="14"/>
  <c r="I571" i="14"/>
  <c r="H571" i="14"/>
  <c r="I570" i="14"/>
  <c r="H570" i="14"/>
  <c r="G570" i="14"/>
  <c r="F570" i="14"/>
  <c r="I569" i="14"/>
  <c r="H569" i="14"/>
  <c r="G569" i="14"/>
  <c r="F569" i="14"/>
  <c r="I568" i="14"/>
  <c r="H568" i="14"/>
  <c r="G568" i="14"/>
  <c r="F568" i="14"/>
  <c r="I567" i="14"/>
  <c r="H567" i="14"/>
  <c r="G567" i="14"/>
  <c r="F567" i="14"/>
  <c r="I566" i="14"/>
  <c r="H566" i="14"/>
  <c r="G566" i="14"/>
  <c r="F566" i="14"/>
  <c r="I565" i="14"/>
  <c r="H565" i="14"/>
  <c r="G565" i="14"/>
  <c r="F565" i="14"/>
  <c r="I564" i="14"/>
  <c r="H564" i="14"/>
  <c r="G564" i="14"/>
  <c r="F564" i="14"/>
  <c r="I563" i="14"/>
  <c r="H563" i="14"/>
  <c r="G563" i="14"/>
  <c r="F563" i="14"/>
  <c r="I562" i="14"/>
  <c r="H562" i="14"/>
  <c r="G562" i="14"/>
  <c r="F562" i="14"/>
  <c r="I561" i="14"/>
  <c r="H561" i="14"/>
  <c r="G561" i="14"/>
  <c r="F561" i="14"/>
  <c r="I560" i="14"/>
  <c r="H560" i="14"/>
  <c r="G560" i="14"/>
  <c r="F560" i="14"/>
  <c r="I559" i="14"/>
  <c r="H559" i="14"/>
  <c r="G559" i="14"/>
  <c r="F559" i="14"/>
  <c r="I558" i="14"/>
  <c r="H558" i="14"/>
  <c r="G558" i="14"/>
  <c r="F558" i="14"/>
  <c r="B550" i="14"/>
  <c r="F543" i="14"/>
  <c r="F542" i="14"/>
  <c r="F541" i="14"/>
  <c r="F540" i="14"/>
  <c r="B538" i="14"/>
  <c r="I537" i="14"/>
  <c r="H537" i="14"/>
  <c r="G537" i="14"/>
  <c r="F537" i="14"/>
  <c r="I536" i="14"/>
  <c r="H536" i="14"/>
  <c r="G536" i="14"/>
  <c r="F536" i="14"/>
  <c r="I535" i="14"/>
  <c r="H535" i="14"/>
  <c r="G535" i="14"/>
  <c r="F535" i="14"/>
  <c r="I534" i="14"/>
  <c r="H534" i="14"/>
  <c r="I533" i="14"/>
  <c r="H533" i="14"/>
  <c r="G533" i="14"/>
  <c r="F533" i="14"/>
  <c r="I532" i="14"/>
  <c r="H532" i="14"/>
  <c r="G532" i="14"/>
  <c r="F532" i="14"/>
  <c r="I531" i="14"/>
  <c r="H531" i="14"/>
  <c r="G531" i="14"/>
  <c r="F531" i="14"/>
  <c r="I530" i="14"/>
  <c r="H530" i="14"/>
  <c r="G530" i="14"/>
  <c r="F530" i="14"/>
  <c r="I529" i="14"/>
  <c r="H529" i="14"/>
  <c r="G529" i="14"/>
  <c r="F529" i="14"/>
  <c r="I528" i="14"/>
  <c r="H528" i="14"/>
  <c r="G528" i="14"/>
  <c r="F528" i="14"/>
  <c r="I527" i="14"/>
  <c r="H527" i="14"/>
  <c r="G527" i="14"/>
  <c r="F527" i="14"/>
  <c r="I526" i="14"/>
  <c r="H526" i="14"/>
  <c r="G526" i="14"/>
  <c r="F526" i="14"/>
  <c r="I525" i="14"/>
  <c r="H525" i="14"/>
  <c r="G525" i="14"/>
  <c r="F525" i="14"/>
  <c r="I524" i="14"/>
  <c r="H524" i="14"/>
  <c r="G524" i="14"/>
  <c r="F524" i="14"/>
  <c r="I523" i="14"/>
  <c r="H523" i="14"/>
  <c r="G523" i="14"/>
  <c r="F523" i="14"/>
  <c r="I522" i="14"/>
  <c r="H522" i="14"/>
  <c r="G522" i="14"/>
  <c r="F522" i="14"/>
  <c r="I521" i="14"/>
  <c r="H521" i="14"/>
  <c r="G521" i="14"/>
  <c r="F521" i="14"/>
  <c r="B513" i="14"/>
  <c r="J478" i="14" s="1"/>
  <c r="J495" i="14" s="1"/>
  <c r="F500" i="14"/>
  <c r="F499" i="14"/>
  <c r="F498" i="14"/>
  <c r="F497" i="14"/>
  <c r="B495" i="14"/>
  <c r="I494" i="14"/>
  <c r="H494" i="14"/>
  <c r="G494" i="14"/>
  <c r="F494" i="14"/>
  <c r="I493" i="14"/>
  <c r="H493" i="14"/>
  <c r="G493" i="14"/>
  <c r="F493" i="14"/>
  <c r="I492" i="14"/>
  <c r="H492" i="14"/>
  <c r="G492" i="14"/>
  <c r="F492" i="14"/>
  <c r="I491" i="14"/>
  <c r="H491" i="14"/>
  <c r="I490" i="14"/>
  <c r="H490" i="14"/>
  <c r="G490" i="14"/>
  <c r="F490" i="14"/>
  <c r="I489" i="14"/>
  <c r="H489" i="14"/>
  <c r="G489" i="14"/>
  <c r="F489" i="14"/>
  <c r="I488" i="14"/>
  <c r="H488" i="14"/>
  <c r="G488" i="14"/>
  <c r="F488" i="14"/>
  <c r="I487" i="14"/>
  <c r="H487" i="14"/>
  <c r="G487" i="14"/>
  <c r="F487" i="14"/>
  <c r="I486" i="14"/>
  <c r="H486" i="14"/>
  <c r="G486" i="14"/>
  <c r="F486" i="14"/>
  <c r="I485" i="14"/>
  <c r="H485" i="14"/>
  <c r="G485" i="14"/>
  <c r="F485" i="14"/>
  <c r="I484" i="14"/>
  <c r="H484" i="14"/>
  <c r="G484" i="14"/>
  <c r="F484" i="14"/>
  <c r="I483" i="14"/>
  <c r="H483" i="14"/>
  <c r="G483" i="14"/>
  <c r="F483" i="14"/>
  <c r="I482" i="14"/>
  <c r="H482" i="14"/>
  <c r="G482" i="14"/>
  <c r="F482" i="14"/>
  <c r="I481" i="14"/>
  <c r="H481" i="14"/>
  <c r="G481" i="14"/>
  <c r="F481" i="14"/>
  <c r="I480" i="14"/>
  <c r="H480" i="14"/>
  <c r="G480" i="14"/>
  <c r="F480" i="14"/>
  <c r="I479" i="14"/>
  <c r="H479" i="14"/>
  <c r="G479" i="14"/>
  <c r="F479" i="14"/>
  <c r="I478" i="14"/>
  <c r="H478" i="14"/>
  <c r="G478" i="14"/>
  <c r="F478" i="14"/>
  <c r="B470" i="14"/>
  <c r="J435" i="14" s="1"/>
  <c r="J452" i="14" s="1"/>
  <c r="F457" i="14"/>
  <c r="F456" i="14"/>
  <c r="F455" i="14"/>
  <c r="F454" i="14"/>
  <c r="B452" i="14"/>
  <c r="I451" i="14"/>
  <c r="H451" i="14"/>
  <c r="G451" i="14"/>
  <c r="F451" i="14"/>
  <c r="I450" i="14"/>
  <c r="H450" i="14"/>
  <c r="G450" i="14"/>
  <c r="F450" i="14"/>
  <c r="I449" i="14"/>
  <c r="H449" i="14"/>
  <c r="G449" i="14"/>
  <c r="F449" i="14"/>
  <c r="I448" i="14"/>
  <c r="H448" i="14"/>
  <c r="I447" i="14"/>
  <c r="H447" i="14"/>
  <c r="G447" i="14"/>
  <c r="F447" i="14"/>
  <c r="I446" i="14"/>
  <c r="H446" i="14"/>
  <c r="G446" i="14"/>
  <c r="F446" i="14"/>
  <c r="I445" i="14"/>
  <c r="H445" i="14"/>
  <c r="G445" i="14"/>
  <c r="F445" i="14"/>
  <c r="I444" i="14"/>
  <c r="H444" i="14"/>
  <c r="G444" i="14"/>
  <c r="F444" i="14"/>
  <c r="I443" i="14"/>
  <c r="H443" i="14"/>
  <c r="G443" i="14"/>
  <c r="F443" i="14"/>
  <c r="I442" i="14"/>
  <c r="H442" i="14"/>
  <c r="G442" i="14"/>
  <c r="F442" i="14"/>
  <c r="I441" i="14"/>
  <c r="H441" i="14"/>
  <c r="G441" i="14"/>
  <c r="F441" i="14"/>
  <c r="I440" i="14"/>
  <c r="H440" i="14"/>
  <c r="G440" i="14"/>
  <c r="F440" i="14"/>
  <c r="I439" i="14"/>
  <c r="H439" i="14"/>
  <c r="G439" i="14"/>
  <c r="F439" i="14"/>
  <c r="I438" i="14"/>
  <c r="H438" i="14"/>
  <c r="G438" i="14"/>
  <c r="F438" i="14"/>
  <c r="I437" i="14"/>
  <c r="H437" i="14"/>
  <c r="G437" i="14"/>
  <c r="F437" i="14"/>
  <c r="I436" i="14"/>
  <c r="H436" i="14"/>
  <c r="G436" i="14"/>
  <c r="F436" i="14"/>
  <c r="I435" i="14"/>
  <c r="H435" i="14"/>
  <c r="G435" i="14"/>
  <c r="F435" i="14"/>
  <c r="B426" i="14"/>
  <c r="J391" i="14" s="1"/>
  <c r="J408" i="14" s="1"/>
  <c r="F413" i="14"/>
  <c r="F412" i="14"/>
  <c r="F411" i="14"/>
  <c r="F410" i="14"/>
  <c r="B408" i="14"/>
  <c r="I407" i="14"/>
  <c r="H407" i="14"/>
  <c r="G407" i="14"/>
  <c r="F407" i="14"/>
  <c r="I406" i="14"/>
  <c r="H406" i="14"/>
  <c r="G406" i="14"/>
  <c r="F406" i="14"/>
  <c r="I405" i="14"/>
  <c r="H405" i="14"/>
  <c r="G405" i="14"/>
  <c r="F405" i="14"/>
  <c r="I404" i="14"/>
  <c r="H404" i="14"/>
  <c r="I403" i="14"/>
  <c r="H403" i="14"/>
  <c r="G403" i="14"/>
  <c r="F403" i="14"/>
  <c r="I402" i="14"/>
  <c r="H402" i="14"/>
  <c r="G402" i="14"/>
  <c r="F402" i="14"/>
  <c r="I401" i="14"/>
  <c r="H401" i="14"/>
  <c r="G401" i="14"/>
  <c r="F401" i="14"/>
  <c r="I400" i="14"/>
  <c r="H400" i="14"/>
  <c r="G400" i="14"/>
  <c r="F400" i="14"/>
  <c r="I399" i="14"/>
  <c r="H399" i="14"/>
  <c r="G399" i="14"/>
  <c r="F399" i="14"/>
  <c r="I398" i="14"/>
  <c r="H398" i="14"/>
  <c r="G398" i="14"/>
  <c r="F398" i="14"/>
  <c r="I397" i="14"/>
  <c r="H397" i="14"/>
  <c r="G397" i="14"/>
  <c r="F397" i="14"/>
  <c r="I396" i="14"/>
  <c r="H396" i="14"/>
  <c r="G396" i="14"/>
  <c r="F396" i="14"/>
  <c r="I395" i="14"/>
  <c r="H395" i="14"/>
  <c r="G395" i="14"/>
  <c r="F395" i="14"/>
  <c r="I394" i="14"/>
  <c r="H394" i="14"/>
  <c r="G394" i="14"/>
  <c r="F394" i="14"/>
  <c r="I393" i="14"/>
  <c r="H393" i="14"/>
  <c r="G393" i="14"/>
  <c r="F393" i="14"/>
  <c r="I392" i="14"/>
  <c r="H392" i="14"/>
  <c r="G392" i="14"/>
  <c r="F392" i="14"/>
  <c r="I391" i="14"/>
  <c r="H391" i="14"/>
  <c r="G391" i="14"/>
  <c r="F391" i="14"/>
  <c r="B382" i="14"/>
  <c r="J347" i="14" s="1"/>
  <c r="J364" i="14" s="1"/>
  <c r="F369" i="14"/>
  <c r="F368" i="14"/>
  <c r="F367" i="14"/>
  <c r="F366" i="14"/>
  <c r="B364" i="14"/>
  <c r="I363" i="14"/>
  <c r="H363" i="14"/>
  <c r="G363" i="14"/>
  <c r="F363" i="14"/>
  <c r="I362" i="14"/>
  <c r="H362" i="14"/>
  <c r="G362" i="14"/>
  <c r="F362" i="14"/>
  <c r="I361" i="14"/>
  <c r="H361" i="14"/>
  <c r="G361" i="14"/>
  <c r="F361" i="14"/>
  <c r="I360" i="14"/>
  <c r="H360" i="14"/>
  <c r="I359" i="14"/>
  <c r="H359" i="14"/>
  <c r="G359" i="14"/>
  <c r="F359" i="14"/>
  <c r="I358" i="14"/>
  <c r="H358" i="14"/>
  <c r="G358" i="14"/>
  <c r="F358" i="14"/>
  <c r="I357" i="14"/>
  <c r="H357" i="14"/>
  <c r="G357" i="14"/>
  <c r="F357" i="14"/>
  <c r="I356" i="14"/>
  <c r="H356" i="14"/>
  <c r="G356" i="14"/>
  <c r="F356" i="14"/>
  <c r="I355" i="14"/>
  <c r="H355" i="14"/>
  <c r="G355" i="14"/>
  <c r="F355" i="14"/>
  <c r="I354" i="14"/>
  <c r="H354" i="14"/>
  <c r="G354" i="14"/>
  <c r="F354" i="14"/>
  <c r="I353" i="14"/>
  <c r="H353" i="14"/>
  <c r="G353" i="14"/>
  <c r="F353" i="14"/>
  <c r="I352" i="14"/>
  <c r="H352" i="14"/>
  <c r="G352" i="14"/>
  <c r="F352" i="14"/>
  <c r="I351" i="14"/>
  <c r="H351" i="14"/>
  <c r="G351" i="14"/>
  <c r="F351" i="14"/>
  <c r="I350" i="14"/>
  <c r="H350" i="14"/>
  <c r="G350" i="14"/>
  <c r="F350" i="14"/>
  <c r="I349" i="14"/>
  <c r="H349" i="14"/>
  <c r="G349" i="14"/>
  <c r="F349" i="14"/>
  <c r="I348" i="14"/>
  <c r="H348" i="14"/>
  <c r="G348" i="14"/>
  <c r="F348" i="14"/>
  <c r="I347" i="14"/>
  <c r="H347" i="14"/>
  <c r="G347" i="14"/>
  <c r="F347" i="14"/>
  <c r="B339" i="14"/>
  <c r="J304" i="14" s="1"/>
  <c r="J321" i="14" s="1"/>
  <c r="F326" i="14"/>
  <c r="F325" i="14"/>
  <c r="F324" i="14"/>
  <c r="F323" i="14"/>
  <c r="B321" i="14"/>
  <c r="I320" i="14"/>
  <c r="H320" i="14"/>
  <c r="G320" i="14"/>
  <c r="F320" i="14"/>
  <c r="I319" i="14"/>
  <c r="H319" i="14"/>
  <c r="G319" i="14"/>
  <c r="F319" i="14"/>
  <c r="I318" i="14"/>
  <c r="H318" i="14"/>
  <c r="G318" i="14"/>
  <c r="F318" i="14"/>
  <c r="I317" i="14"/>
  <c r="H317" i="14"/>
  <c r="I316" i="14"/>
  <c r="H316" i="14"/>
  <c r="G316" i="14"/>
  <c r="F316" i="14"/>
  <c r="I315" i="14"/>
  <c r="H315" i="14"/>
  <c r="G315" i="14"/>
  <c r="F315" i="14"/>
  <c r="I314" i="14"/>
  <c r="H314" i="14"/>
  <c r="G314" i="14"/>
  <c r="F314" i="14"/>
  <c r="I313" i="14"/>
  <c r="H313" i="14"/>
  <c r="G313" i="14"/>
  <c r="F313" i="14"/>
  <c r="I312" i="14"/>
  <c r="H312" i="14"/>
  <c r="G312" i="14"/>
  <c r="F312" i="14"/>
  <c r="I311" i="14"/>
  <c r="H311" i="14"/>
  <c r="G311" i="14"/>
  <c r="F311" i="14"/>
  <c r="I310" i="14"/>
  <c r="H310" i="14"/>
  <c r="G310" i="14"/>
  <c r="F310" i="14"/>
  <c r="I309" i="14"/>
  <c r="H309" i="14"/>
  <c r="G309" i="14"/>
  <c r="F309" i="14"/>
  <c r="I308" i="14"/>
  <c r="H308" i="14"/>
  <c r="G308" i="14"/>
  <c r="F308" i="14"/>
  <c r="I307" i="14"/>
  <c r="H307" i="14"/>
  <c r="G307" i="14"/>
  <c r="F307" i="14"/>
  <c r="I306" i="14"/>
  <c r="H306" i="14"/>
  <c r="G306" i="14"/>
  <c r="F306" i="14"/>
  <c r="I305" i="14"/>
  <c r="H305" i="14"/>
  <c r="G305" i="14"/>
  <c r="F305" i="14"/>
  <c r="I304" i="14"/>
  <c r="H304" i="14"/>
  <c r="G304" i="14"/>
  <c r="F304" i="14"/>
  <c r="B295" i="14"/>
  <c r="F288" i="14"/>
  <c r="F287" i="14"/>
  <c r="F286" i="14"/>
  <c r="F285" i="14"/>
  <c r="B283" i="14"/>
  <c r="I282" i="14"/>
  <c r="G282" i="14"/>
  <c r="F282" i="14"/>
  <c r="I281" i="14"/>
  <c r="G281" i="14"/>
  <c r="F281" i="14"/>
  <c r="I280" i="14"/>
  <c r="H280" i="14"/>
  <c r="G280" i="14"/>
  <c r="F280" i="14"/>
  <c r="I279" i="14"/>
  <c r="H279" i="14"/>
  <c r="I278" i="14"/>
  <c r="H278" i="14"/>
  <c r="G278" i="14"/>
  <c r="F278" i="14"/>
  <c r="I277" i="14"/>
  <c r="H277" i="14"/>
  <c r="G277" i="14"/>
  <c r="F277" i="14"/>
  <c r="I276" i="14"/>
  <c r="H276" i="14"/>
  <c r="G276" i="14"/>
  <c r="F276" i="14"/>
  <c r="I275" i="14"/>
  <c r="H275" i="14"/>
  <c r="G275" i="14"/>
  <c r="F275" i="14"/>
  <c r="I274" i="14"/>
  <c r="H274" i="14"/>
  <c r="G274" i="14"/>
  <c r="F274" i="14"/>
  <c r="I273" i="14"/>
  <c r="H273" i="14"/>
  <c r="G273" i="14"/>
  <c r="F273" i="14"/>
  <c r="I272" i="14"/>
  <c r="H272" i="14"/>
  <c r="G272" i="14"/>
  <c r="F272" i="14"/>
  <c r="I271" i="14"/>
  <c r="H271" i="14"/>
  <c r="G271" i="14"/>
  <c r="F271" i="14"/>
  <c r="I270" i="14"/>
  <c r="H270" i="14"/>
  <c r="G270" i="14"/>
  <c r="F270" i="14"/>
  <c r="I269" i="14"/>
  <c r="H269" i="14"/>
  <c r="G269" i="14"/>
  <c r="F269" i="14"/>
  <c r="I268" i="14"/>
  <c r="H268" i="14"/>
  <c r="G268" i="14"/>
  <c r="F268" i="14"/>
  <c r="I267" i="14"/>
  <c r="H267" i="14"/>
  <c r="G267" i="14"/>
  <c r="F267" i="14"/>
  <c r="I266" i="14"/>
  <c r="H266" i="14"/>
  <c r="G266" i="14"/>
  <c r="F266" i="14"/>
  <c r="B257" i="14"/>
  <c r="J222" i="14" s="1"/>
  <c r="J239" i="14" s="1"/>
  <c r="F244" i="14"/>
  <c r="F243" i="14"/>
  <c r="F242" i="14"/>
  <c r="F241" i="14"/>
  <c r="B239" i="14"/>
  <c r="I238" i="14"/>
  <c r="H238" i="14"/>
  <c r="G238" i="14"/>
  <c r="F238" i="14"/>
  <c r="I237" i="14"/>
  <c r="H237" i="14"/>
  <c r="G237" i="14"/>
  <c r="F237" i="14"/>
  <c r="I236" i="14"/>
  <c r="H236" i="14"/>
  <c r="G236" i="14"/>
  <c r="F236" i="14"/>
  <c r="I235" i="14"/>
  <c r="H235" i="14"/>
  <c r="I234" i="14"/>
  <c r="H234" i="14"/>
  <c r="G234" i="14"/>
  <c r="F234" i="14"/>
  <c r="I233" i="14"/>
  <c r="H233" i="14"/>
  <c r="G233" i="14"/>
  <c r="F233" i="14"/>
  <c r="I232" i="14"/>
  <c r="H232" i="14"/>
  <c r="G232" i="14"/>
  <c r="F232" i="14"/>
  <c r="I231" i="14"/>
  <c r="H231" i="14"/>
  <c r="G231" i="14"/>
  <c r="F231" i="14"/>
  <c r="I230" i="14"/>
  <c r="H230" i="14"/>
  <c r="G230" i="14"/>
  <c r="F230" i="14"/>
  <c r="I229" i="14"/>
  <c r="H229" i="14"/>
  <c r="G229" i="14"/>
  <c r="F229" i="14"/>
  <c r="I228" i="14"/>
  <c r="H228" i="14"/>
  <c r="G228" i="14"/>
  <c r="F228" i="14"/>
  <c r="I227" i="14"/>
  <c r="H227" i="14"/>
  <c r="G227" i="14"/>
  <c r="F227" i="14"/>
  <c r="I226" i="14"/>
  <c r="H226" i="14"/>
  <c r="G226" i="14"/>
  <c r="F226" i="14"/>
  <c r="I225" i="14"/>
  <c r="H225" i="14"/>
  <c r="G225" i="14"/>
  <c r="F225" i="14"/>
  <c r="I224" i="14"/>
  <c r="H224" i="14"/>
  <c r="G224" i="14"/>
  <c r="F224" i="14"/>
  <c r="I223" i="14"/>
  <c r="H223" i="14"/>
  <c r="G223" i="14"/>
  <c r="F223" i="14"/>
  <c r="I222" i="14"/>
  <c r="H222" i="14"/>
  <c r="G222" i="14"/>
  <c r="F222" i="14"/>
  <c r="B214" i="14"/>
  <c r="F201" i="14"/>
  <c r="F200" i="14"/>
  <c r="F199" i="14"/>
  <c r="F198" i="14"/>
  <c r="B196" i="14"/>
  <c r="I195" i="14"/>
  <c r="H195" i="14"/>
  <c r="G195" i="14"/>
  <c r="F195" i="14"/>
  <c r="I194" i="14"/>
  <c r="H194" i="14"/>
  <c r="G194" i="14"/>
  <c r="F194" i="14"/>
  <c r="I193" i="14"/>
  <c r="H193" i="14"/>
  <c r="G193" i="14"/>
  <c r="F193" i="14"/>
  <c r="I192" i="14"/>
  <c r="H192" i="14"/>
  <c r="I191" i="14"/>
  <c r="H191" i="14"/>
  <c r="G191" i="14"/>
  <c r="F191" i="14"/>
  <c r="I190" i="14"/>
  <c r="H190" i="14"/>
  <c r="G190" i="14"/>
  <c r="F190" i="14"/>
  <c r="I189" i="14"/>
  <c r="H189" i="14"/>
  <c r="G189" i="14"/>
  <c r="F189" i="14"/>
  <c r="I188" i="14"/>
  <c r="H188" i="14"/>
  <c r="G188" i="14"/>
  <c r="F188" i="14"/>
  <c r="I187" i="14"/>
  <c r="H187" i="14"/>
  <c r="G187" i="14"/>
  <c r="F187" i="14"/>
  <c r="I186" i="14"/>
  <c r="H186" i="14"/>
  <c r="G186" i="14"/>
  <c r="F186" i="14"/>
  <c r="I185" i="14"/>
  <c r="H185" i="14"/>
  <c r="G185" i="14"/>
  <c r="F185" i="14"/>
  <c r="I184" i="14"/>
  <c r="H184" i="14"/>
  <c r="G184" i="14"/>
  <c r="F184" i="14"/>
  <c r="I183" i="14"/>
  <c r="H183" i="14"/>
  <c r="G183" i="14"/>
  <c r="F183" i="14"/>
  <c r="I182" i="14"/>
  <c r="H182" i="14"/>
  <c r="G182" i="14"/>
  <c r="F182" i="14"/>
  <c r="I181" i="14"/>
  <c r="H181" i="14"/>
  <c r="G181" i="14"/>
  <c r="F181" i="14"/>
  <c r="I180" i="14"/>
  <c r="H180" i="14"/>
  <c r="G180" i="14"/>
  <c r="F180" i="14"/>
  <c r="I179" i="14"/>
  <c r="H179" i="14"/>
  <c r="G179" i="14"/>
  <c r="F179" i="14"/>
  <c r="B171" i="14"/>
  <c r="F158" i="14"/>
  <c r="F157" i="14"/>
  <c r="F156" i="14"/>
  <c r="F155" i="14"/>
  <c r="B153" i="14"/>
  <c r="I152" i="14"/>
  <c r="H152" i="14"/>
  <c r="G152" i="14"/>
  <c r="F152" i="14"/>
  <c r="I151" i="14"/>
  <c r="H151" i="14"/>
  <c r="G151" i="14"/>
  <c r="F151" i="14"/>
  <c r="I150" i="14"/>
  <c r="H150" i="14"/>
  <c r="G150" i="14"/>
  <c r="F150" i="14"/>
  <c r="I149" i="14"/>
  <c r="H149" i="14"/>
  <c r="I148" i="14"/>
  <c r="H148" i="14"/>
  <c r="G148" i="14"/>
  <c r="F148" i="14"/>
  <c r="I147" i="14"/>
  <c r="H147" i="14"/>
  <c r="G147" i="14"/>
  <c r="F147" i="14"/>
  <c r="I146" i="14"/>
  <c r="H146" i="14"/>
  <c r="G146" i="14"/>
  <c r="F146" i="14"/>
  <c r="I145" i="14"/>
  <c r="H145" i="14"/>
  <c r="G145" i="14"/>
  <c r="F145" i="14"/>
  <c r="I144" i="14"/>
  <c r="H144" i="14"/>
  <c r="G144" i="14"/>
  <c r="F144" i="14"/>
  <c r="I143" i="14"/>
  <c r="H143" i="14"/>
  <c r="G143" i="14"/>
  <c r="F143" i="14"/>
  <c r="I142" i="14"/>
  <c r="H142" i="14"/>
  <c r="G142" i="14"/>
  <c r="F142" i="14"/>
  <c r="I141" i="14"/>
  <c r="H141" i="14"/>
  <c r="G141" i="14"/>
  <c r="F141" i="14"/>
  <c r="I140" i="14"/>
  <c r="H140" i="14"/>
  <c r="G140" i="14"/>
  <c r="F140" i="14"/>
  <c r="I139" i="14"/>
  <c r="H139" i="14"/>
  <c r="G139" i="14"/>
  <c r="F139" i="14"/>
  <c r="I138" i="14"/>
  <c r="H138" i="14"/>
  <c r="G138" i="14"/>
  <c r="F138" i="14"/>
  <c r="I137" i="14"/>
  <c r="H137" i="14"/>
  <c r="G137" i="14"/>
  <c r="F137" i="14"/>
  <c r="I136" i="14"/>
  <c r="H136" i="14"/>
  <c r="G136" i="14"/>
  <c r="F136" i="14"/>
  <c r="B128" i="14"/>
  <c r="F115" i="14"/>
  <c r="F114" i="14"/>
  <c r="F113" i="14"/>
  <c r="F112" i="14"/>
  <c r="B110" i="14"/>
  <c r="I109" i="14"/>
  <c r="H109" i="14"/>
  <c r="G109" i="14"/>
  <c r="F109" i="14"/>
  <c r="I108" i="14"/>
  <c r="H108" i="14"/>
  <c r="G108" i="14"/>
  <c r="F108" i="14"/>
  <c r="I107" i="14"/>
  <c r="H107" i="14"/>
  <c r="G107" i="14"/>
  <c r="F107" i="14"/>
  <c r="I106" i="14"/>
  <c r="H106" i="14"/>
  <c r="I105" i="14"/>
  <c r="H105" i="14"/>
  <c r="G105" i="14"/>
  <c r="F105" i="14"/>
  <c r="I104" i="14"/>
  <c r="H104" i="14"/>
  <c r="G104" i="14"/>
  <c r="F104" i="14"/>
  <c r="I103" i="14"/>
  <c r="H103" i="14"/>
  <c r="G103" i="14"/>
  <c r="F103" i="14"/>
  <c r="I102" i="14"/>
  <c r="H102" i="14"/>
  <c r="G102" i="14"/>
  <c r="F102" i="14"/>
  <c r="I101" i="14"/>
  <c r="H101" i="14"/>
  <c r="G101" i="14"/>
  <c r="F101" i="14"/>
  <c r="I100" i="14"/>
  <c r="H100" i="14"/>
  <c r="G100" i="14"/>
  <c r="F100" i="14"/>
  <c r="I99" i="14"/>
  <c r="H99" i="14"/>
  <c r="G99" i="14"/>
  <c r="F99" i="14"/>
  <c r="I98" i="14"/>
  <c r="H98" i="14"/>
  <c r="G98" i="14"/>
  <c r="F98" i="14"/>
  <c r="I97" i="14"/>
  <c r="H97" i="14"/>
  <c r="G97" i="14"/>
  <c r="F97" i="14"/>
  <c r="I96" i="14"/>
  <c r="H96" i="14"/>
  <c r="G96" i="14"/>
  <c r="F96" i="14"/>
  <c r="I95" i="14"/>
  <c r="H95" i="14"/>
  <c r="G95" i="14"/>
  <c r="F95" i="14"/>
  <c r="I94" i="14"/>
  <c r="H94" i="14"/>
  <c r="G94" i="14"/>
  <c r="F94" i="14"/>
  <c r="I93" i="14"/>
  <c r="H93" i="14"/>
  <c r="G93" i="14"/>
  <c r="F93" i="14"/>
  <c r="B85" i="14"/>
  <c r="J50" i="14" s="1"/>
  <c r="F72" i="14"/>
  <c r="F71" i="14"/>
  <c r="F70" i="14"/>
  <c r="F69" i="14"/>
  <c r="B67" i="14"/>
  <c r="I66" i="14"/>
  <c r="H66" i="14"/>
  <c r="G66" i="14"/>
  <c r="F66" i="14"/>
  <c r="I65" i="14"/>
  <c r="H65" i="14"/>
  <c r="G65" i="14"/>
  <c r="F65" i="14"/>
  <c r="I64" i="14"/>
  <c r="H64" i="14"/>
  <c r="G64" i="14"/>
  <c r="F64" i="14"/>
  <c r="I63" i="14"/>
  <c r="H63" i="14"/>
  <c r="I62" i="14"/>
  <c r="H62" i="14"/>
  <c r="G62" i="14"/>
  <c r="F62" i="14"/>
  <c r="I61" i="14"/>
  <c r="H61" i="14"/>
  <c r="G61" i="14"/>
  <c r="F61" i="14"/>
  <c r="I60" i="14"/>
  <c r="H60" i="14"/>
  <c r="G60" i="14"/>
  <c r="F60" i="14"/>
  <c r="I59" i="14"/>
  <c r="H59" i="14"/>
  <c r="G59" i="14"/>
  <c r="F59" i="14"/>
  <c r="I58" i="14"/>
  <c r="H58" i="14"/>
  <c r="G58" i="14"/>
  <c r="F58" i="14"/>
  <c r="I57" i="14"/>
  <c r="H57" i="14"/>
  <c r="G57" i="14"/>
  <c r="F57" i="14"/>
  <c r="I56" i="14"/>
  <c r="H56" i="14"/>
  <c r="G56" i="14"/>
  <c r="F56" i="14"/>
  <c r="I55" i="14"/>
  <c r="H55" i="14"/>
  <c r="G55" i="14"/>
  <c r="F55" i="14"/>
  <c r="I54" i="14"/>
  <c r="H54" i="14"/>
  <c r="G54" i="14"/>
  <c r="F54" i="14"/>
  <c r="I53" i="14"/>
  <c r="H53" i="14"/>
  <c r="G53" i="14"/>
  <c r="F53" i="14"/>
  <c r="I52" i="14"/>
  <c r="H52" i="14"/>
  <c r="G52" i="14"/>
  <c r="F52" i="14"/>
  <c r="I51" i="14"/>
  <c r="H51" i="14"/>
  <c r="G51" i="14"/>
  <c r="F51" i="14"/>
  <c r="I50" i="14"/>
  <c r="H50" i="14"/>
  <c r="G50" i="14"/>
  <c r="F50" i="14"/>
  <c r="B41" i="14"/>
  <c r="J6" i="14" s="1"/>
  <c r="J23" i="14" s="1"/>
  <c r="F28" i="14"/>
  <c r="F27" i="14"/>
  <c r="F26" i="14"/>
  <c r="F25" i="14"/>
  <c r="B23" i="14"/>
  <c r="I22" i="14"/>
  <c r="H22" i="14"/>
  <c r="G22" i="14"/>
  <c r="F22" i="14"/>
  <c r="I21" i="14"/>
  <c r="H21" i="14"/>
  <c r="G21" i="14"/>
  <c r="F21" i="14"/>
  <c r="I20" i="14"/>
  <c r="H20" i="14"/>
  <c r="G20" i="14"/>
  <c r="F20" i="14"/>
  <c r="I19" i="14"/>
  <c r="H19" i="14"/>
  <c r="I18" i="14"/>
  <c r="H18" i="14"/>
  <c r="G18" i="14"/>
  <c r="F18" i="14"/>
  <c r="I17" i="14"/>
  <c r="H17" i="14"/>
  <c r="G17" i="14"/>
  <c r="F17" i="14"/>
  <c r="I16" i="14"/>
  <c r="H16" i="14"/>
  <c r="G16" i="14"/>
  <c r="F16" i="14"/>
  <c r="I15" i="14"/>
  <c r="H15" i="14"/>
  <c r="G15" i="14"/>
  <c r="F15" i="14"/>
  <c r="I14" i="14"/>
  <c r="H14" i="14"/>
  <c r="G14" i="14"/>
  <c r="F14" i="14"/>
  <c r="I13" i="14"/>
  <c r="H13" i="14"/>
  <c r="G13" i="14"/>
  <c r="F13" i="14"/>
  <c r="I12" i="14"/>
  <c r="H12" i="14"/>
  <c r="G12" i="14"/>
  <c r="F12" i="14"/>
  <c r="I11" i="14"/>
  <c r="H11" i="14"/>
  <c r="G11" i="14"/>
  <c r="F11" i="14"/>
  <c r="I10" i="14"/>
  <c r="H10" i="14"/>
  <c r="G10" i="14"/>
  <c r="F10" i="14"/>
  <c r="I9" i="14"/>
  <c r="H9" i="14"/>
  <c r="G9" i="14"/>
  <c r="F9" i="14"/>
  <c r="I8" i="14"/>
  <c r="H8" i="14"/>
  <c r="G8" i="14"/>
  <c r="F8" i="14"/>
  <c r="I7" i="14"/>
  <c r="H7" i="14"/>
  <c r="G7" i="14"/>
  <c r="F7" i="14"/>
  <c r="I6" i="14"/>
  <c r="H6" i="14"/>
  <c r="G6" i="14"/>
  <c r="F6" i="14"/>
  <c r="B1102" i="13"/>
  <c r="J1067" i="13" s="1"/>
  <c r="J1084" i="13" s="1"/>
  <c r="F1089" i="13"/>
  <c r="F1088" i="13"/>
  <c r="F1087" i="13"/>
  <c r="F1086" i="13"/>
  <c r="B1084" i="13"/>
  <c r="I1083" i="13"/>
  <c r="H1083" i="13"/>
  <c r="G1083" i="13"/>
  <c r="F1083" i="13"/>
  <c r="I1082" i="13"/>
  <c r="H1082" i="13"/>
  <c r="G1082" i="13"/>
  <c r="F1082" i="13"/>
  <c r="I1081" i="13"/>
  <c r="H1081" i="13"/>
  <c r="G1081" i="13"/>
  <c r="F1081" i="13"/>
  <c r="I1080" i="13"/>
  <c r="H1080" i="13"/>
  <c r="I1079" i="13"/>
  <c r="H1079" i="13"/>
  <c r="G1079" i="13"/>
  <c r="F1079" i="13"/>
  <c r="I1078" i="13"/>
  <c r="H1078" i="13"/>
  <c r="G1078" i="13"/>
  <c r="F1078" i="13"/>
  <c r="I1077" i="13"/>
  <c r="H1077" i="13"/>
  <c r="G1077" i="13"/>
  <c r="F1077" i="13"/>
  <c r="I1076" i="13"/>
  <c r="H1076" i="13"/>
  <c r="G1076" i="13"/>
  <c r="F1076" i="13"/>
  <c r="I1075" i="13"/>
  <c r="H1075" i="13"/>
  <c r="G1075" i="13"/>
  <c r="F1075" i="13"/>
  <c r="I1074" i="13"/>
  <c r="H1074" i="13"/>
  <c r="G1074" i="13"/>
  <c r="F1074" i="13"/>
  <c r="I1073" i="13"/>
  <c r="H1073" i="13"/>
  <c r="G1073" i="13"/>
  <c r="F1073" i="13"/>
  <c r="I1072" i="13"/>
  <c r="H1072" i="13"/>
  <c r="G1072" i="13"/>
  <c r="F1072" i="13"/>
  <c r="I1071" i="13"/>
  <c r="H1071" i="13"/>
  <c r="G1071" i="13"/>
  <c r="F1071" i="13"/>
  <c r="I1070" i="13"/>
  <c r="H1070" i="13"/>
  <c r="G1070" i="13"/>
  <c r="F1070" i="13"/>
  <c r="I1069" i="13"/>
  <c r="H1069" i="13"/>
  <c r="G1069" i="13"/>
  <c r="F1069" i="13"/>
  <c r="I1068" i="13"/>
  <c r="H1068" i="13"/>
  <c r="G1068" i="13"/>
  <c r="F1068" i="13"/>
  <c r="I1067" i="13"/>
  <c r="H1067" i="13"/>
  <c r="G1067" i="13"/>
  <c r="F1067" i="13"/>
  <c r="B1059" i="13"/>
  <c r="J1024" i="13" s="1"/>
  <c r="J1041" i="13" s="1"/>
  <c r="F1046" i="13"/>
  <c r="F1045" i="13"/>
  <c r="F1044" i="13"/>
  <c r="F1043" i="13"/>
  <c r="B1041" i="13"/>
  <c r="I1040" i="13"/>
  <c r="H1040" i="13"/>
  <c r="G1040" i="13"/>
  <c r="F1040" i="13"/>
  <c r="I1039" i="13"/>
  <c r="H1039" i="13"/>
  <c r="G1039" i="13"/>
  <c r="F1039" i="13"/>
  <c r="I1038" i="13"/>
  <c r="H1038" i="13"/>
  <c r="G1038" i="13"/>
  <c r="F1038" i="13"/>
  <c r="I1037" i="13"/>
  <c r="H1037" i="13"/>
  <c r="I1036" i="13"/>
  <c r="H1036" i="13"/>
  <c r="G1036" i="13"/>
  <c r="F1036" i="13"/>
  <c r="I1035" i="13"/>
  <c r="H1035" i="13"/>
  <c r="G1035" i="13"/>
  <c r="F1035" i="13"/>
  <c r="I1034" i="13"/>
  <c r="H1034" i="13"/>
  <c r="G1034" i="13"/>
  <c r="F1034" i="13"/>
  <c r="I1033" i="13"/>
  <c r="H1033" i="13"/>
  <c r="G1033" i="13"/>
  <c r="F1033" i="13"/>
  <c r="I1032" i="13"/>
  <c r="H1032" i="13"/>
  <c r="G1032" i="13"/>
  <c r="F1032" i="13"/>
  <c r="I1031" i="13"/>
  <c r="H1031" i="13"/>
  <c r="G1031" i="13"/>
  <c r="F1031" i="13"/>
  <c r="I1030" i="13"/>
  <c r="H1030" i="13"/>
  <c r="G1030" i="13"/>
  <c r="F1030" i="13"/>
  <c r="I1029" i="13"/>
  <c r="H1029" i="13"/>
  <c r="G1029" i="13"/>
  <c r="F1029" i="13"/>
  <c r="I1028" i="13"/>
  <c r="H1028" i="13"/>
  <c r="G1028" i="13"/>
  <c r="F1028" i="13"/>
  <c r="I1027" i="13"/>
  <c r="H1027" i="13"/>
  <c r="G1027" i="13"/>
  <c r="F1027" i="13"/>
  <c r="I1026" i="13"/>
  <c r="H1026" i="13"/>
  <c r="G1026" i="13"/>
  <c r="F1026" i="13"/>
  <c r="I1025" i="13"/>
  <c r="H1025" i="13"/>
  <c r="G1025" i="13"/>
  <c r="F1025" i="13"/>
  <c r="I1024" i="13"/>
  <c r="H1024" i="13"/>
  <c r="G1024" i="13"/>
  <c r="F1024" i="13"/>
  <c r="B1014" i="13"/>
  <c r="J979" i="13" s="1"/>
  <c r="J996" i="13" s="1"/>
  <c r="F1001" i="13"/>
  <c r="F1000" i="13"/>
  <c r="F999" i="13"/>
  <c r="F998" i="13"/>
  <c r="B996" i="13"/>
  <c r="I995" i="13"/>
  <c r="H995" i="13"/>
  <c r="G995" i="13"/>
  <c r="F995" i="13"/>
  <c r="I994" i="13"/>
  <c r="H994" i="13"/>
  <c r="G994" i="13"/>
  <c r="F994" i="13"/>
  <c r="I993" i="13"/>
  <c r="H993" i="13"/>
  <c r="G993" i="13"/>
  <c r="F993" i="13"/>
  <c r="I992" i="13"/>
  <c r="H992" i="13"/>
  <c r="I991" i="13"/>
  <c r="H991" i="13"/>
  <c r="G991" i="13"/>
  <c r="F991" i="13"/>
  <c r="I990" i="13"/>
  <c r="H990" i="13"/>
  <c r="G990" i="13"/>
  <c r="F990" i="13"/>
  <c r="I989" i="13"/>
  <c r="H989" i="13"/>
  <c r="G989" i="13"/>
  <c r="F989" i="13"/>
  <c r="I988" i="13"/>
  <c r="H988" i="13"/>
  <c r="G988" i="13"/>
  <c r="F988" i="13"/>
  <c r="I987" i="13"/>
  <c r="H987" i="13"/>
  <c r="G987" i="13"/>
  <c r="F987" i="13"/>
  <c r="I986" i="13"/>
  <c r="H986" i="13"/>
  <c r="G986" i="13"/>
  <c r="F986" i="13"/>
  <c r="I985" i="13"/>
  <c r="H985" i="13"/>
  <c r="G985" i="13"/>
  <c r="F985" i="13"/>
  <c r="I984" i="13"/>
  <c r="H984" i="13"/>
  <c r="G984" i="13"/>
  <c r="F984" i="13"/>
  <c r="I983" i="13"/>
  <c r="H983" i="13"/>
  <c r="G983" i="13"/>
  <c r="F983" i="13"/>
  <c r="I982" i="13"/>
  <c r="H982" i="13"/>
  <c r="G982" i="13"/>
  <c r="F982" i="13"/>
  <c r="I981" i="13"/>
  <c r="H981" i="13"/>
  <c r="G981" i="13"/>
  <c r="F981" i="13"/>
  <c r="I980" i="13"/>
  <c r="H980" i="13"/>
  <c r="G980" i="13"/>
  <c r="F980" i="13"/>
  <c r="I979" i="13"/>
  <c r="H979" i="13"/>
  <c r="G979" i="13"/>
  <c r="F979" i="13"/>
  <c r="B971" i="13"/>
  <c r="J942" i="13" s="1"/>
  <c r="J959" i="13" s="1"/>
  <c r="F964" i="13"/>
  <c r="F963" i="13"/>
  <c r="F962" i="13"/>
  <c r="F961" i="13"/>
  <c r="B959" i="13"/>
  <c r="I958" i="13"/>
  <c r="H958" i="13"/>
  <c r="G958" i="13"/>
  <c r="F958" i="13"/>
  <c r="I957" i="13"/>
  <c r="H957" i="13"/>
  <c r="G957" i="13"/>
  <c r="F957" i="13"/>
  <c r="I956" i="13"/>
  <c r="H956" i="13"/>
  <c r="G956" i="13"/>
  <c r="F956" i="13"/>
  <c r="I955" i="13"/>
  <c r="H955" i="13"/>
  <c r="I954" i="13"/>
  <c r="H954" i="13"/>
  <c r="G954" i="13"/>
  <c r="F954" i="13"/>
  <c r="I953" i="13"/>
  <c r="H953" i="13"/>
  <c r="G953" i="13"/>
  <c r="F953" i="13"/>
  <c r="I952" i="13"/>
  <c r="H952" i="13"/>
  <c r="G952" i="13"/>
  <c r="F952" i="13"/>
  <c r="I951" i="13"/>
  <c r="H951" i="13"/>
  <c r="G951" i="13"/>
  <c r="F951" i="13"/>
  <c r="I950" i="13"/>
  <c r="H950" i="13"/>
  <c r="G950" i="13"/>
  <c r="F950" i="13"/>
  <c r="I949" i="13"/>
  <c r="H949" i="13"/>
  <c r="G949" i="13"/>
  <c r="F949" i="13"/>
  <c r="I948" i="13"/>
  <c r="H948" i="13"/>
  <c r="G948" i="13"/>
  <c r="F948" i="13"/>
  <c r="I947" i="13"/>
  <c r="H947" i="13"/>
  <c r="G947" i="13"/>
  <c r="F947" i="13"/>
  <c r="I946" i="13"/>
  <c r="H946" i="13"/>
  <c r="G946" i="13"/>
  <c r="F946" i="13"/>
  <c r="I945" i="13"/>
  <c r="H945" i="13"/>
  <c r="G945" i="13"/>
  <c r="F945" i="13"/>
  <c r="I944" i="13"/>
  <c r="H944" i="13"/>
  <c r="G944" i="13"/>
  <c r="F944" i="13"/>
  <c r="I943" i="13"/>
  <c r="H943" i="13"/>
  <c r="G943" i="13"/>
  <c r="F943" i="13"/>
  <c r="I942" i="13"/>
  <c r="H942" i="13"/>
  <c r="G942" i="13"/>
  <c r="F942" i="13"/>
  <c r="B934" i="13"/>
  <c r="J899" i="13" s="1"/>
  <c r="J916" i="13" s="1"/>
  <c r="F921" i="13"/>
  <c r="F920" i="13"/>
  <c r="F919" i="13"/>
  <c r="F918" i="13"/>
  <c r="B916" i="13"/>
  <c r="I915" i="13"/>
  <c r="H915" i="13"/>
  <c r="G915" i="13"/>
  <c r="F915" i="13"/>
  <c r="I914" i="13"/>
  <c r="H914" i="13"/>
  <c r="G914" i="13"/>
  <c r="F914" i="13"/>
  <c r="I913" i="13"/>
  <c r="H913" i="13"/>
  <c r="G913" i="13"/>
  <c r="F913" i="13"/>
  <c r="I912" i="13"/>
  <c r="H912" i="13"/>
  <c r="I911" i="13"/>
  <c r="H911" i="13"/>
  <c r="G911" i="13"/>
  <c r="F911" i="13"/>
  <c r="I910" i="13"/>
  <c r="H910" i="13"/>
  <c r="G910" i="13"/>
  <c r="F910" i="13"/>
  <c r="I909" i="13"/>
  <c r="H909" i="13"/>
  <c r="G909" i="13"/>
  <c r="F909" i="13"/>
  <c r="I908" i="13"/>
  <c r="H908" i="13"/>
  <c r="G908" i="13"/>
  <c r="F908" i="13"/>
  <c r="I907" i="13"/>
  <c r="H907" i="13"/>
  <c r="G907" i="13"/>
  <c r="F907" i="13"/>
  <c r="I906" i="13"/>
  <c r="H906" i="13"/>
  <c r="G906" i="13"/>
  <c r="F906" i="13"/>
  <c r="I905" i="13"/>
  <c r="H905" i="13"/>
  <c r="G905" i="13"/>
  <c r="F905" i="13"/>
  <c r="I904" i="13"/>
  <c r="H904" i="13"/>
  <c r="G904" i="13"/>
  <c r="F904" i="13"/>
  <c r="I903" i="13"/>
  <c r="H903" i="13"/>
  <c r="G903" i="13"/>
  <c r="F903" i="13"/>
  <c r="I902" i="13"/>
  <c r="H902" i="13"/>
  <c r="G902" i="13"/>
  <c r="F902" i="13"/>
  <c r="I901" i="13"/>
  <c r="H901" i="13"/>
  <c r="G901" i="13"/>
  <c r="F901" i="13"/>
  <c r="I900" i="13"/>
  <c r="H900" i="13"/>
  <c r="G900" i="13"/>
  <c r="F900" i="13"/>
  <c r="I899" i="13"/>
  <c r="H899" i="13"/>
  <c r="G899" i="13"/>
  <c r="F899" i="13"/>
  <c r="B891" i="13"/>
  <c r="J856" i="13" s="1"/>
  <c r="J873" i="13" s="1"/>
  <c r="F878" i="13"/>
  <c r="F877" i="13"/>
  <c r="F876" i="13"/>
  <c r="F875" i="13"/>
  <c r="B873" i="13"/>
  <c r="I872" i="13"/>
  <c r="H872" i="13"/>
  <c r="G872" i="13"/>
  <c r="F872" i="13"/>
  <c r="I871" i="13"/>
  <c r="H871" i="13"/>
  <c r="G871" i="13"/>
  <c r="F871" i="13"/>
  <c r="I870" i="13"/>
  <c r="H870" i="13"/>
  <c r="G870" i="13"/>
  <c r="F870" i="13"/>
  <c r="I869" i="13"/>
  <c r="H869" i="13"/>
  <c r="I868" i="13"/>
  <c r="H868" i="13"/>
  <c r="G868" i="13"/>
  <c r="F868" i="13"/>
  <c r="I867" i="13"/>
  <c r="H867" i="13"/>
  <c r="G867" i="13"/>
  <c r="F867" i="13"/>
  <c r="I866" i="13"/>
  <c r="H866" i="13"/>
  <c r="G866" i="13"/>
  <c r="F866" i="13"/>
  <c r="I865" i="13"/>
  <c r="H865" i="13"/>
  <c r="G865" i="13"/>
  <c r="F865" i="13"/>
  <c r="I864" i="13"/>
  <c r="H864" i="13"/>
  <c r="G864" i="13"/>
  <c r="F864" i="13"/>
  <c r="I863" i="13"/>
  <c r="H863" i="13"/>
  <c r="G863" i="13"/>
  <c r="F863" i="13"/>
  <c r="I862" i="13"/>
  <c r="H862" i="13"/>
  <c r="G862" i="13"/>
  <c r="F862" i="13"/>
  <c r="I861" i="13"/>
  <c r="H861" i="13"/>
  <c r="G861" i="13"/>
  <c r="F861" i="13"/>
  <c r="I860" i="13"/>
  <c r="H860" i="13"/>
  <c r="G860" i="13"/>
  <c r="F860" i="13"/>
  <c r="I859" i="13"/>
  <c r="H859" i="13"/>
  <c r="G859" i="13"/>
  <c r="F859" i="13"/>
  <c r="I858" i="13"/>
  <c r="H858" i="13"/>
  <c r="G858" i="13"/>
  <c r="F858" i="13"/>
  <c r="I857" i="13"/>
  <c r="H857" i="13"/>
  <c r="G857" i="13"/>
  <c r="F857" i="13"/>
  <c r="I856" i="13"/>
  <c r="H856" i="13"/>
  <c r="G856" i="13"/>
  <c r="F856" i="13"/>
  <c r="B848" i="13"/>
  <c r="J813" i="13" s="1"/>
  <c r="J830" i="13" s="1"/>
  <c r="F835" i="13"/>
  <c r="F834" i="13"/>
  <c r="F833" i="13"/>
  <c r="F832" i="13"/>
  <c r="B830" i="13"/>
  <c r="I829" i="13"/>
  <c r="H829" i="13"/>
  <c r="G829" i="13"/>
  <c r="F829" i="13"/>
  <c r="I828" i="13"/>
  <c r="H828" i="13"/>
  <c r="G828" i="13"/>
  <c r="F828" i="13"/>
  <c r="I827" i="13"/>
  <c r="H827" i="13"/>
  <c r="G827" i="13"/>
  <c r="F827" i="13"/>
  <c r="I826" i="13"/>
  <c r="H826" i="13"/>
  <c r="I825" i="13"/>
  <c r="H825" i="13"/>
  <c r="G825" i="13"/>
  <c r="F825" i="13"/>
  <c r="I824" i="13"/>
  <c r="H824" i="13"/>
  <c r="G824" i="13"/>
  <c r="F824" i="13"/>
  <c r="I823" i="13"/>
  <c r="H823" i="13"/>
  <c r="G823" i="13"/>
  <c r="F823" i="13"/>
  <c r="I822" i="13"/>
  <c r="H822" i="13"/>
  <c r="G822" i="13"/>
  <c r="F822" i="13"/>
  <c r="I821" i="13"/>
  <c r="H821" i="13"/>
  <c r="G821" i="13"/>
  <c r="F821" i="13"/>
  <c r="I820" i="13"/>
  <c r="H820" i="13"/>
  <c r="G820" i="13"/>
  <c r="F820" i="13"/>
  <c r="I819" i="13"/>
  <c r="H819" i="13"/>
  <c r="G819" i="13"/>
  <c r="F819" i="13"/>
  <c r="I818" i="13"/>
  <c r="H818" i="13"/>
  <c r="G818" i="13"/>
  <c r="F818" i="13"/>
  <c r="I817" i="13"/>
  <c r="H817" i="13"/>
  <c r="G817" i="13"/>
  <c r="F817" i="13"/>
  <c r="I816" i="13"/>
  <c r="H816" i="13"/>
  <c r="G816" i="13"/>
  <c r="F816" i="13"/>
  <c r="I815" i="13"/>
  <c r="H815" i="13"/>
  <c r="G815" i="13"/>
  <c r="F815" i="13"/>
  <c r="I814" i="13"/>
  <c r="H814" i="13"/>
  <c r="G814" i="13"/>
  <c r="F814" i="13"/>
  <c r="I813" i="13"/>
  <c r="H813" i="13"/>
  <c r="G813" i="13"/>
  <c r="F813" i="13"/>
  <c r="B805" i="13"/>
  <c r="J770" i="13" s="1"/>
  <c r="J787" i="13" s="1"/>
  <c r="F792" i="13"/>
  <c r="F791" i="13"/>
  <c r="F790" i="13"/>
  <c r="F789" i="13"/>
  <c r="B787" i="13"/>
  <c r="I786" i="13"/>
  <c r="H786" i="13"/>
  <c r="G786" i="13"/>
  <c r="F786" i="13"/>
  <c r="I785" i="13"/>
  <c r="H785" i="13"/>
  <c r="G785" i="13"/>
  <c r="F785" i="13"/>
  <c r="I784" i="13"/>
  <c r="H784" i="13"/>
  <c r="G784" i="13"/>
  <c r="F784" i="13"/>
  <c r="I783" i="13"/>
  <c r="H783" i="13"/>
  <c r="I782" i="13"/>
  <c r="H782" i="13"/>
  <c r="G782" i="13"/>
  <c r="F782" i="13"/>
  <c r="I781" i="13"/>
  <c r="H781" i="13"/>
  <c r="G781" i="13"/>
  <c r="F781" i="13"/>
  <c r="I780" i="13"/>
  <c r="H780" i="13"/>
  <c r="G780" i="13"/>
  <c r="F780" i="13"/>
  <c r="I779" i="13"/>
  <c r="H779" i="13"/>
  <c r="G779" i="13"/>
  <c r="F779" i="13"/>
  <c r="I778" i="13"/>
  <c r="H778" i="13"/>
  <c r="G778" i="13"/>
  <c r="F778" i="13"/>
  <c r="I777" i="13"/>
  <c r="H777" i="13"/>
  <c r="G777" i="13"/>
  <c r="F777" i="13"/>
  <c r="I776" i="13"/>
  <c r="H776" i="13"/>
  <c r="G776" i="13"/>
  <c r="F776" i="13"/>
  <c r="I775" i="13"/>
  <c r="H775" i="13"/>
  <c r="G775" i="13"/>
  <c r="F775" i="13"/>
  <c r="I774" i="13"/>
  <c r="H774" i="13"/>
  <c r="G774" i="13"/>
  <c r="F774" i="13"/>
  <c r="I773" i="13"/>
  <c r="H773" i="13"/>
  <c r="G773" i="13"/>
  <c r="F773" i="13"/>
  <c r="I772" i="13"/>
  <c r="H772" i="13"/>
  <c r="G772" i="13"/>
  <c r="F772" i="13"/>
  <c r="I771" i="13"/>
  <c r="H771" i="13"/>
  <c r="G771" i="13"/>
  <c r="F771" i="13"/>
  <c r="I770" i="13"/>
  <c r="H770" i="13"/>
  <c r="G770" i="13"/>
  <c r="F770" i="13"/>
  <c r="B762" i="13"/>
  <c r="J733" i="13" s="1"/>
  <c r="J750" i="13" s="1"/>
  <c r="F755" i="13"/>
  <c r="F754" i="13"/>
  <c r="F753" i="13"/>
  <c r="F752" i="13"/>
  <c r="B750" i="13"/>
  <c r="I749" i="13"/>
  <c r="H749" i="13"/>
  <c r="G749" i="13"/>
  <c r="F749" i="13"/>
  <c r="I748" i="13"/>
  <c r="H748" i="13"/>
  <c r="G748" i="13"/>
  <c r="F748" i="13"/>
  <c r="I747" i="13"/>
  <c r="H747" i="13"/>
  <c r="G747" i="13"/>
  <c r="F747" i="13"/>
  <c r="I746" i="13"/>
  <c r="H746" i="13"/>
  <c r="I745" i="13"/>
  <c r="H745" i="13"/>
  <c r="G745" i="13"/>
  <c r="F745" i="13"/>
  <c r="I744" i="13"/>
  <c r="H744" i="13"/>
  <c r="G744" i="13"/>
  <c r="F744" i="13"/>
  <c r="I743" i="13"/>
  <c r="H743" i="13"/>
  <c r="G743" i="13"/>
  <c r="F743" i="13"/>
  <c r="I742" i="13"/>
  <c r="H742" i="13"/>
  <c r="G742" i="13"/>
  <c r="F742" i="13"/>
  <c r="I741" i="13"/>
  <c r="H741" i="13"/>
  <c r="G741" i="13"/>
  <c r="F741" i="13"/>
  <c r="I740" i="13"/>
  <c r="H740" i="13"/>
  <c r="G740" i="13"/>
  <c r="F740" i="13"/>
  <c r="I739" i="13"/>
  <c r="H739" i="13"/>
  <c r="G739" i="13"/>
  <c r="F739" i="13"/>
  <c r="I738" i="13"/>
  <c r="H738" i="13"/>
  <c r="G738" i="13"/>
  <c r="F738" i="13"/>
  <c r="I737" i="13"/>
  <c r="H737" i="13"/>
  <c r="G737" i="13"/>
  <c r="F737" i="13"/>
  <c r="I736" i="13"/>
  <c r="H736" i="13"/>
  <c r="G736" i="13"/>
  <c r="F736" i="13"/>
  <c r="I735" i="13"/>
  <c r="H735" i="13"/>
  <c r="G735" i="13"/>
  <c r="F735" i="13"/>
  <c r="I734" i="13"/>
  <c r="H734" i="13"/>
  <c r="G734" i="13"/>
  <c r="F734" i="13"/>
  <c r="I733" i="13"/>
  <c r="H733" i="13"/>
  <c r="G733" i="13"/>
  <c r="F733" i="13"/>
  <c r="B725" i="13"/>
  <c r="J690" i="13" s="1"/>
  <c r="J707" i="13" s="1"/>
  <c r="F712" i="13"/>
  <c r="F711" i="13"/>
  <c r="F710" i="13"/>
  <c r="F709" i="13"/>
  <c r="B707" i="13"/>
  <c r="I706" i="13"/>
  <c r="H706" i="13"/>
  <c r="G706" i="13"/>
  <c r="F706" i="13"/>
  <c r="I705" i="13"/>
  <c r="H705" i="13"/>
  <c r="G705" i="13"/>
  <c r="F705" i="13"/>
  <c r="I704" i="13"/>
  <c r="H704" i="13"/>
  <c r="G704" i="13"/>
  <c r="F704" i="13"/>
  <c r="I703" i="13"/>
  <c r="H703" i="13"/>
  <c r="I702" i="13"/>
  <c r="H702" i="13"/>
  <c r="G702" i="13"/>
  <c r="F702" i="13"/>
  <c r="I701" i="13"/>
  <c r="H701" i="13"/>
  <c r="G701" i="13"/>
  <c r="F701" i="13"/>
  <c r="I700" i="13"/>
  <c r="H700" i="13"/>
  <c r="G700" i="13"/>
  <c r="F700" i="13"/>
  <c r="I699" i="13"/>
  <c r="H699" i="13"/>
  <c r="G699" i="13"/>
  <c r="F699" i="13"/>
  <c r="I698" i="13"/>
  <c r="H698" i="13"/>
  <c r="G698" i="13"/>
  <c r="F698" i="13"/>
  <c r="I697" i="13"/>
  <c r="H697" i="13"/>
  <c r="G697" i="13"/>
  <c r="F697" i="13"/>
  <c r="I696" i="13"/>
  <c r="H696" i="13"/>
  <c r="G696" i="13"/>
  <c r="F696" i="13"/>
  <c r="I695" i="13"/>
  <c r="H695" i="13"/>
  <c r="G695" i="13"/>
  <c r="F695" i="13"/>
  <c r="I694" i="13"/>
  <c r="H694" i="13"/>
  <c r="G694" i="13"/>
  <c r="F694" i="13"/>
  <c r="I693" i="13"/>
  <c r="H693" i="13"/>
  <c r="G693" i="13"/>
  <c r="F693" i="13"/>
  <c r="I692" i="13"/>
  <c r="H692" i="13"/>
  <c r="G692" i="13"/>
  <c r="F692" i="13"/>
  <c r="I691" i="13"/>
  <c r="H691" i="13"/>
  <c r="G691" i="13"/>
  <c r="F691" i="13"/>
  <c r="I690" i="13"/>
  <c r="H690" i="13"/>
  <c r="G690" i="13"/>
  <c r="F690" i="13"/>
  <c r="B682" i="13"/>
  <c r="J647" i="13" s="1"/>
  <c r="J664" i="13" s="1"/>
  <c r="F669" i="13"/>
  <c r="F668" i="13"/>
  <c r="F667" i="13"/>
  <c r="F666" i="13"/>
  <c r="B664" i="13"/>
  <c r="I663" i="13"/>
  <c r="H663" i="13"/>
  <c r="G663" i="13"/>
  <c r="F663" i="13"/>
  <c r="I662" i="13"/>
  <c r="H662" i="13"/>
  <c r="G662" i="13"/>
  <c r="F662" i="13"/>
  <c r="I661" i="13"/>
  <c r="H661" i="13"/>
  <c r="G661" i="13"/>
  <c r="F661" i="13"/>
  <c r="I660" i="13"/>
  <c r="H660" i="13"/>
  <c r="I659" i="13"/>
  <c r="H659" i="13"/>
  <c r="G659" i="13"/>
  <c r="F659" i="13"/>
  <c r="I658" i="13"/>
  <c r="H658" i="13"/>
  <c r="G658" i="13"/>
  <c r="F658" i="13"/>
  <c r="I657" i="13"/>
  <c r="H657" i="13"/>
  <c r="G657" i="13"/>
  <c r="F657" i="13"/>
  <c r="I656" i="13"/>
  <c r="H656" i="13"/>
  <c r="G656" i="13"/>
  <c r="F656" i="13"/>
  <c r="I655" i="13"/>
  <c r="H655" i="13"/>
  <c r="G655" i="13"/>
  <c r="F655" i="13"/>
  <c r="I654" i="13"/>
  <c r="H654" i="13"/>
  <c r="G654" i="13"/>
  <c r="F654" i="13"/>
  <c r="I653" i="13"/>
  <c r="H653" i="13"/>
  <c r="G653" i="13"/>
  <c r="F653" i="13"/>
  <c r="I652" i="13"/>
  <c r="H652" i="13"/>
  <c r="G652" i="13"/>
  <c r="F652" i="13"/>
  <c r="I651" i="13"/>
  <c r="H651" i="13"/>
  <c r="G651" i="13"/>
  <c r="F651" i="13"/>
  <c r="I650" i="13"/>
  <c r="H650" i="13"/>
  <c r="G650" i="13"/>
  <c r="F650" i="13"/>
  <c r="I649" i="13"/>
  <c r="H649" i="13"/>
  <c r="G649" i="13"/>
  <c r="F649" i="13"/>
  <c r="I648" i="13"/>
  <c r="H648" i="13"/>
  <c r="G648" i="13"/>
  <c r="F648" i="13"/>
  <c r="I647" i="13"/>
  <c r="H647" i="13"/>
  <c r="G647" i="13"/>
  <c r="F647" i="13"/>
  <c r="B639" i="13"/>
  <c r="J604" i="13" s="1"/>
  <c r="J621" i="13" s="1"/>
  <c r="F626" i="13"/>
  <c r="F625" i="13"/>
  <c r="F624" i="13"/>
  <c r="F623" i="13"/>
  <c r="B621" i="13"/>
  <c r="I620" i="13"/>
  <c r="H620" i="13"/>
  <c r="G620" i="13"/>
  <c r="F620" i="13"/>
  <c r="I619" i="13"/>
  <c r="H619" i="13"/>
  <c r="G619" i="13"/>
  <c r="F619" i="13"/>
  <c r="I618" i="13"/>
  <c r="H618" i="13"/>
  <c r="G618" i="13"/>
  <c r="F618" i="13"/>
  <c r="I617" i="13"/>
  <c r="H617" i="13"/>
  <c r="I616" i="13"/>
  <c r="H616" i="13"/>
  <c r="G616" i="13"/>
  <c r="F616" i="13"/>
  <c r="I615" i="13"/>
  <c r="H615" i="13"/>
  <c r="G615" i="13"/>
  <c r="F615" i="13"/>
  <c r="I614" i="13"/>
  <c r="H614" i="13"/>
  <c r="G614" i="13"/>
  <c r="F614" i="13"/>
  <c r="I613" i="13"/>
  <c r="H613" i="13"/>
  <c r="G613" i="13"/>
  <c r="F613" i="13"/>
  <c r="I612" i="13"/>
  <c r="H612" i="13"/>
  <c r="G612" i="13"/>
  <c r="F612" i="13"/>
  <c r="I611" i="13"/>
  <c r="H611" i="13"/>
  <c r="G611" i="13"/>
  <c r="F611" i="13"/>
  <c r="I610" i="13"/>
  <c r="H610" i="13"/>
  <c r="G610" i="13"/>
  <c r="F610" i="13"/>
  <c r="I609" i="13"/>
  <c r="H609" i="13"/>
  <c r="G609" i="13"/>
  <c r="F609" i="13"/>
  <c r="I608" i="13"/>
  <c r="H608" i="13"/>
  <c r="G608" i="13"/>
  <c r="F608" i="13"/>
  <c r="I607" i="13"/>
  <c r="H607" i="13"/>
  <c r="G607" i="13"/>
  <c r="F607" i="13"/>
  <c r="I606" i="13"/>
  <c r="H606" i="13"/>
  <c r="G606" i="13"/>
  <c r="F606" i="13"/>
  <c r="I605" i="13"/>
  <c r="H605" i="13"/>
  <c r="G605" i="13"/>
  <c r="F605" i="13"/>
  <c r="I604" i="13"/>
  <c r="H604" i="13"/>
  <c r="G604" i="13"/>
  <c r="F604" i="13"/>
  <c r="B595" i="13"/>
  <c r="J560" i="13" s="1"/>
  <c r="J577" i="13" s="1"/>
  <c r="F582" i="13"/>
  <c r="F581" i="13"/>
  <c r="F580" i="13"/>
  <c r="F579" i="13"/>
  <c r="B577" i="13"/>
  <c r="I576" i="13"/>
  <c r="H576" i="13"/>
  <c r="G576" i="13"/>
  <c r="F576" i="13"/>
  <c r="I575" i="13"/>
  <c r="H575" i="13"/>
  <c r="G575" i="13"/>
  <c r="F575" i="13"/>
  <c r="I574" i="13"/>
  <c r="H574" i="13"/>
  <c r="G574" i="13"/>
  <c r="F574" i="13"/>
  <c r="I573" i="13"/>
  <c r="H573" i="13"/>
  <c r="I572" i="13"/>
  <c r="H572" i="13"/>
  <c r="G572" i="13"/>
  <c r="F572" i="13"/>
  <c r="I571" i="13"/>
  <c r="H571" i="13"/>
  <c r="G571" i="13"/>
  <c r="F571" i="13"/>
  <c r="I570" i="13"/>
  <c r="H570" i="13"/>
  <c r="G570" i="13"/>
  <c r="F570" i="13"/>
  <c r="I569" i="13"/>
  <c r="H569" i="13"/>
  <c r="G569" i="13"/>
  <c r="F569" i="13"/>
  <c r="I568" i="13"/>
  <c r="H568" i="13"/>
  <c r="G568" i="13"/>
  <c r="F568" i="13"/>
  <c r="I567" i="13"/>
  <c r="H567" i="13"/>
  <c r="G567" i="13"/>
  <c r="F567" i="13"/>
  <c r="I566" i="13"/>
  <c r="H566" i="13"/>
  <c r="G566" i="13"/>
  <c r="F566" i="13"/>
  <c r="I565" i="13"/>
  <c r="H565" i="13"/>
  <c r="G565" i="13"/>
  <c r="F565" i="13"/>
  <c r="I564" i="13"/>
  <c r="H564" i="13"/>
  <c r="G564" i="13"/>
  <c r="F564" i="13"/>
  <c r="I563" i="13"/>
  <c r="H563" i="13"/>
  <c r="G563" i="13"/>
  <c r="F563" i="13"/>
  <c r="I562" i="13"/>
  <c r="H562" i="13"/>
  <c r="G562" i="13"/>
  <c r="F562" i="13"/>
  <c r="I561" i="13"/>
  <c r="H561" i="13"/>
  <c r="G561" i="13"/>
  <c r="F561" i="13"/>
  <c r="I560" i="13"/>
  <c r="H560" i="13"/>
  <c r="G560" i="13"/>
  <c r="F560" i="13"/>
  <c r="B552" i="13"/>
  <c r="J517" i="13" s="1"/>
  <c r="J534" i="13" s="1"/>
  <c r="F539" i="13"/>
  <c r="F538" i="13"/>
  <c r="F537" i="13"/>
  <c r="F536" i="13"/>
  <c r="B534" i="13"/>
  <c r="I533" i="13"/>
  <c r="H533" i="13"/>
  <c r="G533" i="13"/>
  <c r="F533" i="13"/>
  <c r="I532" i="13"/>
  <c r="H532" i="13"/>
  <c r="G532" i="13"/>
  <c r="F532" i="13"/>
  <c r="I531" i="13"/>
  <c r="H531" i="13"/>
  <c r="G531" i="13"/>
  <c r="F531" i="13"/>
  <c r="I530" i="13"/>
  <c r="H530" i="13"/>
  <c r="I529" i="13"/>
  <c r="H529" i="13"/>
  <c r="G529" i="13"/>
  <c r="F529" i="13"/>
  <c r="I528" i="13"/>
  <c r="H528" i="13"/>
  <c r="G528" i="13"/>
  <c r="F528" i="13"/>
  <c r="I527" i="13"/>
  <c r="H527" i="13"/>
  <c r="G527" i="13"/>
  <c r="F527" i="13"/>
  <c r="I526" i="13"/>
  <c r="H526" i="13"/>
  <c r="G526" i="13"/>
  <c r="F526" i="13"/>
  <c r="I525" i="13"/>
  <c r="H525" i="13"/>
  <c r="G525" i="13"/>
  <c r="F525" i="13"/>
  <c r="I524" i="13"/>
  <c r="H524" i="13"/>
  <c r="G524" i="13"/>
  <c r="F524" i="13"/>
  <c r="I523" i="13"/>
  <c r="H523" i="13"/>
  <c r="G523" i="13"/>
  <c r="F523" i="13"/>
  <c r="I522" i="13"/>
  <c r="H522" i="13"/>
  <c r="G522" i="13"/>
  <c r="F522" i="13"/>
  <c r="I521" i="13"/>
  <c r="H521" i="13"/>
  <c r="G521" i="13"/>
  <c r="F521" i="13"/>
  <c r="I520" i="13"/>
  <c r="H520" i="13"/>
  <c r="G520" i="13"/>
  <c r="F520" i="13"/>
  <c r="I519" i="13"/>
  <c r="H519" i="13"/>
  <c r="G519" i="13"/>
  <c r="F519" i="13"/>
  <c r="I518" i="13"/>
  <c r="H518" i="13"/>
  <c r="G518" i="13"/>
  <c r="F518" i="13"/>
  <c r="I517" i="13"/>
  <c r="H517" i="13"/>
  <c r="G517" i="13"/>
  <c r="F517" i="13"/>
  <c r="B509" i="13"/>
  <c r="J480" i="13" s="1"/>
  <c r="J497" i="13" s="1"/>
  <c r="F502" i="13"/>
  <c r="F501" i="13"/>
  <c r="F500" i="13"/>
  <c r="F499" i="13"/>
  <c r="B497" i="13"/>
  <c r="I496" i="13"/>
  <c r="H496" i="13"/>
  <c r="G496" i="13"/>
  <c r="F496" i="13"/>
  <c r="I495" i="13"/>
  <c r="H495" i="13"/>
  <c r="G495" i="13"/>
  <c r="F495" i="13"/>
  <c r="I494" i="13"/>
  <c r="H494" i="13"/>
  <c r="G494" i="13"/>
  <c r="F494" i="13"/>
  <c r="I493" i="13"/>
  <c r="H493" i="13"/>
  <c r="I492" i="13"/>
  <c r="H492" i="13"/>
  <c r="G492" i="13"/>
  <c r="F492" i="13"/>
  <c r="I491" i="13"/>
  <c r="H491" i="13"/>
  <c r="G491" i="13"/>
  <c r="F491" i="13"/>
  <c r="I490" i="13"/>
  <c r="H490" i="13"/>
  <c r="G490" i="13"/>
  <c r="F490" i="13"/>
  <c r="I489" i="13"/>
  <c r="H489" i="13"/>
  <c r="G489" i="13"/>
  <c r="F489" i="13"/>
  <c r="I488" i="13"/>
  <c r="H488" i="13"/>
  <c r="G488" i="13"/>
  <c r="F488" i="13"/>
  <c r="I487" i="13"/>
  <c r="H487" i="13"/>
  <c r="G487" i="13"/>
  <c r="F487" i="13"/>
  <c r="I486" i="13"/>
  <c r="H486" i="13"/>
  <c r="G486" i="13"/>
  <c r="F486" i="13"/>
  <c r="I485" i="13"/>
  <c r="H485" i="13"/>
  <c r="G485" i="13"/>
  <c r="F485" i="13"/>
  <c r="I484" i="13"/>
  <c r="H484" i="13"/>
  <c r="G484" i="13"/>
  <c r="F484" i="13"/>
  <c r="I483" i="13"/>
  <c r="H483" i="13"/>
  <c r="G483" i="13"/>
  <c r="F483" i="13"/>
  <c r="I482" i="13"/>
  <c r="H482" i="13"/>
  <c r="G482" i="13"/>
  <c r="F482" i="13"/>
  <c r="I481" i="13"/>
  <c r="H481" i="13"/>
  <c r="G481" i="13"/>
  <c r="F481" i="13"/>
  <c r="I480" i="13"/>
  <c r="H480" i="13"/>
  <c r="G480" i="13"/>
  <c r="F480" i="13"/>
  <c r="B472" i="13"/>
  <c r="J437" i="13" s="1"/>
  <c r="J454" i="13" s="1"/>
  <c r="F459" i="13"/>
  <c r="F458" i="13"/>
  <c r="F457" i="13"/>
  <c r="F456" i="13"/>
  <c r="B454" i="13"/>
  <c r="I453" i="13"/>
  <c r="H453" i="13"/>
  <c r="G453" i="13"/>
  <c r="F453" i="13"/>
  <c r="I452" i="13"/>
  <c r="H452" i="13"/>
  <c r="G452" i="13"/>
  <c r="F452" i="13"/>
  <c r="I451" i="13"/>
  <c r="H451" i="13"/>
  <c r="G451" i="13"/>
  <c r="F451" i="13"/>
  <c r="I450" i="13"/>
  <c r="H450" i="13"/>
  <c r="I449" i="13"/>
  <c r="H449" i="13"/>
  <c r="G449" i="13"/>
  <c r="F449" i="13"/>
  <c r="I448" i="13"/>
  <c r="H448" i="13"/>
  <c r="G448" i="13"/>
  <c r="F448" i="13"/>
  <c r="I447" i="13"/>
  <c r="H447" i="13"/>
  <c r="G447" i="13"/>
  <c r="F447" i="13"/>
  <c r="I446" i="13"/>
  <c r="H446" i="13"/>
  <c r="G446" i="13"/>
  <c r="F446" i="13"/>
  <c r="I445" i="13"/>
  <c r="H445" i="13"/>
  <c r="G445" i="13"/>
  <c r="F445" i="13"/>
  <c r="I444" i="13"/>
  <c r="H444" i="13"/>
  <c r="G444" i="13"/>
  <c r="F444" i="13"/>
  <c r="I443" i="13"/>
  <c r="H443" i="13"/>
  <c r="G443" i="13"/>
  <c r="F443" i="13"/>
  <c r="I442" i="13"/>
  <c r="H442" i="13"/>
  <c r="G442" i="13"/>
  <c r="F442" i="13"/>
  <c r="I441" i="13"/>
  <c r="H441" i="13"/>
  <c r="G441" i="13"/>
  <c r="F441" i="13"/>
  <c r="I440" i="13"/>
  <c r="H440" i="13"/>
  <c r="G440" i="13"/>
  <c r="F440" i="13"/>
  <c r="I439" i="13"/>
  <c r="H439" i="13"/>
  <c r="G439" i="13"/>
  <c r="F439" i="13"/>
  <c r="I438" i="13"/>
  <c r="H438" i="13"/>
  <c r="G438" i="13"/>
  <c r="F438" i="13"/>
  <c r="I437" i="13"/>
  <c r="H437" i="13"/>
  <c r="G437" i="13"/>
  <c r="F437" i="13"/>
  <c r="B428" i="13"/>
  <c r="J393" i="13" s="1"/>
  <c r="J410" i="13" s="1"/>
  <c r="F415" i="13"/>
  <c r="F414" i="13"/>
  <c r="F413" i="13"/>
  <c r="F412" i="13"/>
  <c r="B410" i="13"/>
  <c r="I409" i="13"/>
  <c r="H409" i="13"/>
  <c r="G409" i="13"/>
  <c r="F409" i="13"/>
  <c r="I408" i="13"/>
  <c r="H408" i="13"/>
  <c r="G408" i="13"/>
  <c r="F408" i="13"/>
  <c r="I407" i="13"/>
  <c r="H407" i="13"/>
  <c r="G407" i="13"/>
  <c r="F407" i="13"/>
  <c r="I406" i="13"/>
  <c r="H406" i="13"/>
  <c r="I405" i="13"/>
  <c r="H405" i="13"/>
  <c r="G405" i="13"/>
  <c r="F405" i="13"/>
  <c r="I404" i="13"/>
  <c r="H404" i="13"/>
  <c r="G404" i="13"/>
  <c r="F404" i="13"/>
  <c r="I403" i="13"/>
  <c r="H403" i="13"/>
  <c r="G403" i="13"/>
  <c r="F403" i="13"/>
  <c r="I402" i="13"/>
  <c r="H402" i="13"/>
  <c r="G402" i="13"/>
  <c r="F402" i="13"/>
  <c r="I401" i="13"/>
  <c r="H401" i="13"/>
  <c r="G401" i="13"/>
  <c r="F401" i="13"/>
  <c r="I400" i="13"/>
  <c r="H400" i="13"/>
  <c r="G400" i="13"/>
  <c r="F400" i="13"/>
  <c r="I399" i="13"/>
  <c r="H399" i="13"/>
  <c r="G399" i="13"/>
  <c r="F399" i="13"/>
  <c r="I398" i="13"/>
  <c r="H398" i="13"/>
  <c r="G398" i="13"/>
  <c r="F398" i="13"/>
  <c r="I397" i="13"/>
  <c r="H397" i="13"/>
  <c r="G397" i="13"/>
  <c r="F397" i="13"/>
  <c r="I396" i="13"/>
  <c r="H396" i="13"/>
  <c r="G396" i="13"/>
  <c r="F396" i="13"/>
  <c r="I395" i="13"/>
  <c r="H395" i="13"/>
  <c r="G395" i="13"/>
  <c r="F395" i="13"/>
  <c r="I394" i="13"/>
  <c r="H394" i="13"/>
  <c r="G394" i="13"/>
  <c r="F394" i="13"/>
  <c r="I393" i="13"/>
  <c r="H393" i="13"/>
  <c r="G393" i="13"/>
  <c r="F393" i="13"/>
  <c r="B384" i="13"/>
  <c r="J349" i="13" s="1"/>
  <c r="F371" i="13"/>
  <c r="F370" i="13"/>
  <c r="F369" i="13"/>
  <c r="F368" i="13"/>
  <c r="B366" i="13"/>
  <c r="I365" i="13"/>
  <c r="H365" i="13"/>
  <c r="G365" i="13"/>
  <c r="F365" i="13"/>
  <c r="I364" i="13"/>
  <c r="H364" i="13"/>
  <c r="G364" i="13"/>
  <c r="F364" i="13"/>
  <c r="I363" i="13"/>
  <c r="H363" i="13"/>
  <c r="G363" i="13"/>
  <c r="F363" i="13"/>
  <c r="I362" i="13"/>
  <c r="H362" i="13"/>
  <c r="I361" i="13"/>
  <c r="H361" i="13"/>
  <c r="G361" i="13"/>
  <c r="F361" i="13"/>
  <c r="I360" i="13"/>
  <c r="H360" i="13"/>
  <c r="G360" i="13"/>
  <c r="F360" i="13"/>
  <c r="I359" i="13"/>
  <c r="H359" i="13"/>
  <c r="G359" i="13"/>
  <c r="F359" i="13"/>
  <c r="I358" i="13"/>
  <c r="H358" i="13"/>
  <c r="G358" i="13"/>
  <c r="F358" i="13"/>
  <c r="I357" i="13"/>
  <c r="H357" i="13"/>
  <c r="G357" i="13"/>
  <c r="F357" i="13"/>
  <c r="I356" i="13"/>
  <c r="H356" i="13"/>
  <c r="G356" i="13"/>
  <c r="F356" i="13"/>
  <c r="I355" i="13"/>
  <c r="H355" i="13"/>
  <c r="G355" i="13"/>
  <c r="F355" i="13"/>
  <c r="I354" i="13"/>
  <c r="H354" i="13"/>
  <c r="G354" i="13"/>
  <c r="F354" i="13"/>
  <c r="I353" i="13"/>
  <c r="H353" i="13"/>
  <c r="G353" i="13"/>
  <c r="F353" i="13"/>
  <c r="I352" i="13"/>
  <c r="H352" i="13"/>
  <c r="G352" i="13"/>
  <c r="F352" i="13"/>
  <c r="I351" i="13"/>
  <c r="H351" i="13"/>
  <c r="G351" i="13"/>
  <c r="F351" i="13"/>
  <c r="I350" i="13"/>
  <c r="H350" i="13"/>
  <c r="G350" i="13"/>
  <c r="F350" i="13"/>
  <c r="I349" i="13"/>
  <c r="H349" i="13"/>
  <c r="G349" i="13"/>
  <c r="F349" i="13"/>
  <c r="B341" i="13"/>
  <c r="J306" i="13" s="1"/>
  <c r="F328" i="13"/>
  <c r="F327" i="13"/>
  <c r="F326" i="13"/>
  <c r="F325" i="13"/>
  <c r="B323" i="13"/>
  <c r="I322" i="13"/>
  <c r="H322" i="13"/>
  <c r="G322" i="13"/>
  <c r="F322" i="13"/>
  <c r="I321" i="13"/>
  <c r="H321" i="13"/>
  <c r="G321" i="13"/>
  <c r="F321" i="13"/>
  <c r="I320" i="13"/>
  <c r="H320" i="13"/>
  <c r="G320" i="13"/>
  <c r="F320" i="13"/>
  <c r="I319" i="13"/>
  <c r="H319" i="13"/>
  <c r="I318" i="13"/>
  <c r="H318" i="13"/>
  <c r="G318" i="13"/>
  <c r="F318" i="13"/>
  <c r="I317" i="13"/>
  <c r="H317" i="13"/>
  <c r="G317" i="13"/>
  <c r="F317" i="13"/>
  <c r="I316" i="13"/>
  <c r="H316" i="13"/>
  <c r="G316" i="13"/>
  <c r="F316" i="13"/>
  <c r="I315" i="13"/>
  <c r="H315" i="13"/>
  <c r="G315" i="13"/>
  <c r="F315" i="13"/>
  <c r="I314" i="13"/>
  <c r="H314" i="13"/>
  <c r="G314" i="13"/>
  <c r="F314" i="13"/>
  <c r="I313" i="13"/>
  <c r="H313" i="13"/>
  <c r="G313" i="13"/>
  <c r="F313" i="13"/>
  <c r="I312" i="13"/>
  <c r="H312" i="13"/>
  <c r="G312" i="13"/>
  <c r="F312" i="13"/>
  <c r="I311" i="13"/>
  <c r="H311" i="13"/>
  <c r="G311" i="13"/>
  <c r="F311" i="13"/>
  <c r="I310" i="13"/>
  <c r="H310" i="13"/>
  <c r="G310" i="13"/>
  <c r="F310" i="13"/>
  <c r="I309" i="13"/>
  <c r="H309" i="13"/>
  <c r="G309" i="13"/>
  <c r="F309" i="13"/>
  <c r="I308" i="13"/>
  <c r="H308" i="13"/>
  <c r="G308" i="13"/>
  <c r="F308" i="13"/>
  <c r="I307" i="13"/>
  <c r="H307" i="13"/>
  <c r="G307" i="13"/>
  <c r="F307" i="13"/>
  <c r="I306" i="13"/>
  <c r="H306" i="13"/>
  <c r="G306" i="13"/>
  <c r="F306" i="13"/>
  <c r="B297" i="13"/>
  <c r="F284" i="13"/>
  <c r="F283" i="13"/>
  <c r="F282" i="13"/>
  <c r="F281" i="13"/>
  <c r="B279" i="13"/>
  <c r="I278" i="13"/>
  <c r="H278" i="13"/>
  <c r="G278" i="13"/>
  <c r="F278" i="13"/>
  <c r="I277" i="13"/>
  <c r="H277" i="13"/>
  <c r="G277" i="13"/>
  <c r="F277" i="13"/>
  <c r="I276" i="13"/>
  <c r="H276" i="13"/>
  <c r="G276" i="13"/>
  <c r="F276" i="13"/>
  <c r="I275" i="13"/>
  <c r="H275" i="13"/>
  <c r="I274" i="13"/>
  <c r="H274" i="13"/>
  <c r="G274" i="13"/>
  <c r="F274" i="13"/>
  <c r="I273" i="13"/>
  <c r="H273" i="13"/>
  <c r="G273" i="13"/>
  <c r="F273" i="13"/>
  <c r="I272" i="13"/>
  <c r="H272" i="13"/>
  <c r="G272" i="13"/>
  <c r="F272" i="13"/>
  <c r="I271" i="13"/>
  <c r="H271" i="13"/>
  <c r="G271" i="13"/>
  <c r="F271" i="13"/>
  <c r="I270" i="13"/>
  <c r="H270" i="13"/>
  <c r="G270" i="13"/>
  <c r="F270" i="13"/>
  <c r="I269" i="13"/>
  <c r="H269" i="13"/>
  <c r="G269" i="13"/>
  <c r="F269" i="13"/>
  <c r="I268" i="13"/>
  <c r="H268" i="13"/>
  <c r="G268" i="13"/>
  <c r="F268" i="13"/>
  <c r="I267" i="13"/>
  <c r="H267" i="13"/>
  <c r="G267" i="13"/>
  <c r="F267" i="13"/>
  <c r="I266" i="13"/>
  <c r="H266" i="13"/>
  <c r="G266" i="13"/>
  <c r="F266" i="13"/>
  <c r="I265" i="13"/>
  <c r="H265" i="13"/>
  <c r="G265" i="13"/>
  <c r="F265" i="13"/>
  <c r="I264" i="13"/>
  <c r="H264" i="13"/>
  <c r="G264" i="13"/>
  <c r="F264" i="13"/>
  <c r="I263" i="13"/>
  <c r="H263" i="13"/>
  <c r="G263" i="13"/>
  <c r="F263" i="13"/>
  <c r="I262" i="13"/>
  <c r="H262" i="13"/>
  <c r="G262" i="13"/>
  <c r="F262" i="13"/>
  <c r="B253" i="13"/>
  <c r="F246" i="13"/>
  <c r="F245" i="13"/>
  <c r="F244" i="13"/>
  <c r="F243" i="13"/>
  <c r="B241" i="13"/>
  <c r="I240" i="13"/>
  <c r="H240" i="13"/>
  <c r="G240" i="13"/>
  <c r="F240" i="13"/>
  <c r="I239" i="13"/>
  <c r="H239" i="13"/>
  <c r="G239" i="13"/>
  <c r="F239" i="13"/>
  <c r="I238" i="13"/>
  <c r="H238" i="13"/>
  <c r="G238" i="13"/>
  <c r="F238" i="13"/>
  <c r="I237" i="13"/>
  <c r="H237" i="13"/>
  <c r="I236" i="13"/>
  <c r="H236" i="13"/>
  <c r="G236" i="13"/>
  <c r="F236" i="13"/>
  <c r="I235" i="13"/>
  <c r="H235" i="13"/>
  <c r="G235" i="13"/>
  <c r="F235" i="13"/>
  <c r="I234" i="13"/>
  <c r="H234" i="13"/>
  <c r="G234" i="13"/>
  <c r="F234" i="13"/>
  <c r="I233" i="13"/>
  <c r="H233" i="13"/>
  <c r="G233" i="13"/>
  <c r="F233" i="13"/>
  <c r="I232" i="13"/>
  <c r="H232" i="13"/>
  <c r="G232" i="13"/>
  <c r="F232" i="13"/>
  <c r="I231" i="13"/>
  <c r="H231" i="13"/>
  <c r="G231" i="13"/>
  <c r="F231" i="13"/>
  <c r="I230" i="13"/>
  <c r="H230" i="13"/>
  <c r="G230" i="13"/>
  <c r="F230" i="13"/>
  <c r="I229" i="13"/>
  <c r="H229" i="13"/>
  <c r="G229" i="13"/>
  <c r="F229" i="13"/>
  <c r="I228" i="13"/>
  <c r="H228" i="13"/>
  <c r="G228" i="13"/>
  <c r="F228" i="13"/>
  <c r="I227" i="13"/>
  <c r="H227" i="13"/>
  <c r="G227" i="13"/>
  <c r="F227" i="13"/>
  <c r="I226" i="13"/>
  <c r="H226" i="13"/>
  <c r="G226" i="13"/>
  <c r="F226" i="13"/>
  <c r="I225" i="13"/>
  <c r="H225" i="13"/>
  <c r="G225" i="13"/>
  <c r="F225" i="13"/>
  <c r="I224" i="13"/>
  <c r="H224" i="13"/>
  <c r="G224" i="13"/>
  <c r="F224" i="13"/>
  <c r="B215" i="13"/>
  <c r="F202" i="13"/>
  <c r="F201" i="13"/>
  <c r="F200" i="13"/>
  <c r="F199" i="13"/>
  <c r="B197" i="13"/>
  <c r="I196" i="13"/>
  <c r="H196" i="13"/>
  <c r="G196" i="13"/>
  <c r="F196" i="13"/>
  <c r="I195" i="13"/>
  <c r="H195" i="13"/>
  <c r="G195" i="13"/>
  <c r="F195" i="13"/>
  <c r="I194" i="13"/>
  <c r="H194" i="13"/>
  <c r="G194" i="13"/>
  <c r="F194" i="13"/>
  <c r="I193" i="13"/>
  <c r="H193" i="13"/>
  <c r="I192" i="13"/>
  <c r="H192" i="13"/>
  <c r="G192" i="13"/>
  <c r="F192" i="13"/>
  <c r="I191" i="13"/>
  <c r="H191" i="13"/>
  <c r="G191" i="13"/>
  <c r="F191" i="13"/>
  <c r="I190" i="13"/>
  <c r="H190" i="13"/>
  <c r="G190" i="13"/>
  <c r="F190" i="13"/>
  <c r="I189" i="13"/>
  <c r="H189" i="13"/>
  <c r="G189" i="13"/>
  <c r="F189" i="13"/>
  <c r="I188" i="13"/>
  <c r="H188" i="13"/>
  <c r="G188" i="13"/>
  <c r="F188" i="13"/>
  <c r="I187" i="13"/>
  <c r="H187" i="13"/>
  <c r="G187" i="13"/>
  <c r="F187" i="13"/>
  <c r="I186" i="13"/>
  <c r="H186" i="13"/>
  <c r="G186" i="13"/>
  <c r="F186" i="13"/>
  <c r="I185" i="13"/>
  <c r="H185" i="13"/>
  <c r="G185" i="13"/>
  <c r="F185" i="13"/>
  <c r="I184" i="13"/>
  <c r="H184" i="13"/>
  <c r="G184" i="13"/>
  <c r="F184" i="13"/>
  <c r="I183" i="13"/>
  <c r="H183" i="13"/>
  <c r="G183" i="13"/>
  <c r="F183" i="13"/>
  <c r="I182" i="13"/>
  <c r="H182" i="13"/>
  <c r="G182" i="13"/>
  <c r="F182" i="13"/>
  <c r="I181" i="13"/>
  <c r="H181" i="13"/>
  <c r="G181" i="13"/>
  <c r="F181" i="13"/>
  <c r="I180" i="13"/>
  <c r="H180" i="13"/>
  <c r="G180" i="13"/>
  <c r="F180" i="13"/>
  <c r="B171" i="13"/>
  <c r="F158" i="13"/>
  <c r="F157" i="13"/>
  <c r="F156" i="13"/>
  <c r="F155" i="13"/>
  <c r="B153" i="13"/>
  <c r="I152" i="13"/>
  <c r="H152" i="13"/>
  <c r="G152" i="13"/>
  <c r="F152" i="13"/>
  <c r="I151" i="13"/>
  <c r="H151" i="13"/>
  <c r="G151" i="13"/>
  <c r="F151" i="13"/>
  <c r="I150" i="13"/>
  <c r="H150" i="13"/>
  <c r="G150" i="13"/>
  <c r="F150" i="13"/>
  <c r="I149" i="13"/>
  <c r="H149" i="13"/>
  <c r="I148" i="13"/>
  <c r="H148" i="13"/>
  <c r="G148" i="13"/>
  <c r="F148" i="13"/>
  <c r="I147" i="13"/>
  <c r="H147" i="13"/>
  <c r="G147" i="13"/>
  <c r="F147" i="13"/>
  <c r="I146" i="13"/>
  <c r="H146" i="13"/>
  <c r="G146" i="13"/>
  <c r="F146" i="13"/>
  <c r="I145" i="13"/>
  <c r="H145" i="13"/>
  <c r="G145" i="13"/>
  <c r="F145" i="13"/>
  <c r="I144" i="13"/>
  <c r="H144" i="13"/>
  <c r="G144" i="13"/>
  <c r="F144" i="13"/>
  <c r="I143" i="13"/>
  <c r="H143" i="13"/>
  <c r="G143" i="13"/>
  <c r="F143" i="13"/>
  <c r="I142" i="13"/>
  <c r="H142" i="13"/>
  <c r="G142" i="13"/>
  <c r="F142" i="13"/>
  <c r="I141" i="13"/>
  <c r="H141" i="13"/>
  <c r="G141" i="13"/>
  <c r="F141" i="13"/>
  <c r="I140" i="13"/>
  <c r="H140" i="13"/>
  <c r="G140" i="13"/>
  <c r="F140" i="13"/>
  <c r="I139" i="13"/>
  <c r="H139" i="13"/>
  <c r="G139" i="13"/>
  <c r="F139" i="13"/>
  <c r="I138" i="13"/>
  <c r="H138" i="13"/>
  <c r="G138" i="13"/>
  <c r="F138" i="13"/>
  <c r="I137" i="13"/>
  <c r="H137" i="13"/>
  <c r="G137" i="13"/>
  <c r="F137" i="13"/>
  <c r="I136" i="13"/>
  <c r="H136" i="13"/>
  <c r="G136" i="13"/>
  <c r="F136" i="13"/>
  <c r="B128" i="13"/>
  <c r="F115" i="13"/>
  <c r="F114" i="13"/>
  <c r="F113" i="13"/>
  <c r="F112" i="13"/>
  <c r="B110" i="13"/>
  <c r="I109" i="13"/>
  <c r="H109" i="13"/>
  <c r="G109" i="13"/>
  <c r="F109" i="13"/>
  <c r="I108" i="13"/>
  <c r="H108" i="13"/>
  <c r="G108" i="13"/>
  <c r="F108" i="13"/>
  <c r="I107" i="13"/>
  <c r="H107" i="13"/>
  <c r="G107" i="13"/>
  <c r="F107" i="13"/>
  <c r="I106" i="13"/>
  <c r="H106" i="13"/>
  <c r="I105" i="13"/>
  <c r="H105" i="13"/>
  <c r="G105" i="13"/>
  <c r="F105" i="13"/>
  <c r="I104" i="13"/>
  <c r="H104" i="13"/>
  <c r="G104" i="13"/>
  <c r="F104" i="13"/>
  <c r="I103" i="13"/>
  <c r="H103" i="13"/>
  <c r="G103" i="13"/>
  <c r="F103" i="13"/>
  <c r="I102" i="13"/>
  <c r="H102" i="13"/>
  <c r="G102" i="13"/>
  <c r="F102" i="13"/>
  <c r="I101" i="13"/>
  <c r="H101" i="13"/>
  <c r="G101" i="13"/>
  <c r="F101" i="13"/>
  <c r="I100" i="13"/>
  <c r="H100" i="13"/>
  <c r="G100" i="13"/>
  <c r="F100" i="13"/>
  <c r="I99" i="13"/>
  <c r="H99" i="13"/>
  <c r="G99" i="13"/>
  <c r="F99" i="13"/>
  <c r="I98" i="13"/>
  <c r="H98" i="13"/>
  <c r="G98" i="13"/>
  <c r="F98" i="13"/>
  <c r="I97" i="13"/>
  <c r="H97" i="13"/>
  <c r="G97" i="13"/>
  <c r="F97" i="13"/>
  <c r="I96" i="13"/>
  <c r="H96" i="13"/>
  <c r="G96" i="13"/>
  <c r="F96" i="13"/>
  <c r="I95" i="13"/>
  <c r="H95" i="13"/>
  <c r="G95" i="13"/>
  <c r="F95" i="13"/>
  <c r="I94" i="13"/>
  <c r="H94" i="13"/>
  <c r="G94" i="13"/>
  <c r="F94" i="13"/>
  <c r="I93" i="13"/>
  <c r="H93" i="13"/>
  <c r="G93" i="13"/>
  <c r="F93" i="13"/>
  <c r="B85" i="13"/>
  <c r="F72" i="13"/>
  <c r="F71" i="13"/>
  <c r="F70" i="13"/>
  <c r="F69" i="13"/>
  <c r="B67" i="13"/>
  <c r="I66" i="13"/>
  <c r="H66" i="13"/>
  <c r="G66" i="13"/>
  <c r="F66" i="13"/>
  <c r="I65" i="13"/>
  <c r="H65" i="13"/>
  <c r="G65" i="13"/>
  <c r="F65" i="13"/>
  <c r="I64" i="13"/>
  <c r="H64" i="13"/>
  <c r="G64" i="13"/>
  <c r="F64" i="13"/>
  <c r="I63" i="13"/>
  <c r="H63" i="13"/>
  <c r="I62" i="13"/>
  <c r="H62" i="13"/>
  <c r="G62" i="13"/>
  <c r="F62" i="13"/>
  <c r="I61" i="13"/>
  <c r="H61" i="13"/>
  <c r="G61" i="13"/>
  <c r="F61" i="13"/>
  <c r="I60" i="13"/>
  <c r="H60" i="13"/>
  <c r="G60" i="13"/>
  <c r="F60" i="13"/>
  <c r="I59" i="13"/>
  <c r="H59" i="13"/>
  <c r="G59" i="13"/>
  <c r="F59" i="13"/>
  <c r="I58" i="13"/>
  <c r="H58" i="13"/>
  <c r="G58" i="13"/>
  <c r="F58" i="13"/>
  <c r="I57" i="13"/>
  <c r="H57" i="13"/>
  <c r="G57" i="13"/>
  <c r="F57" i="13"/>
  <c r="I56" i="13"/>
  <c r="H56" i="13"/>
  <c r="G56" i="13"/>
  <c r="F56" i="13"/>
  <c r="I55" i="13"/>
  <c r="H55" i="13"/>
  <c r="G55" i="13"/>
  <c r="F55" i="13"/>
  <c r="I54" i="13"/>
  <c r="H54" i="13"/>
  <c r="G54" i="13"/>
  <c r="F54" i="13"/>
  <c r="I53" i="13"/>
  <c r="H53" i="13"/>
  <c r="G53" i="13"/>
  <c r="F53" i="13"/>
  <c r="I52" i="13"/>
  <c r="H52" i="13"/>
  <c r="G52" i="13"/>
  <c r="F52" i="13"/>
  <c r="I51" i="13"/>
  <c r="H51" i="13"/>
  <c r="G51" i="13"/>
  <c r="F51" i="13"/>
  <c r="I50" i="13"/>
  <c r="H50" i="13"/>
  <c r="G50" i="13"/>
  <c r="F50" i="13"/>
  <c r="B41" i="13"/>
  <c r="J6" i="13" s="1"/>
  <c r="P115" i="8"/>
  <c r="P108" i="8"/>
  <c r="P107" i="8"/>
  <c r="X114" i="8"/>
  <c r="X120" i="8" s="1"/>
  <c r="W148" i="6"/>
  <c r="S148" i="6"/>
  <c r="O148" i="6"/>
  <c r="K148" i="6"/>
  <c r="G148" i="6"/>
  <c r="C148" i="6"/>
  <c r="W140" i="6"/>
  <c r="S140" i="6"/>
  <c r="O140" i="6"/>
  <c r="K140" i="6"/>
  <c r="G140" i="6"/>
  <c r="C140" i="6"/>
  <c r="W105" i="8"/>
  <c r="W106" i="8" s="1"/>
  <c r="W107" i="8" s="1"/>
  <c r="W108" i="8" s="1"/>
  <c r="X85" i="8"/>
  <c r="P68" i="8"/>
  <c r="P79" i="8"/>
  <c r="X89" i="8"/>
  <c r="X70" i="8"/>
  <c r="X65" i="8"/>
  <c r="W55" i="8"/>
  <c r="W56" i="8" s="1"/>
  <c r="M61" i="8"/>
  <c r="M71" i="8"/>
  <c r="M81" i="8"/>
  <c r="M91" i="8"/>
  <c r="U200" i="8"/>
  <c r="X199" i="8"/>
  <c r="H199" i="8"/>
  <c r="J198" i="8"/>
  <c r="I198" i="8"/>
  <c r="J197" i="8"/>
  <c r="I197" i="8"/>
  <c r="J196" i="8"/>
  <c r="I196" i="8"/>
  <c r="J195" i="8"/>
  <c r="I195" i="8"/>
  <c r="J194" i="8"/>
  <c r="I194" i="8"/>
  <c r="J193" i="8"/>
  <c r="L193" i="8" s="1"/>
  <c r="I193" i="8"/>
  <c r="X189" i="8"/>
  <c r="H189" i="8"/>
  <c r="J188" i="8"/>
  <c r="I188" i="8"/>
  <c r="J187" i="8"/>
  <c r="I187" i="8"/>
  <c r="J186" i="8"/>
  <c r="I186" i="8"/>
  <c r="J185" i="8"/>
  <c r="I185" i="8"/>
  <c r="J184" i="8"/>
  <c r="I184" i="8"/>
  <c r="J183" i="8"/>
  <c r="L183" i="8" s="1"/>
  <c r="I183" i="8"/>
  <c r="H179" i="8"/>
  <c r="J178" i="8"/>
  <c r="I178" i="8"/>
  <c r="J177" i="8"/>
  <c r="I177" i="8"/>
  <c r="J176" i="8"/>
  <c r="I176" i="8"/>
  <c r="R175" i="8"/>
  <c r="R176" i="8" s="1"/>
  <c r="R177" i="8" s="1"/>
  <c r="R178" i="8" s="1"/>
  <c r="R180" i="8" s="1"/>
  <c r="R183" i="8" s="1"/>
  <c r="R184" i="8" s="1"/>
  <c r="R185" i="8" s="1"/>
  <c r="R186" i="8" s="1"/>
  <c r="R187" i="8" s="1"/>
  <c r="R188" i="8" s="1"/>
  <c r="R190" i="8" s="1"/>
  <c r="R193" i="8" s="1"/>
  <c r="R194" i="8" s="1"/>
  <c r="R195" i="8" s="1"/>
  <c r="R196" i="8" s="1"/>
  <c r="R197" i="8" s="1"/>
  <c r="R198" i="8" s="1"/>
  <c r="R200" i="8" s="1"/>
  <c r="J175" i="8"/>
  <c r="I175" i="8"/>
  <c r="J174" i="8"/>
  <c r="I174" i="8"/>
  <c r="W173" i="8"/>
  <c r="W174" i="8" s="1"/>
  <c r="R173" i="8"/>
  <c r="O173" i="8"/>
  <c r="O174" i="8" s="1"/>
  <c r="O175" i="8" s="1"/>
  <c r="O176" i="8" s="1"/>
  <c r="J173" i="8"/>
  <c r="L173" i="8" s="1"/>
  <c r="I173" i="8"/>
  <c r="H169" i="8"/>
  <c r="I167" i="8"/>
  <c r="J166" i="8"/>
  <c r="I166" i="8"/>
  <c r="J165" i="8"/>
  <c r="I165" i="8"/>
  <c r="J164" i="8"/>
  <c r="I164" i="8"/>
  <c r="J163" i="8"/>
  <c r="I163" i="8"/>
  <c r="R162" i="8"/>
  <c r="R163" i="8" s="1"/>
  <c r="R164" i="8" s="1"/>
  <c r="R165" i="8" s="1"/>
  <c r="R166" i="8" s="1"/>
  <c r="R167" i="8" s="1"/>
  <c r="R170" i="8" s="1"/>
  <c r="O162" i="8"/>
  <c r="J162" i="8"/>
  <c r="L162" i="8" s="1"/>
  <c r="I162" i="8"/>
  <c r="X87" i="8"/>
  <c r="X75" i="8"/>
  <c r="X59" i="8"/>
  <c r="X58" i="8"/>
  <c r="M43" i="8"/>
  <c r="M44" i="8" s="1"/>
  <c r="C90" i="8"/>
  <c r="C89" i="8"/>
  <c r="C88" i="8"/>
  <c r="C87" i="8"/>
  <c r="C86" i="8"/>
  <c r="C85" i="8"/>
  <c r="C80" i="8"/>
  <c r="C79" i="8"/>
  <c r="C78" i="8"/>
  <c r="C77" i="8"/>
  <c r="C76" i="8"/>
  <c r="C75" i="8"/>
  <c r="C70" i="8"/>
  <c r="C69" i="8"/>
  <c r="C68" i="8"/>
  <c r="C67" i="8"/>
  <c r="C66" i="8"/>
  <c r="C65" i="8"/>
  <c r="C57" i="8"/>
  <c r="C59" i="8"/>
  <c r="C58" i="8"/>
  <c r="C56" i="8"/>
  <c r="C55" i="8"/>
  <c r="U141" i="8"/>
  <c r="H140" i="8"/>
  <c r="J139" i="8"/>
  <c r="I139" i="8"/>
  <c r="J138" i="8"/>
  <c r="I138" i="8"/>
  <c r="J137" i="8"/>
  <c r="I137" i="8"/>
  <c r="J136" i="8"/>
  <c r="I136" i="8"/>
  <c r="J135" i="8"/>
  <c r="L135" i="8" s="1"/>
  <c r="I135" i="8"/>
  <c r="J134" i="8"/>
  <c r="L134" i="8" s="1"/>
  <c r="I134" i="8"/>
  <c r="H130" i="8"/>
  <c r="J129" i="8"/>
  <c r="I129" i="8"/>
  <c r="J128" i="8"/>
  <c r="I128" i="8"/>
  <c r="J127" i="8"/>
  <c r="I127" i="8"/>
  <c r="J126" i="8"/>
  <c r="I126" i="8"/>
  <c r="J125" i="8"/>
  <c r="I125" i="8"/>
  <c r="J124" i="8"/>
  <c r="L124" i="8" s="1"/>
  <c r="I124" i="8"/>
  <c r="H120" i="8"/>
  <c r="J119" i="8"/>
  <c r="I119" i="8"/>
  <c r="J118" i="8"/>
  <c r="I118" i="8"/>
  <c r="J117" i="8"/>
  <c r="I117" i="8"/>
  <c r="J116" i="8"/>
  <c r="I116" i="8"/>
  <c r="J115" i="8"/>
  <c r="I115" i="8"/>
  <c r="R114" i="8"/>
  <c r="R115" i="8" s="1"/>
  <c r="R116" i="8" s="1"/>
  <c r="R117" i="8" s="1"/>
  <c r="R118" i="8" s="1"/>
  <c r="R119" i="8" s="1"/>
  <c r="R121" i="8" s="1"/>
  <c r="R124" i="8" s="1"/>
  <c r="R125" i="8" s="1"/>
  <c r="R126" i="8" s="1"/>
  <c r="R127" i="8" s="1"/>
  <c r="R128" i="8" s="1"/>
  <c r="R129" i="8" s="1"/>
  <c r="R131" i="8" s="1"/>
  <c r="R134" i="8" s="1"/>
  <c r="R135" i="8" s="1"/>
  <c r="R136" i="8" s="1"/>
  <c r="R137" i="8" s="1"/>
  <c r="R138" i="8" s="1"/>
  <c r="R139" i="8" s="1"/>
  <c r="R141" i="8" s="1"/>
  <c r="J114" i="8"/>
  <c r="L114" i="8" s="1"/>
  <c r="I114" i="8"/>
  <c r="H110" i="8"/>
  <c r="J109" i="8"/>
  <c r="I109" i="8"/>
  <c r="J108" i="8"/>
  <c r="I108" i="8"/>
  <c r="J107" i="8"/>
  <c r="I107" i="8"/>
  <c r="J106" i="8"/>
  <c r="I106" i="8"/>
  <c r="J105" i="8"/>
  <c r="I105" i="8"/>
  <c r="R104" i="8"/>
  <c r="R105" i="8" s="1"/>
  <c r="R106" i="8" s="1"/>
  <c r="R107" i="8" s="1"/>
  <c r="R108" i="8" s="1"/>
  <c r="R109" i="8" s="1"/>
  <c r="J104" i="8"/>
  <c r="L104" i="8" s="1"/>
  <c r="I104" i="8"/>
  <c r="P90" i="8"/>
  <c r="W137" i="6"/>
  <c r="W129" i="6"/>
  <c r="S137" i="6"/>
  <c r="S129" i="6"/>
  <c r="O137" i="6"/>
  <c r="O129" i="6"/>
  <c r="K137" i="6"/>
  <c r="K129" i="6"/>
  <c r="G137" i="6"/>
  <c r="G129" i="6"/>
  <c r="C137" i="6"/>
  <c r="C129" i="6"/>
  <c r="B1016" i="12"/>
  <c r="J986" i="12" s="1"/>
  <c r="J1003" i="12" s="1"/>
  <c r="F1008" i="12"/>
  <c r="F1007" i="12"/>
  <c r="F1006" i="12"/>
  <c r="F1005" i="12"/>
  <c r="B1003" i="12"/>
  <c r="I1002" i="12"/>
  <c r="H1002" i="12"/>
  <c r="G1002" i="12"/>
  <c r="F1002" i="12"/>
  <c r="I1001" i="12"/>
  <c r="H1001" i="12"/>
  <c r="G1001" i="12"/>
  <c r="F1001" i="12"/>
  <c r="I1000" i="12"/>
  <c r="H1000" i="12"/>
  <c r="G1000" i="12"/>
  <c r="F1000" i="12"/>
  <c r="I999" i="12"/>
  <c r="H999" i="12"/>
  <c r="I998" i="12"/>
  <c r="H998" i="12"/>
  <c r="G998" i="12"/>
  <c r="F998" i="12"/>
  <c r="I997" i="12"/>
  <c r="H997" i="12"/>
  <c r="G997" i="12"/>
  <c r="F997" i="12"/>
  <c r="I996" i="12"/>
  <c r="H996" i="12"/>
  <c r="G996" i="12"/>
  <c r="F996" i="12"/>
  <c r="I995" i="12"/>
  <c r="H995" i="12"/>
  <c r="G995" i="12"/>
  <c r="F995" i="12"/>
  <c r="I994" i="12"/>
  <c r="H994" i="12"/>
  <c r="G994" i="12"/>
  <c r="F994" i="12"/>
  <c r="I993" i="12"/>
  <c r="H993" i="12"/>
  <c r="G993" i="12"/>
  <c r="F993" i="12"/>
  <c r="I992" i="12"/>
  <c r="H992" i="12"/>
  <c r="G992" i="12"/>
  <c r="F992" i="12"/>
  <c r="I991" i="12"/>
  <c r="H991" i="12"/>
  <c r="G991" i="12"/>
  <c r="F991" i="12"/>
  <c r="I990" i="12"/>
  <c r="H990" i="12"/>
  <c r="G990" i="12"/>
  <c r="F990" i="12"/>
  <c r="I989" i="12"/>
  <c r="H989" i="12"/>
  <c r="G989" i="12"/>
  <c r="F989" i="12"/>
  <c r="I988" i="12"/>
  <c r="H988" i="12"/>
  <c r="G988" i="12"/>
  <c r="F988" i="12"/>
  <c r="I987" i="12"/>
  <c r="H987" i="12"/>
  <c r="G987" i="12"/>
  <c r="F987" i="12"/>
  <c r="I986" i="12"/>
  <c r="H986" i="12"/>
  <c r="G986" i="12"/>
  <c r="F986" i="12"/>
  <c r="P89" i="8"/>
  <c r="P88" i="8"/>
  <c r="R74" i="10"/>
  <c r="N74" i="10"/>
  <c r="M74" i="10"/>
  <c r="L74" i="10"/>
  <c r="K74" i="10"/>
  <c r="I74" i="10"/>
  <c r="L73" i="10"/>
  <c r="M73" i="10" s="1"/>
  <c r="K73" i="10"/>
  <c r="I73" i="10"/>
  <c r="N72" i="10"/>
  <c r="M72" i="10"/>
  <c r="L72" i="10"/>
  <c r="K72" i="10"/>
  <c r="I72" i="10"/>
  <c r="M71" i="10"/>
  <c r="N71" i="10" s="1"/>
  <c r="L71" i="10"/>
  <c r="K71" i="10"/>
  <c r="I71" i="10"/>
  <c r="L70" i="10"/>
  <c r="M70" i="10" s="1"/>
  <c r="K70" i="10"/>
  <c r="I70" i="10"/>
  <c r="B978" i="12"/>
  <c r="J943" i="12" s="1"/>
  <c r="J960" i="12" s="1"/>
  <c r="F965" i="12"/>
  <c r="F964" i="12"/>
  <c r="F963" i="12"/>
  <c r="F962" i="12"/>
  <c r="B960" i="12"/>
  <c r="I959" i="12"/>
  <c r="H959" i="12"/>
  <c r="G959" i="12"/>
  <c r="F959" i="12"/>
  <c r="I958" i="12"/>
  <c r="H958" i="12"/>
  <c r="G958" i="12"/>
  <c r="F958" i="12"/>
  <c r="I957" i="12"/>
  <c r="H957" i="12"/>
  <c r="G957" i="12"/>
  <c r="F957" i="12"/>
  <c r="I956" i="12"/>
  <c r="H956" i="12"/>
  <c r="I955" i="12"/>
  <c r="H955" i="12"/>
  <c r="G955" i="12"/>
  <c r="F955" i="12"/>
  <c r="I954" i="12"/>
  <c r="H954" i="12"/>
  <c r="G954" i="12"/>
  <c r="F954" i="12"/>
  <c r="I953" i="12"/>
  <c r="H953" i="12"/>
  <c r="G953" i="12"/>
  <c r="F953" i="12"/>
  <c r="I952" i="12"/>
  <c r="H952" i="12"/>
  <c r="G952" i="12"/>
  <c r="F952" i="12"/>
  <c r="I951" i="12"/>
  <c r="H951" i="12"/>
  <c r="G951" i="12"/>
  <c r="F951" i="12"/>
  <c r="I950" i="12"/>
  <c r="H950" i="12"/>
  <c r="G950" i="12"/>
  <c r="F950" i="12"/>
  <c r="I949" i="12"/>
  <c r="H949" i="12"/>
  <c r="G949" i="12"/>
  <c r="F949" i="12"/>
  <c r="I948" i="12"/>
  <c r="H948" i="12"/>
  <c r="G948" i="12"/>
  <c r="F948" i="12"/>
  <c r="I947" i="12"/>
  <c r="H947" i="12"/>
  <c r="G947" i="12"/>
  <c r="F947" i="12"/>
  <c r="I946" i="12"/>
  <c r="H946" i="12"/>
  <c r="G946" i="12"/>
  <c r="F946" i="12"/>
  <c r="I945" i="12"/>
  <c r="H945" i="12"/>
  <c r="G945" i="12"/>
  <c r="F945" i="12"/>
  <c r="I944" i="12"/>
  <c r="H944" i="12"/>
  <c r="G944" i="12"/>
  <c r="F944" i="12"/>
  <c r="I943" i="12"/>
  <c r="H943" i="12"/>
  <c r="G943" i="12"/>
  <c r="F943" i="12"/>
  <c r="B934" i="12"/>
  <c r="J899" i="12" s="1"/>
  <c r="J916" i="12" s="1"/>
  <c r="F921" i="12"/>
  <c r="F920" i="12"/>
  <c r="F919" i="12"/>
  <c r="F918" i="12"/>
  <c r="B916" i="12"/>
  <c r="I915" i="12"/>
  <c r="H915" i="12"/>
  <c r="G915" i="12"/>
  <c r="F915" i="12"/>
  <c r="I914" i="12"/>
  <c r="H914" i="12"/>
  <c r="G914" i="12"/>
  <c r="F914" i="12"/>
  <c r="I913" i="12"/>
  <c r="H913" i="12"/>
  <c r="G913" i="12"/>
  <c r="F913" i="12"/>
  <c r="I912" i="12"/>
  <c r="H912" i="12"/>
  <c r="I911" i="12"/>
  <c r="H911" i="12"/>
  <c r="G911" i="12"/>
  <c r="F911" i="12"/>
  <c r="I910" i="12"/>
  <c r="H910" i="12"/>
  <c r="G910" i="12"/>
  <c r="F910" i="12"/>
  <c r="I909" i="12"/>
  <c r="H909" i="12"/>
  <c r="G909" i="12"/>
  <c r="F909" i="12"/>
  <c r="I908" i="12"/>
  <c r="H908" i="12"/>
  <c r="G908" i="12"/>
  <c r="F908" i="12"/>
  <c r="I907" i="12"/>
  <c r="H907" i="12"/>
  <c r="G907" i="12"/>
  <c r="F907" i="12"/>
  <c r="I906" i="12"/>
  <c r="H906" i="12"/>
  <c r="G906" i="12"/>
  <c r="F906" i="12"/>
  <c r="I905" i="12"/>
  <c r="H905" i="12"/>
  <c r="G905" i="12"/>
  <c r="F905" i="12"/>
  <c r="I904" i="12"/>
  <c r="H904" i="12"/>
  <c r="G904" i="12"/>
  <c r="F904" i="12"/>
  <c r="I903" i="12"/>
  <c r="H903" i="12"/>
  <c r="G903" i="12"/>
  <c r="F903" i="12"/>
  <c r="I902" i="12"/>
  <c r="H902" i="12"/>
  <c r="G902" i="12"/>
  <c r="F902" i="12"/>
  <c r="I901" i="12"/>
  <c r="H901" i="12"/>
  <c r="G901" i="12"/>
  <c r="F901" i="12"/>
  <c r="I900" i="12"/>
  <c r="H900" i="12"/>
  <c r="G900" i="12"/>
  <c r="F900" i="12"/>
  <c r="I899" i="12"/>
  <c r="H899" i="12"/>
  <c r="G899" i="12"/>
  <c r="F899" i="12"/>
  <c r="B891" i="12"/>
  <c r="F878" i="12"/>
  <c r="F877" i="12"/>
  <c r="F876" i="12"/>
  <c r="F875" i="12"/>
  <c r="B873" i="12"/>
  <c r="I872" i="12"/>
  <c r="H872" i="12"/>
  <c r="G872" i="12"/>
  <c r="F872" i="12"/>
  <c r="I871" i="12"/>
  <c r="H871" i="12"/>
  <c r="G871" i="12"/>
  <c r="F871" i="12"/>
  <c r="I870" i="12"/>
  <c r="H870" i="12"/>
  <c r="G870" i="12"/>
  <c r="F870" i="12"/>
  <c r="I869" i="12"/>
  <c r="H869" i="12"/>
  <c r="I868" i="12"/>
  <c r="H868" i="12"/>
  <c r="G868" i="12"/>
  <c r="F868" i="12"/>
  <c r="I867" i="12"/>
  <c r="H867" i="12"/>
  <c r="G867" i="12"/>
  <c r="F867" i="12"/>
  <c r="I866" i="12"/>
  <c r="H866" i="12"/>
  <c r="G866" i="12"/>
  <c r="F866" i="12"/>
  <c r="I865" i="12"/>
  <c r="H865" i="12"/>
  <c r="G865" i="12"/>
  <c r="F865" i="12"/>
  <c r="I864" i="12"/>
  <c r="H864" i="12"/>
  <c r="G864" i="12"/>
  <c r="F864" i="12"/>
  <c r="I863" i="12"/>
  <c r="H863" i="12"/>
  <c r="G863" i="12"/>
  <c r="F863" i="12"/>
  <c r="I862" i="12"/>
  <c r="H862" i="12"/>
  <c r="G862" i="12"/>
  <c r="F862" i="12"/>
  <c r="I861" i="12"/>
  <c r="H861" i="12"/>
  <c r="G861" i="12"/>
  <c r="F861" i="12"/>
  <c r="I860" i="12"/>
  <c r="H860" i="12"/>
  <c r="G860" i="12"/>
  <c r="F860" i="12"/>
  <c r="I859" i="12"/>
  <c r="H859" i="12"/>
  <c r="G859" i="12"/>
  <c r="F859" i="12"/>
  <c r="I858" i="12"/>
  <c r="H858" i="12"/>
  <c r="G858" i="12"/>
  <c r="F858" i="12"/>
  <c r="I857" i="12"/>
  <c r="H857" i="12"/>
  <c r="G857" i="12"/>
  <c r="F857" i="12"/>
  <c r="J856" i="12"/>
  <c r="J873" i="12" s="1"/>
  <c r="I856" i="12"/>
  <c r="H856" i="12"/>
  <c r="G856" i="12"/>
  <c r="F856" i="12"/>
  <c r="P85" i="8"/>
  <c r="P87" i="8"/>
  <c r="B848" i="12"/>
  <c r="J813" i="12" s="1"/>
  <c r="J830" i="12" s="1"/>
  <c r="F835" i="12"/>
  <c r="F834" i="12"/>
  <c r="F833" i="12"/>
  <c r="F832" i="12"/>
  <c r="B830" i="12"/>
  <c r="I829" i="12"/>
  <c r="H829" i="12"/>
  <c r="G829" i="12"/>
  <c r="F829" i="12"/>
  <c r="I828" i="12"/>
  <c r="H828" i="12"/>
  <c r="G828" i="12"/>
  <c r="F828" i="12"/>
  <c r="I827" i="12"/>
  <c r="H827" i="12"/>
  <c r="G827" i="12"/>
  <c r="F827" i="12"/>
  <c r="I826" i="12"/>
  <c r="H826" i="12"/>
  <c r="I825" i="12"/>
  <c r="H825" i="12"/>
  <c r="G825" i="12"/>
  <c r="F825" i="12"/>
  <c r="I824" i="12"/>
  <c r="H824" i="12"/>
  <c r="G824" i="12"/>
  <c r="F824" i="12"/>
  <c r="I823" i="12"/>
  <c r="H823" i="12"/>
  <c r="G823" i="12"/>
  <c r="F823" i="12"/>
  <c r="I822" i="12"/>
  <c r="H822" i="12"/>
  <c r="G822" i="12"/>
  <c r="F822" i="12"/>
  <c r="I821" i="12"/>
  <c r="H821" i="12"/>
  <c r="G821" i="12"/>
  <c r="F821" i="12"/>
  <c r="I820" i="12"/>
  <c r="H820" i="12"/>
  <c r="G820" i="12"/>
  <c r="F820" i="12"/>
  <c r="I819" i="12"/>
  <c r="H819" i="12"/>
  <c r="G819" i="12"/>
  <c r="F819" i="12"/>
  <c r="I818" i="12"/>
  <c r="H818" i="12"/>
  <c r="G818" i="12"/>
  <c r="F818" i="12"/>
  <c r="I817" i="12"/>
  <c r="H817" i="12"/>
  <c r="G817" i="12"/>
  <c r="F817" i="12"/>
  <c r="I816" i="12"/>
  <c r="H816" i="12"/>
  <c r="G816" i="12"/>
  <c r="F816" i="12"/>
  <c r="I815" i="12"/>
  <c r="H815" i="12"/>
  <c r="G815" i="12"/>
  <c r="F815" i="12"/>
  <c r="I814" i="12"/>
  <c r="H814" i="12"/>
  <c r="G814" i="12"/>
  <c r="F814" i="12"/>
  <c r="I813" i="12"/>
  <c r="H813" i="12"/>
  <c r="G813" i="12"/>
  <c r="F813" i="12"/>
  <c r="B804" i="12"/>
  <c r="J769" i="12" s="1"/>
  <c r="J786" i="12" s="1"/>
  <c r="F791" i="12"/>
  <c r="F790" i="12"/>
  <c r="F789" i="12"/>
  <c r="F788" i="12"/>
  <c r="B786" i="12"/>
  <c r="I785" i="12"/>
  <c r="H785" i="12"/>
  <c r="G785" i="12"/>
  <c r="F785" i="12"/>
  <c r="I784" i="12"/>
  <c r="H784" i="12"/>
  <c r="G784" i="12"/>
  <c r="F784" i="12"/>
  <c r="I783" i="12"/>
  <c r="H783" i="12"/>
  <c r="G783" i="12"/>
  <c r="F783" i="12"/>
  <c r="I782" i="12"/>
  <c r="H782" i="12"/>
  <c r="I781" i="12"/>
  <c r="H781" i="12"/>
  <c r="G781" i="12"/>
  <c r="F781" i="12"/>
  <c r="I780" i="12"/>
  <c r="H780" i="12"/>
  <c r="G780" i="12"/>
  <c r="F780" i="12"/>
  <c r="I779" i="12"/>
  <c r="H779" i="12"/>
  <c r="G779" i="12"/>
  <c r="F779" i="12"/>
  <c r="I778" i="12"/>
  <c r="H778" i="12"/>
  <c r="G778" i="12"/>
  <c r="F778" i="12"/>
  <c r="I777" i="12"/>
  <c r="H777" i="12"/>
  <c r="G777" i="12"/>
  <c r="F777" i="12"/>
  <c r="I776" i="12"/>
  <c r="H776" i="12"/>
  <c r="G776" i="12"/>
  <c r="F776" i="12"/>
  <c r="I775" i="12"/>
  <c r="H775" i="12"/>
  <c r="G775" i="12"/>
  <c r="F775" i="12"/>
  <c r="I774" i="12"/>
  <c r="H774" i="12"/>
  <c r="G774" i="12"/>
  <c r="F774" i="12"/>
  <c r="I773" i="12"/>
  <c r="H773" i="12"/>
  <c r="G773" i="12"/>
  <c r="F773" i="12"/>
  <c r="I772" i="12"/>
  <c r="H772" i="12"/>
  <c r="G772" i="12"/>
  <c r="F772" i="12"/>
  <c r="I771" i="12"/>
  <c r="H771" i="12"/>
  <c r="G771" i="12"/>
  <c r="F771" i="12"/>
  <c r="I770" i="12"/>
  <c r="H770" i="12"/>
  <c r="G770" i="12"/>
  <c r="F770" i="12"/>
  <c r="I769" i="12"/>
  <c r="H769" i="12"/>
  <c r="G769" i="12"/>
  <c r="F769" i="12"/>
  <c r="X80" i="8"/>
  <c r="P86" i="8"/>
  <c r="W125" i="6"/>
  <c r="W117" i="6"/>
  <c r="S125" i="6"/>
  <c r="S117" i="6"/>
  <c r="O125" i="6"/>
  <c r="O117" i="6"/>
  <c r="K125" i="6"/>
  <c r="K117" i="6"/>
  <c r="G125" i="6"/>
  <c r="G117" i="6"/>
  <c r="C125" i="6"/>
  <c r="C117" i="6"/>
  <c r="P80" i="8"/>
  <c r="B761" i="12"/>
  <c r="J731" i="12" s="1"/>
  <c r="J748" i="12" s="1"/>
  <c r="F753" i="12"/>
  <c r="F752" i="12"/>
  <c r="F751" i="12"/>
  <c r="F750" i="12"/>
  <c r="B748" i="12"/>
  <c r="I747" i="12"/>
  <c r="H747" i="12"/>
  <c r="G747" i="12"/>
  <c r="F747" i="12"/>
  <c r="I746" i="12"/>
  <c r="H746" i="12"/>
  <c r="G746" i="12"/>
  <c r="F746" i="12"/>
  <c r="I745" i="12"/>
  <c r="H745" i="12"/>
  <c r="G745" i="12"/>
  <c r="F745" i="12"/>
  <c r="I744" i="12"/>
  <c r="H744" i="12"/>
  <c r="I743" i="12"/>
  <c r="H743" i="12"/>
  <c r="G743" i="12"/>
  <c r="F743" i="12"/>
  <c r="I742" i="12"/>
  <c r="H742" i="12"/>
  <c r="G742" i="12"/>
  <c r="F742" i="12"/>
  <c r="I741" i="12"/>
  <c r="H741" i="12"/>
  <c r="G741" i="12"/>
  <c r="F741" i="12"/>
  <c r="I740" i="12"/>
  <c r="H740" i="12"/>
  <c r="G740" i="12"/>
  <c r="F740" i="12"/>
  <c r="I739" i="12"/>
  <c r="H739" i="12"/>
  <c r="G739" i="12"/>
  <c r="F739" i="12"/>
  <c r="I738" i="12"/>
  <c r="H738" i="12"/>
  <c r="G738" i="12"/>
  <c r="F738" i="12"/>
  <c r="I737" i="12"/>
  <c r="H737" i="12"/>
  <c r="G737" i="12"/>
  <c r="F737" i="12"/>
  <c r="I736" i="12"/>
  <c r="H736" i="12"/>
  <c r="G736" i="12"/>
  <c r="F736" i="12"/>
  <c r="I735" i="12"/>
  <c r="H735" i="12"/>
  <c r="G735" i="12"/>
  <c r="F735" i="12"/>
  <c r="I734" i="12"/>
  <c r="H734" i="12"/>
  <c r="G734" i="12"/>
  <c r="F734" i="12"/>
  <c r="I733" i="12"/>
  <c r="H733" i="12"/>
  <c r="G733" i="12"/>
  <c r="F733" i="12"/>
  <c r="I732" i="12"/>
  <c r="H732" i="12"/>
  <c r="G732" i="12"/>
  <c r="F732" i="12"/>
  <c r="I731" i="12"/>
  <c r="H731" i="12"/>
  <c r="G731" i="12"/>
  <c r="F731" i="12"/>
  <c r="B723" i="12"/>
  <c r="J688" i="12" s="1"/>
  <c r="J705" i="12" s="1"/>
  <c r="F710" i="12"/>
  <c r="F709" i="12"/>
  <c r="F708" i="12"/>
  <c r="F707" i="12"/>
  <c r="B705" i="12"/>
  <c r="I704" i="12"/>
  <c r="H704" i="12"/>
  <c r="G704" i="12"/>
  <c r="F704" i="12"/>
  <c r="I703" i="12"/>
  <c r="H703" i="12"/>
  <c r="G703" i="12"/>
  <c r="F703" i="12"/>
  <c r="I702" i="12"/>
  <c r="H702" i="12"/>
  <c r="G702" i="12"/>
  <c r="F702" i="12"/>
  <c r="I701" i="12"/>
  <c r="H701" i="12"/>
  <c r="I700" i="12"/>
  <c r="H700" i="12"/>
  <c r="G700" i="12"/>
  <c r="F700" i="12"/>
  <c r="I699" i="12"/>
  <c r="H699" i="12"/>
  <c r="G699" i="12"/>
  <c r="F699" i="12"/>
  <c r="I698" i="12"/>
  <c r="H698" i="12"/>
  <c r="G698" i="12"/>
  <c r="F698" i="12"/>
  <c r="I697" i="12"/>
  <c r="H697" i="12"/>
  <c r="G697" i="12"/>
  <c r="F697" i="12"/>
  <c r="I696" i="12"/>
  <c r="H696" i="12"/>
  <c r="G696" i="12"/>
  <c r="F696" i="12"/>
  <c r="I695" i="12"/>
  <c r="H695" i="12"/>
  <c r="G695" i="12"/>
  <c r="F695" i="12"/>
  <c r="I694" i="12"/>
  <c r="H694" i="12"/>
  <c r="G694" i="12"/>
  <c r="F694" i="12"/>
  <c r="I693" i="12"/>
  <c r="H693" i="12"/>
  <c r="G693" i="12"/>
  <c r="F693" i="12"/>
  <c r="I692" i="12"/>
  <c r="H692" i="12"/>
  <c r="G692" i="12"/>
  <c r="F692" i="12"/>
  <c r="I691" i="12"/>
  <c r="H691" i="12"/>
  <c r="G691" i="12"/>
  <c r="F691" i="12"/>
  <c r="I690" i="12"/>
  <c r="H690" i="12"/>
  <c r="G690" i="12"/>
  <c r="F690" i="12"/>
  <c r="I689" i="12"/>
  <c r="H689" i="12"/>
  <c r="G689" i="12"/>
  <c r="F689" i="12"/>
  <c r="I688" i="12"/>
  <c r="H688" i="12"/>
  <c r="G688" i="12"/>
  <c r="F688" i="12"/>
  <c r="B680" i="12"/>
  <c r="J645" i="12" s="1"/>
  <c r="J662" i="12" s="1"/>
  <c r="F667" i="12"/>
  <c r="F666" i="12"/>
  <c r="F665" i="12"/>
  <c r="F664" i="12"/>
  <c r="B662" i="12"/>
  <c r="I661" i="12"/>
  <c r="H661" i="12"/>
  <c r="G661" i="12"/>
  <c r="F661" i="12"/>
  <c r="I660" i="12"/>
  <c r="H660" i="12"/>
  <c r="G660" i="12"/>
  <c r="F660" i="12"/>
  <c r="I659" i="12"/>
  <c r="H659" i="12"/>
  <c r="G659" i="12"/>
  <c r="F659" i="12"/>
  <c r="I658" i="12"/>
  <c r="H658" i="12"/>
  <c r="I657" i="12"/>
  <c r="H657" i="12"/>
  <c r="G657" i="12"/>
  <c r="F657" i="12"/>
  <c r="I656" i="12"/>
  <c r="H656" i="12"/>
  <c r="G656" i="12"/>
  <c r="F656" i="12"/>
  <c r="I655" i="12"/>
  <c r="H655" i="12"/>
  <c r="G655" i="12"/>
  <c r="F655" i="12"/>
  <c r="I654" i="12"/>
  <c r="H654" i="12"/>
  <c r="G654" i="12"/>
  <c r="F654" i="12"/>
  <c r="I653" i="12"/>
  <c r="H653" i="12"/>
  <c r="G653" i="12"/>
  <c r="F653" i="12"/>
  <c r="I652" i="12"/>
  <c r="H652" i="12"/>
  <c r="G652" i="12"/>
  <c r="F652" i="12"/>
  <c r="I651" i="12"/>
  <c r="H651" i="12"/>
  <c r="G651" i="12"/>
  <c r="F651" i="12"/>
  <c r="I650" i="12"/>
  <c r="H650" i="12"/>
  <c r="G650" i="12"/>
  <c r="F650" i="12"/>
  <c r="I649" i="12"/>
  <c r="H649" i="12"/>
  <c r="G649" i="12"/>
  <c r="F649" i="12"/>
  <c r="I648" i="12"/>
  <c r="H648" i="12"/>
  <c r="G648" i="12"/>
  <c r="F648" i="12"/>
  <c r="I647" i="12"/>
  <c r="H647" i="12"/>
  <c r="G647" i="12"/>
  <c r="F647" i="12"/>
  <c r="I646" i="12"/>
  <c r="H646" i="12"/>
  <c r="G646" i="12"/>
  <c r="F646" i="12"/>
  <c r="I645" i="12"/>
  <c r="H645" i="12"/>
  <c r="G645" i="12"/>
  <c r="F645" i="12"/>
  <c r="P78" i="8"/>
  <c r="P77" i="8"/>
  <c r="B637" i="12"/>
  <c r="J602" i="12" s="1"/>
  <c r="J619" i="12" s="1"/>
  <c r="F624" i="12"/>
  <c r="F623" i="12"/>
  <c r="F622" i="12"/>
  <c r="F621" i="12"/>
  <c r="B619" i="12"/>
  <c r="I618" i="12"/>
  <c r="H618" i="12"/>
  <c r="G618" i="12"/>
  <c r="F618" i="12"/>
  <c r="I617" i="12"/>
  <c r="H617" i="12"/>
  <c r="G617" i="12"/>
  <c r="F617" i="12"/>
  <c r="I616" i="12"/>
  <c r="H616" i="12"/>
  <c r="G616" i="12"/>
  <c r="F616" i="12"/>
  <c r="I615" i="12"/>
  <c r="H615" i="12"/>
  <c r="I614" i="12"/>
  <c r="H614" i="12"/>
  <c r="G614" i="12"/>
  <c r="F614" i="12"/>
  <c r="I613" i="12"/>
  <c r="H613" i="12"/>
  <c r="G613" i="12"/>
  <c r="F613" i="12"/>
  <c r="I612" i="12"/>
  <c r="H612" i="12"/>
  <c r="G612" i="12"/>
  <c r="F612" i="12"/>
  <c r="I611" i="12"/>
  <c r="H611" i="12"/>
  <c r="G611" i="12"/>
  <c r="F611" i="12"/>
  <c r="I610" i="12"/>
  <c r="H610" i="12"/>
  <c r="G610" i="12"/>
  <c r="F610" i="12"/>
  <c r="I609" i="12"/>
  <c r="H609" i="12"/>
  <c r="G609" i="12"/>
  <c r="F609" i="12"/>
  <c r="I608" i="12"/>
  <c r="H608" i="12"/>
  <c r="G608" i="12"/>
  <c r="F608" i="12"/>
  <c r="I607" i="12"/>
  <c r="H607" i="12"/>
  <c r="G607" i="12"/>
  <c r="F607" i="12"/>
  <c r="I606" i="12"/>
  <c r="H606" i="12"/>
  <c r="G606" i="12"/>
  <c r="F606" i="12"/>
  <c r="I605" i="12"/>
  <c r="H605" i="12"/>
  <c r="G605" i="12"/>
  <c r="F605" i="12"/>
  <c r="I604" i="12"/>
  <c r="H604" i="12"/>
  <c r="G604" i="12"/>
  <c r="F604" i="12"/>
  <c r="I603" i="12"/>
  <c r="H603" i="12"/>
  <c r="G603" i="12"/>
  <c r="F603" i="12"/>
  <c r="I602" i="12"/>
  <c r="H602" i="12"/>
  <c r="G602" i="12"/>
  <c r="F602" i="12"/>
  <c r="P76" i="8"/>
  <c r="B594" i="12"/>
  <c r="J559" i="12" s="1"/>
  <c r="J576" i="12" s="1"/>
  <c r="F581" i="12"/>
  <c r="F580" i="12"/>
  <c r="F579" i="12"/>
  <c r="F578" i="12"/>
  <c r="B576" i="12"/>
  <c r="I575" i="12"/>
  <c r="H575" i="12"/>
  <c r="G575" i="12"/>
  <c r="F575" i="12"/>
  <c r="I574" i="12"/>
  <c r="H574" i="12"/>
  <c r="G574" i="12"/>
  <c r="F574" i="12"/>
  <c r="I573" i="12"/>
  <c r="H573" i="12"/>
  <c r="G573" i="12"/>
  <c r="F573" i="12"/>
  <c r="I572" i="12"/>
  <c r="H572" i="12"/>
  <c r="I571" i="12"/>
  <c r="H571" i="12"/>
  <c r="G571" i="12"/>
  <c r="F571" i="12"/>
  <c r="I570" i="12"/>
  <c r="H570" i="12"/>
  <c r="G570" i="12"/>
  <c r="F570" i="12"/>
  <c r="I569" i="12"/>
  <c r="H569" i="12"/>
  <c r="G569" i="12"/>
  <c r="F569" i="12"/>
  <c r="I568" i="12"/>
  <c r="H568" i="12"/>
  <c r="G568" i="12"/>
  <c r="F568" i="12"/>
  <c r="I567" i="12"/>
  <c r="H567" i="12"/>
  <c r="G567" i="12"/>
  <c r="F567" i="12"/>
  <c r="I566" i="12"/>
  <c r="H566" i="12"/>
  <c r="G566" i="12"/>
  <c r="F566" i="12"/>
  <c r="I565" i="12"/>
  <c r="H565" i="12"/>
  <c r="G565" i="12"/>
  <c r="F565" i="12"/>
  <c r="I564" i="12"/>
  <c r="H564" i="12"/>
  <c r="G564" i="12"/>
  <c r="F564" i="12"/>
  <c r="I563" i="12"/>
  <c r="H563" i="12"/>
  <c r="G563" i="12"/>
  <c r="F563" i="12"/>
  <c r="I562" i="12"/>
  <c r="H562" i="12"/>
  <c r="G562" i="12"/>
  <c r="F562" i="12"/>
  <c r="I561" i="12"/>
  <c r="H561" i="12"/>
  <c r="G561" i="12"/>
  <c r="F561" i="12"/>
  <c r="I560" i="12"/>
  <c r="H560" i="12"/>
  <c r="G560" i="12"/>
  <c r="F560" i="12"/>
  <c r="I559" i="12"/>
  <c r="H559" i="12"/>
  <c r="G559" i="12"/>
  <c r="F559" i="12"/>
  <c r="P75" i="8"/>
  <c r="X78" i="8"/>
  <c r="P70" i="8"/>
  <c r="W114" i="6"/>
  <c r="W106" i="6"/>
  <c r="S114" i="6"/>
  <c r="S106" i="6"/>
  <c r="O114" i="6"/>
  <c r="O106" i="6"/>
  <c r="K114" i="6"/>
  <c r="K106" i="6"/>
  <c r="G114" i="6"/>
  <c r="G106" i="6"/>
  <c r="C114" i="6"/>
  <c r="C106" i="6"/>
  <c r="P69" i="8"/>
  <c r="P55" i="8"/>
  <c r="P65" i="8"/>
  <c r="B551" i="12"/>
  <c r="J516" i="12" s="1"/>
  <c r="J533" i="12" s="1"/>
  <c r="F538" i="12"/>
  <c r="F537" i="12"/>
  <c r="F536" i="12"/>
  <c r="F535" i="12"/>
  <c r="B533" i="12"/>
  <c r="I532" i="12"/>
  <c r="H532" i="12"/>
  <c r="G532" i="12"/>
  <c r="F532" i="12"/>
  <c r="I531" i="12"/>
  <c r="H531" i="12"/>
  <c r="G531" i="12"/>
  <c r="F531" i="12"/>
  <c r="I530" i="12"/>
  <c r="H530" i="12"/>
  <c r="G530" i="12"/>
  <c r="F530" i="12"/>
  <c r="I529" i="12"/>
  <c r="H529" i="12"/>
  <c r="I528" i="12"/>
  <c r="H528" i="12"/>
  <c r="G528" i="12"/>
  <c r="F528" i="12"/>
  <c r="I527" i="12"/>
  <c r="H527" i="12"/>
  <c r="G527" i="12"/>
  <c r="F527" i="12"/>
  <c r="I526" i="12"/>
  <c r="H526" i="12"/>
  <c r="G526" i="12"/>
  <c r="F526" i="12"/>
  <c r="I525" i="12"/>
  <c r="H525" i="12"/>
  <c r="G525" i="12"/>
  <c r="F525" i="12"/>
  <c r="I524" i="12"/>
  <c r="H524" i="12"/>
  <c r="G524" i="12"/>
  <c r="F524" i="12"/>
  <c r="I523" i="12"/>
  <c r="H523" i="12"/>
  <c r="G523" i="12"/>
  <c r="F523" i="12"/>
  <c r="I522" i="12"/>
  <c r="H522" i="12"/>
  <c r="G522" i="12"/>
  <c r="F522" i="12"/>
  <c r="I521" i="12"/>
  <c r="H521" i="12"/>
  <c r="G521" i="12"/>
  <c r="F521" i="12"/>
  <c r="I520" i="12"/>
  <c r="H520" i="12"/>
  <c r="G520" i="12"/>
  <c r="F520" i="12"/>
  <c r="I519" i="12"/>
  <c r="H519" i="12"/>
  <c r="G519" i="12"/>
  <c r="F519" i="12"/>
  <c r="I518" i="12"/>
  <c r="H518" i="12"/>
  <c r="G518" i="12"/>
  <c r="F518" i="12"/>
  <c r="I517" i="12"/>
  <c r="H517" i="12"/>
  <c r="G517" i="12"/>
  <c r="F517" i="12"/>
  <c r="I516" i="12"/>
  <c r="H516" i="12"/>
  <c r="G516" i="12"/>
  <c r="F516" i="12"/>
  <c r="B508" i="12"/>
  <c r="J479" i="12" s="1"/>
  <c r="J496" i="12" s="1"/>
  <c r="F501" i="12"/>
  <c r="F500" i="12"/>
  <c r="F499" i="12"/>
  <c r="F498" i="12"/>
  <c r="B496" i="12"/>
  <c r="I495" i="12"/>
  <c r="H495" i="12"/>
  <c r="G495" i="12"/>
  <c r="F495" i="12"/>
  <c r="I494" i="12"/>
  <c r="H494" i="12"/>
  <c r="G494" i="12"/>
  <c r="F494" i="12"/>
  <c r="I493" i="12"/>
  <c r="H493" i="12"/>
  <c r="G493" i="12"/>
  <c r="F493" i="12"/>
  <c r="I492" i="12"/>
  <c r="H492" i="12"/>
  <c r="I491" i="12"/>
  <c r="H491" i="12"/>
  <c r="G491" i="12"/>
  <c r="F491" i="12"/>
  <c r="I490" i="12"/>
  <c r="H490" i="12"/>
  <c r="G490" i="12"/>
  <c r="F490" i="12"/>
  <c r="I489" i="12"/>
  <c r="H489" i="12"/>
  <c r="G489" i="12"/>
  <c r="F489" i="12"/>
  <c r="I488" i="12"/>
  <c r="H488" i="12"/>
  <c r="G488" i="12"/>
  <c r="F488" i="12"/>
  <c r="I487" i="12"/>
  <c r="H487" i="12"/>
  <c r="G487" i="12"/>
  <c r="F487" i="12"/>
  <c r="I486" i="12"/>
  <c r="H486" i="12"/>
  <c r="G486" i="12"/>
  <c r="F486" i="12"/>
  <c r="I485" i="12"/>
  <c r="H485" i="12"/>
  <c r="G485" i="12"/>
  <c r="F485" i="12"/>
  <c r="I484" i="12"/>
  <c r="H484" i="12"/>
  <c r="G484" i="12"/>
  <c r="F484" i="12"/>
  <c r="I483" i="12"/>
  <c r="H483" i="12"/>
  <c r="G483" i="12"/>
  <c r="F483" i="12"/>
  <c r="I482" i="12"/>
  <c r="H482" i="12"/>
  <c r="G482" i="12"/>
  <c r="F482" i="12"/>
  <c r="I481" i="12"/>
  <c r="H481" i="12"/>
  <c r="G481" i="12"/>
  <c r="F481" i="12"/>
  <c r="I480" i="12"/>
  <c r="H480" i="12"/>
  <c r="G480" i="12"/>
  <c r="F480" i="12"/>
  <c r="I479" i="12"/>
  <c r="H479" i="12"/>
  <c r="G479" i="12"/>
  <c r="F479" i="12"/>
  <c r="M58" i="10"/>
  <c r="L58" i="10"/>
  <c r="K58" i="10"/>
  <c r="I58" i="10"/>
  <c r="L57" i="10"/>
  <c r="K57" i="10"/>
  <c r="I57" i="10"/>
  <c r="L56" i="10"/>
  <c r="K56" i="10"/>
  <c r="I56" i="10"/>
  <c r="L55" i="10"/>
  <c r="K55" i="10"/>
  <c r="I55" i="10"/>
  <c r="L54" i="10"/>
  <c r="K54" i="10"/>
  <c r="M54" i="10" s="1"/>
  <c r="I54" i="10"/>
  <c r="I42" i="10"/>
  <c r="H40" i="10"/>
  <c r="H41" i="10"/>
  <c r="H42" i="10"/>
  <c r="G40" i="10"/>
  <c r="I40" i="10" s="1"/>
  <c r="G41" i="10"/>
  <c r="I41" i="10" s="1"/>
  <c r="G42" i="10"/>
  <c r="G43" i="10"/>
  <c r="H43" i="10" s="1"/>
  <c r="G39" i="10"/>
  <c r="H39" i="10" s="1"/>
  <c r="B471" i="12"/>
  <c r="F458" i="12"/>
  <c r="F457" i="12"/>
  <c r="F456" i="12"/>
  <c r="F455" i="12"/>
  <c r="B453" i="12"/>
  <c r="I452" i="12"/>
  <c r="H452" i="12"/>
  <c r="G452" i="12"/>
  <c r="F452" i="12"/>
  <c r="I451" i="12"/>
  <c r="H451" i="12"/>
  <c r="G451" i="12"/>
  <c r="F451" i="12"/>
  <c r="I450" i="12"/>
  <c r="H450" i="12"/>
  <c r="G450" i="12"/>
  <c r="F450" i="12"/>
  <c r="I449" i="12"/>
  <c r="H449" i="12"/>
  <c r="I448" i="12"/>
  <c r="H448" i="12"/>
  <c r="G448" i="12"/>
  <c r="F448" i="12"/>
  <c r="I447" i="12"/>
  <c r="H447" i="12"/>
  <c r="G447" i="12"/>
  <c r="F447" i="12"/>
  <c r="I446" i="12"/>
  <c r="H446" i="12"/>
  <c r="G446" i="12"/>
  <c r="F446" i="12"/>
  <c r="I445" i="12"/>
  <c r="H445" i="12"/>
  <c r="G445" i="12"/>
  <c r="F445" i="12"/>
  <c r="I444" i="12"/>
  <c r="H444" i="12"/>
  <c r="G444" i="12"/>
  <c r="F444" i="12"/>
  <c r="I443" i="12"/>
  <c r="H443" i="12"/>
  <c r="G443" i="12"/>
  <c r="F443" i="12"/>
  <c r="I442" i="12"/>
  <c r="H442" i="12"/>
  <c r="G442" i="12"/>
  <c r="F442" i="12"/>
  <c r="I441" i="12"/>
  <c r="H441" i="12"/>
  <c r="G441" i="12"/>
  <c r="F441" i="12"/>
  <c r="I440" i="12"/>
  <c r="H440" i="12"/>
  <c r="G440" i="12"/>
  <c r="F440" i="12"/>
  <c r="I439" i="12"/>
  <c r="H439" i="12"/>
  <c r="G439" i="12"/>
  <c r="F439" i="12"/>
  <c r="I438" i="12"/>
  <c r="H438" i="12"/>
  <c r="G438" i="12"/>
  <c r="F438" i="12"/>
  <c r="I437" i="12"/>
  <c r="H437" i="12"/>
  <c r="G437" i="12"/>
  <c r="F437" i="12"/>
  <c r="J436" i="12"/>
  <c r="J453" i="12" s="1"/>
  <c r="I436" i="12"/>
  <c r="H436" i="12"/>
  <c r="G436" i="12"/>
  <c r="F436" i="12"/>
  <c r="B428" i="12"/>
  <c r="J393" i="12" s="1"/>
  <c r="J410" i="12" s="1"/>
  <c r="F415" i="12"/>
  <c r="F414" i="12"/>
  <c r="F413" i="12"/>
  <c r="F412" i="12"/>
  <c r="B410" i="12"/>
  <c r="I409" i="12"/>
  <c r="H409" i="12"/>
  <c r="G409" i="12"/>
  <c r="F409" i="12"/>
  <c r="I408" i="12"/>
  <c r="H408" i="12"/>
  <c r="G408" i="12"/>
  <c r="F408" i="12"/>
  <c r="I407" i="12"/>
  <c r="H407" i="12"/>
  <c r="G407" i="12"/>
  <c r="F407" i="12"/>
  <c r="I406" i="12"/>
  <c r="H406" i="12"/>
  <c r="I405" i="12"/>
  <c r="H405" i="12"/>
  <c r="G405" i="12"/>
  <c r="F405" i="12"/>
  <c r="I404" i="12"/>
  <c r="H404" i="12"/>
  <c r="G404" i="12"/>
  <c r="F404" i="12"/>
  <c r="I403" i="12"/>
  <c r="H403" i="12"/>
  <c r="G403" i="12"/>
  <c r="F403" i="12"/>
  <c r="I402" i="12"/>
  <c r="H402" i="12"/>
  <c r="G402" i="12"/>
  <c r="F402" i="12"/>
  <c r="I401" i="12"/>
  <c r="H401" i="12"/>
  <c r="G401" i="12"/>
  <c r="F401" i="12"/>
  <c r="I400" i="12"/>
  <c r="H400" i="12"/>
  <c r="G400" i="12"/>
  <c r="F400" i="12"/>
  <c r="I399" i="12"/>
  <c r="H399" i="12"/>
  <c r="G399" i="12"/>
  <c r="F399" i="12"/>
  <c r="I398" i="12"/>
  <c r="H398" i="12"/>
  <c r="G398" i="12"/>
  <c r="F398" i="12"/>
  <c r="I397" i="12"/>
  <c r="H397" i="12"/>
  <c r="G397" i="12"/>
  <c r="F397" i="12"/>
  <c r="I396" i="12"/>
  <c r="H396" i="12"/>
  <c r="G396" i="12"/>
  <c r="F396" i="12"/>
  <c r="I395" i="12"/>
  <c r="H395" i="12"/>
  <c r="G395" i="12"/>
  <c r="F395" i="12"/>
  <c r="I394" i="12"/>
  <c r="H394" i="12"/>
  <c r="G394" i="12"/>
  <c r="F394" i="12"/>
  <c r="I393" i="12"/>
  <c r="H393" i="12"/>
  <c r="G393" i="12"/>
  <c r="F393" i="12"/>
  <c r="P67" i="8"/>
  <c r="P66" i="8"/>
  <c r="B384" i="12"/>
  <c r="J349" i="12" s="1"/>
  <c r="J366" i="12" s="1"/>
  <c r="F371" i="12"/>
  <c r="F370" i="12"/>
  <c r="F369" i="12"/>
  <c r="F368" i="12"/>
  <c r="B366" i="12"/>
  <c r="I365" i="12"/>
  <c r="H365" i="12"/>
  <c r="G365" i="12"/>
  <c r="F365" i="12"/>
  <c r="I364" i="12"/>
  <c r="H364" i="12"/>
  <c r="G364" i="12"/>
  <c r="F364" i="12"/>
  <c r="I363" i="12"/>
  <c r="H363" i="12"/>
  <c r="G363" i="12"/>
  <c r="F363" i="12"/>
  <c r="I362" i="12"/>
  <c r="H362" i="12"/>
  <c r="I361" i="12"/>
  <c r="H361" i="12"/>
  <c r="G361" i="12"/>
  <c r="F361" i="12"/>
  <c r="I360" i="12"/>
  <c r="H360" i="12"/>
  <c r="G360" i="12"/>
  <c r="F360" i="12"/>
  <c r="I359" i="12"/>
  <c r="H359" i="12"/>
  <c r="G359" i="12"/>
  <c r="F359" i="12"/>
  <c r="I358" i="12"/>
  <c r="H358" i="12"/>
  <c r="G358" i="12"/>
  <c r="F358" i="12"/>
  <c r="I357" i="12"/>
  <c r="H357" i="12"/>
  <c r="G357" i="12"/>
  <c r="F357" i="12"/>
  <c r="I356" i="12"/>
  <c r="H356" i="12"/>
  <c r="G356" i="12"/>
  <c r="F356" i="12"/>
  <c r="I355" i="12"/>
  <c r="H355" i="12"/>
  <c r="G355" i="12"/>
  <c r="F355" i="12"/>
  <c r="I354" i="12"/>
  <c r="H354" i="12"/>
  <c r="G354" i="12"/>
  <c r="F354" i="12"/>
  <c r="I353" i="12"/>
  <c r="H353" i="12"/>
  <c r="G353" i="12"/>
  <c r="F353" i="12"/>
  <c r="I352" i="12"/>
  <c r="H352" i="12"/>
  <c r="G352" i="12"/>
  <c r="F352" i="12"/>
  <c r="I351" i="12"/>
  <c r="H351" i="12"/>
  <c r="G351" i="12"/>
  <c r="F351" i="12"/>
  <c r="I350" i="12"/>
  <c r="H350" i="12"/>
  <c r="G350" i="12"/>
  <c r="F350" i="12"/>
  <c r="I349" i="12"/>
  <c r="H349" i="12"/>
  <c r="G349" i="12"/>
  <c r="F349" i="12"/>
  <c r="B341" i="12"/>
  <c r="J306" i="12" s="1"/>
  <c r="J323" i="12" s="1"/>
  <c r="F328" i="12"/>
  <c r="F327" i="12"/>
  <c r="F326" i="12"/>
  <c r="F325" i="12"/>
  <c r="B323" i="12"/>
  <c r="I322" i="12"/>
  <c r="H322" i="12"/>
  <c r="G322" i="12"/>
  <c r="F322" i="12"/>
  <c r="I321" i="12"/>
  <c r="H321" i="12"/>
  <c r="G321" i="12"/>
  <c r="F321" i="12"/>
  <c r="I320" i="12"/>
  <c r="H320" i="12"/>
  <c r="G320" i="12"/>
  <c r="F320" i="12"/>
  <c r="I319" i="12"/>
  <c r="H319" i="12"/>
  <c r="I318" i="12"/>
  <c r="H318" i="12"/>
  <c r="G318" i="12"/>
  <c r="F318" i="12"/>
  <c r="I317" i="12"/>
  <c r="H317" i="12"/>
  <c r="G317" i="12"/>
  <c r="F317" i="12"/>
  <c r="I316" i="12"/>
  <c r="H316" i="12"/>
  <c r="G316" i="12"/>
  <c r="F316" i="12"/>
  <c r="I315" i="12"/>
  <c r="H315" i="12"/>
  <c r="G315" i="12"/>
  <c r="F315" i="12"/>
  <c r="I314" i="12"/>
  <c r="H314" i="12"/>
  <c r="G314" i="12"/>
  <c r="F314" i="12"/>
  <c r="I313" i="12"/>
  <c r="H313" i="12"/>
  <c r="G313" i="12"/>
  <c r="F313" i="12"/>
  <c r="I312" i="12"/>
  <c r="H312" i="12"/>
  <c r="G312" i="12"/>
  <c r="F312" i="12"/>
  <c r="I311" i="12"/>
  <c r="H311" i="12"/>
  <c r="G311" i="12"/>
  <c r="F311" i="12"/>
  <c r="I310" i="12"/>
  <c r="H310" i="12"/>
  <c r="G310" i="12"/>
  <c r="F310" i="12"/>
  <c r="I309" i="12"/>
  <c r="H309" i="12"/>
  <c r="G309" i="12"/>
  <c r="F309" i="12"/>
  <c r="I308" i="12"/>
  <c r="H308" i="12"/>
  <c r="G308" i="12"/>
  <c r="F308" i="12"/>
  <c r="I307" i="12"/>
  <c r="H307" i="12"/>
  <c r="G307" i="12"/>
  <c r="F307" i="12"/>
  <c r="I306" i="12"/>
  <c r="H306" i="12"/>
  <c r="G306" i="12"/>
  <c r="F306" i="12"/>
  <c r="B298" i="12"/>
  <c r="J263" i="12" s="1"/>
  <c r="J280" i="12" s="1"/>
  <c r="F285" i="12"/>
  <c r="F284" i="12"/>
  <c r="F283" i="12"/>
  <c r="F282" i="12"/>
  <c r="B280" i="12"/>
  <c r="I279" i="12"/>
  <c r="H279" i="12"/>
  <c r="G279" i="12"/>
  <c r="F279" i="12"/>
  <c r="I278" i="12"/>
  <c r="H278" i="12"/>
  <c r="G278" i="12"/>
  <c r="F278" i="12"/>
  <c r="I277" i="12"/>
  <c r="H277" i="12"/>
  <c r="G277" i="12"/>
  <c r="F277" i="12"/>
  <c r="I276" i="12"/>
  <c r="H276" i="12"/>
  <c r="I275" i="12"/>
  <c r="H275" i="12"/>
  <c r="G275" i="12"/>
  <c r="F275" i="12"/>
  <c r="I274" i="12"/>
  <c r="H274" i="12"/>
  <c r="G274" i="12"/>
  <c r="F274" i="12"/>
  <c r="I273" i="12"/>
  <c r="H273" i="12"/>
  <c r="G273" i="12"/>
  <c r="F273" i="12"/>
  <c r="I272" i="12"/>
  <c r="H272" i="12"/>
  <c r="G272" i="12"/>
  <c r="F272" i="12"/>
  <c r="I271" i="12"/>
  <c r="H271" i="12"/>
  <c r="G271" i="12"/>
  <c r="F271" i="12"/>
  <c r="I270" i="12"/>
  <c r="H270" i="12"/>
  <c r="G270" i="12"/>
  <c r="F270" i="12"/>
  <c r="I269" i="12"/>
  <c r="H269" i="12"/>
  <c r="G269" i="12"/>
  <c r="F269" i="12"/>
  <c r="I268" i="12"/>
  <c r="H268" i="12"/>
  <c r="G268" i="12"/>
  <c r="F268" i="12"/>
  <c r="I267" i="12"/>
  <c r="H267" i="12"/>
  <c r="G267" i="12"/>
  <c r="F267" i="12"/>
  <c r="I266" i="12"/>
  <c r="H266" i="12"/>
  <c r="G266" i="12"/>
  <c r="F266" i="12"/>
  <c r="I265" i="12"/>
  <c r="H265" i="12"/>
  <c r="G265" i="12"/>
  <c r="F265" i="12"/>
  <c r="I264" i="12"/>
  <c r="H264" i="12"/>
  <c r="G264" i="12"/>
  <c r="F264" i="12"/>
  <c r="I263" i="12"/>
  <c r="H263" i="12"/>
  <c r="G263" i="12"/>
  <c r="F263" i="12"/>
  <c r="X43" i="8"/>
  <c r="P38" i="8"/>
  <c r="P28" i="8"/>
  <c r="P32" i="8"/>
  <c r="X28" i="8"/>
  <c r="P39" i="8"/>
  <c r="P6" i="8"/>
  <c r="S38" i="8"/>
  <c r="S44" i="8" s="1"/>
  <c r="H12" i="8"/>
  <c r="H23" i="8"/>
  <c r="H34" i="8"/>
  <c r="H44" i="8"/>
  <c r="S23" i="8"/>
  <c r="S12" i="8"/>
  <c r="M23" i="8"/>
  <c r="X32" i="8"/>
  <c r="X22" i="8"/>
  <c r="X11" i="8"/>
  <c r="X10" i="8"/>
  <c r="X8" i="8"/>
  <c r="U13" i="8"/>
  <c r="E44" i="8"/>
  <c r="D44" i="8"/>
  <c r="E34" i="8"/>
  <c r="D34" i="8"/>
  <c r="E23" i="8"/>
  <c r="D23" i="8"/>
  <c r="E12" i="8"/>
  <c r="D12" i="8"/>
  <c r="B255" i="12"/>
  <c r="J226" i="12" s="1"/>
  <c r="J243" i="12" s="1"/>
  <c r="F248" i="12"/>
  <c r="F247" i="12"/>
  <c r="F246" i="12"/>
  <c r="F245" i="12"/>
  <c r="B243" i="12"/>
  <c r="I242" i="12"/>
  <c r="H242" i="12"/>
  <c r="G242" i="12"/>
  <c r="F242" i="12"/>
  <c r="I241" i="12"/>
  <c r="H241" i="12"/>
  <c r="G241" i="12"/>
  <c r="F241" i="12"/>
  <c r="I240" i="12"/>
  <c r="H240" i="12"/>
  <c r="G240" i="12"/>
  <c r="F240" i="12"/>
  <c r="I239" i="12"/>
  <c r="H239" i="12"/>
  <c r="I238" i="12"/>
  <c r="H238" i="12"/>
  <c r="G238" i="12"/>
  <c r="F238" i="12"/>
  <c r="I237" i="12"/>
  <c r="H237" i="12"/>
  <c r="G237" i="12"/>
  <c r="F237" i="12"/>
  <c r="I236" i="12"/>
  <c r="H236" i="12"/>
  <c r="G236" i="12"/>
  <c r="F236" i="12"/>
  <c r="I235" i="12"/>
  <c r="H235" i="12"/>
  <c r="G235" i="12"/>
  <c r="F235" i="12"/>
  <c r="I234" i="12"/>
  <c r="H234" i="12"/>
  <c r="G234" i="12"/>
  <c r="F234" i="12"/>
  <c r="I233" i="12"/>
  <c r="H233" i="12"/>
  <c r="G233" i="12"/>
  <c r="F233" i="12"/>
  <c r="I232" i="12"/>
  <c r="H232" i="12"/>
  <c r="G232" i="12"/>
  <c r="F232" i="12"/>
  <c r="I231" i="12"/>
  <c r="H231" i="12"/>
  <c r="G231" i="12"/>
  <c r="F231" i="12"/>
  <c r="I230" i="12"/>
  <c r="H230" i="12"/>
  <c r="G230" i="12"/>
  <c r="F230" i="12"/>
  <c r="I229" i="12"/>
  <c r="H229" i="12"/>
  <c r="G229" i="12"/>
  <c r="F229" i="12"/>
  <c r="I228" i="12"/>
  <c r="H228" i="12"/>
  <c r="G228" i="12"/>
  <c r="F228" i="12"/>
  <c r="I227" i="12"/>
  <c r="H227" i="12"/>
  <c r="G227" i="12"/>
  <c r="F227" i="12"/>
  <c r="I226" i="12"/>
  <c r="H226" i="12"/>
  <c r="G226" i="12"/>
  <c r="F226" i="12"/>
  <c r="B218" i="12"/>
  <c r="J182" i="12" s="1"/>
  <c r="J199" i="12" s="1"/>
  <c r="F204" i="12"/>
  <c r="F203" i="12"/>
  <c r="F202" i="12"/>
  <c r="F201" i="12"/>
  <c r="B199" i="12"/>
  <c r="I198" i="12"/>
  <c r="H198" i="12"/>
  <c r="G198" i="12"/>
  <c r="F198" i="12"/>
  <c r="I197" i="12"/>
  <c r="H197" i="12"/>
  <c r="G197" i="12"/>
  <c r="F197" i="12"/>
  <c r="I196" i="12"/>
  <c r="H196" i="12"/>
  <c r="G196" i="12"/>
  <c r="F196" i="12"/>
  <c r="I195" i="12"/>
  <c r="H195" i="12"/>
  <c r="I194" i="12"/>
  <c r="H194" i="12"/>
  <c r="G194" i="12"/>
  <c r="F194" i="12"/>
  <c r="I193" i="12"/>
  <c r="H193" i="12"/>
  <c r="G193" i="12"/>
  <c r="F193" i="12"/>
  <c r="I192" i="12"/>
  <c r="H192" i="12"/>
  <c r="G192" i="12"/>
  <c r="F192" i="12"/>
  <c r="I191" i="12"/>
  <c r="H191" i="12"/>
  <c r="G191" i="12"/>
  <c r="F191" i="12"/>
  <c r="I190" i="12"/>
  <c r="H190" i="12"/>
  <c r="G190" i="12"/>
  <c r="F190" i="12"/>
  <c r="I189" i="12"/>
  <c r="H189" i="12"/>
  <c r="G189" i="12"/>
  <c r="F189" i="12"/>
  <c r="I188" i="12"/>
  <c r="H188" i="12"/>
  <c r="G188" i="12"/>
  <c r="F188" i="12"/>
  <c r="I187" i="12"/>
  <c r="H187" i="12"/>
  <c r="G187" i="12"/>
  <c r="F187" i="12"/>
  <c r="I186" i="12"/>
  <c r="H186" i="12"/>
  <c r="G186" i="12"/>
  <c r="F186" i="12"/>
  <c r="I185" i="12"/>
  <c r="H185" i="12"/>
  <c r="G185" i="12"/>
  <c r="F185" i="12"/>
  <c r="I184" i="12"/>
  <c r="H184" i="12"/>
  <c r="G184" i="12"/>
  <c r="F184" i="12"/>
  <c r="I183" i="12"/>
  <c r="H183" i="12"/>
  <c r="G183" i="12"/>
  <c r="F183" i="12"/>
  <c r="I182" i="12"/>
  <c r="H182" i="12"/>
  <c r="G182" i="12"/>
  <c r="F182" i="12"/>
  <c r="P60" i="8"/>
  <c r="P59" i="8"/>
  <c r="P58" i="8"/>
  <c r="B174" i="12"/>
  <c r="J138" i="12" s="1"/>
  <c r="J155" i="12" s="1"/>
  <c r="F160" i="12"/>
  <c r="F159" i="12"/>
  <c r="F158" i="12"/>
  <c r="F157" i="12"/>
  <c r="B155" i="12"/>
  <c r="I154" i="12"/>
  <c r="H154" i="12"/>
  <c r="G154" i="12"/>
  <c r="F154" i="12"/>
  <c r="I153" i="12"/>
  <c r="H153" i="12"/>
  <c r="G153" i="12"/>
  <c r="F153" i="12"/>
  <c r="I152" i="12"/>
  <c r="H152" i="12"/>
  <c r="G152" i="12"/>
  <c r="F152" i="12"/>
  <c r="I151" i="12"/>
  <c r="H151" i="12"/>
  <c r="I150" i="12"/>
  <c r="H150" i="12"/>
  <c r="G150" i="12"/>
  <c r="F150" i="12"/>
  <c r="I149" i="12"/>
  <c r="H149" i="12"/>
  <c r="G149" i="12"/>
  <c r="F149" i="12"/>
  <c r="I148" i="12"/>
  <c r="H148" i="12"/>
  <c r="G148" i="12"/>
  <c r="F148" i="12"/>
  <c r="I147" i="12"/>
  <c r="H147" i="12"/>
  <c r="G147" i="12"/>
  <c r="F147" i="12"/>
  <c r="I146" i="12"/>
  <c r="H146" i="12"/>
  <c r="G146" i="12"/>
  <c r="F146" i="12"/>
  <c r="I145" i="12"/>
  <c r="H145" i="12"/>
  <c r="G145" i="12"/>
  <c r="F145" i="12"/>
  <c r="I144" i="12"/>
  <c r="H144" i="12"/>
  <c r="G144" i="12"/>
  <c r="F144" i="12"/>
  <c r="I143" i="12"/>
  <c r="H143" i="12"/>
  <c r="G143" i="12"/>
  <c r="F143" i="12"/>
  <c r="I142" i="12"/>
  <c r="H142" i="12"/>
  <c r="G142" i="12"/>
  <c r="F142" i="12"/>
  <c r="I141" i="12"/>
  <c r="H141" i="12"/>
  <c r="G141" i="12"/>
  <c r="F141" i="12"/>
  <c r="I140" i="12"/>
  <c r="H140" i="12"/>
  <c r="G140" i="12"/>
  <c r="F140" i="12"/>
  <c r="I139" i="12"/>
  <c r="H139" i="12"/>
  <c r="G139" i="12"/>
  <c r="F139" i="12"/>
  <c r="I138" i="12"/>
  <c r="H138" i="12"/>
  <c r="G138" i="12"/>
  <c r="F138" i="12"/>
  <c r="P57" i="8"/>
  <c r="B130" i="12"/>
  <c r="J94" i="12" s="1"/>
  <c r="J111" i="12" s="1"/>
  <c r="F116" i="12"/>
  <c r="F115" i="12"/>
  <c r="F114" i="12"/>
  <c r="F113" i="12"/>
  <c r="B111" i="12"/>
  <c r="I110" i="12"/>
  <c r="H110" i="12"/>
  <c r="G110" i="12"/>
  <c r="F110" i="12"/>
  <c r="I109" i="12"/>
  <c r="H109" i="12"/>
  <c r="G109" i="12"/>
  <c r="F109" i="12"/>
  <c r="I108" i="12"/>
  <c r="H108" i="12"/>
  <c r="G108" i="12"/>
  <c r="F108" i="12"/>
  <c r="I107" i="12"/>
  <c r="H107" i="12"/>
  <c r="I106" i="12"/>
  <c r="H106" i="12"/>
  <c r="G106" i="12"/>
  <c r="F106" i="12"/>
  <c r="I105" i="12"/>
  <c r="H105" i="12"/>
  <c r="G105" i="12"/>
  <c r="F105" i="12"/>
  <c r="I104" i="12"/>
  <c r="H104" i="12"/>
  <c r="G104" i="12"/>
  <c r="F104" i="12"/>
  <c r="I103" i="12"/>
  <c r="H103" i="12"/>
  <c r="G103" i="12"/>
  <c r="F103" i="12"/>
  <c r="I102" i="12"/>
  <c r="H102" i="12"/>
  <c r="G102" i="12"/>
  <c r="F102" i="12"/>
  <c r="I101" i="12"/>
  <c r="H101" i="12"/>
  <c r="G101" i="12"/>
  <c r="F101" i="12"/>
  <c r="I100" i="12"/>
  <c r="H100" i="12"/>
  <c r="G100" i="12"/>
  <c r="F100" i="12"/>
  <c r="I99" i="12"/>
  <c r="H99" i="12"/>
  <c r="G99" i="12"/>
  <c r="F99" i="12"/>
  <c r="I98" i="12"/>
  <c r="H98" i="12"/>
  <c r="G98" i="12"/>
  <c r="F98" i="12"/>
  <c r="I97" i="12"/>
  <c r="H97" i="12"/>
  <c r="G97" i="12"/>
  <c r="F97" i="12"/>
  <c r="I96" i="12"/>
  <c r="H96" i="12"/>
  <c r="G96" i="12"/>
  <c r="F96" i="12"/>
  <c r="I95" i="12"/>
  <c r="H95" i="12"/>
  <c r="G95" i="12"/>
  <c r="F95" i="12"/>
  <c r="I94" i="12"/>
  <c r="H94" i="12"/>
  <c r="G94" i="12"/>
  <c r="F94" i="12"/>
  <c r="B86" i="12"/>
  <c r="J50" i="12" s="1"/>
  <c r="J67" i="12" s="1"/>
  <c r="F72" i="12"/>
  <c r="F71" i="12"/>
  <c r="F70" i="12"/>
  <c r="F69" i="12"/>
  <c r="B67" i="12"/>
  <c r="I66" i="12"/>
  <c r="H66" i="12"/>
  <c r="G66" i="12"/>
  <c r="F66" i="12"/>
  <c r="I65" i="12"/>
  <c r="H65" i="12"/>
  <c r="G65" i="12"/>
  <c r="F65" i="12"/>
  <c r="I64" i="12"/>
  <c r="H64" i="12"/>
  <c r="G64" i="12"/>
  <c r="F64" i="12"/>
  <c r="I63" i="12"/>
  <c r="H63" i="12"/>
  <c r="I62" i="12"/>
  <c r="H62" i="12"/>
  <c r="G62" i="12"/>
  <c r="F62" i="12"/>
  <c r="I61" i="12"/>
  <c r="H61" i="12"/>
  <c r="G61" i="12"/>
  <c r="F61" i="12"/>
  <c r="I60" i="12"/>
  <c r="H60" i="12"/>
  <c r="G60" i="12"/>
  <c r="F60" i="12"/>
  <c r="I59" i="12"/>
  <c r="H59" i="12"/>
  <c r="G59" i="12"/>
  <c r="F59" i="12"/>
  <c r="I58" i="12"/>
  <c r="H58" i="12"/>
  <c r="G58" i="12"/>
  <c r="F58" i="12"/>
  <c r="I57" i="12"/>
  <c r="H57" i="12"/>
  <c r="G57" i="12"/>
  <c r="F57" i="12"/>
  <c r="I56" i="12"/>
  <c r="H56" i="12"/>
  <c r="G56" i="12"/>
  <c r="F56" i="12"/>
  <c r="I55" i="12"/>
  <c r="H55" i="12"/>
  <c r="G55" i="12"/>
  <c r="F55" i="12"/>
  <c r="I54" i="12"/>
  <c r="H54" i="12"/>
  <c r="G54" i="12"/>
  <c r="F54" i="12"/>
  <c r="I53" i="12"/>
  <c r="H53" i="12"/>
  <c r="G53" i="12"/>
  <c r="F53" i="12"/>
  <c r="I52" i="12"/>
  <c r="H52" i="12"/>
  <c r="G52" i="12"/>
  <c r="F52" i="12"/>
  <c r="I51" i="12"/>
  <c r="H51" i="12"/>
  <c r="G51" i="12"/>
  <c r="F51" i="12"/>
  <c r="I50" i="12"/>
  <c r="H50" i="12"/>
  <c r="G50" i="12"/>
  <c r="F50" i="12"/>
  <c r="B42" i="12"/>
  <c r="P56" i="8"/>
  <c r="G44" i="8"/>
  <c r="G34" i="8"/>
  <c r="G23" i="8"/>
  <c r="G12" i="8"/>
  <c r="J33" i="8"/>
  <c r="I33" i="8"/>
  <c r="B968" i="5"/>
  <c r="J938" i="5" s="1"/>
  <c r="J955" i="5" s="1"/>
  <c r="I960" i="5"/>
  <c r="F960" i="5"/>
  <c r="I959" i="5"/>
  <c r="F959" i="5"/>
  <c r="I958" i="5"/>
  <c r="F958" i="5"/>
  <c r="I957" i="5"/>
  <c r="F957" i="5"/>
  <c r="I956" i="5"/>
  <c r="B955" i="5"/>
  <c r="I954" i="5"/>
  <c r="H954" i="5"/>
  <c r="G954" i="5"/>
  <c r="F954" i="5"/>
  <c r="I953" i="5"/>
  <c r="H953" i="5"/>
  <c r="G953" i="5"/>
  <c r="F953" i="5"/>
  <c r="I952" i="5"/>
  <c r="H952" i="5"/>
  <c r="G952" i="5"/>
  <c r="F952" i="5"/>
  <c r="I950" i="5"/>
  <c r="H950" i="5"/>
  <c r="G950" i="5"/>
  <c r="F950" i="5"/>
  <c r="I949" i="5"/>
  <c r="H949" i="5"/>
  <c r="G949" i="5"/>
  <c r="F949" i="5"/>
  <c r="I948" i="5"/>
  <c r="H948" i="5"/>
  <c r="G948" i="5"/>
  <c r="F948" i="5"/>
  <c r="I947" i="5"/>
  <c r="H947" i="5"/>
  <c r="G947" i="5"/>
  <c r="F947" i="5"/>
  <c r="I946" i="5"/>
  <c r="H946" i="5"/>
  <c r="G946" i="5"/>
  <c r="F946" i="5"/>
  <c r="I945" i="5"/>
  <c r="H945" i="5"/>
  <c r="G945" i="5"/>
  <c r="F945" i="5"/>
  <c r="I944" i="5"/>
  <c r="H944" i="5"/>
  <c r="G944" i="5"/>
  <c r="F944" i="5"/>
  <c r="I943" i="5"/>
  <c r="H943" i="5"/>
  <c r="G943" i="5"/>
  <c r="F943" i="5"/>
  <c r="I942" i="5"/>
  <c r="H942" i="5"/>
  <c r="G942" i="5"/>
  <c r="F942" i="5"/>
  <c r="I941" i="5"/>
  <c r="H941" i="5"/>
  <c r="G941" i="5"/>
  <c r="F941" i="5"/>
  <c r="I940" i="5"/>
  <c r="H940" i="5"/>
  <c r="G940" i="5"/>
  <c r="F940" i="5"/>
  <c r="I939" i="5"/>
  <c r="H939" i="5"/>
  <c r="G939" i="5"/>
  <c r="F939" i="5"/>
  <c r="I938" i="5"/>
  <c r="H938" i="5"/>
  <c r="G938" i="5"/>
  <c r="F938" i="5"/>
  <c r="P43" i="8"/>
  <c r="Q30" i="10"/>
  <c r="L29" i="10"/>
  <c r="K29" i="10"/>
  <c r="I29" i="10"/>
  <c r="L28" i="10"/>
  <c r="K28" i="10"/>
  <c r="I28" i="10"/>
  <c r="L27" i="10"/>
  <c r="K27" i="10"/>
  <c r="I27" i="10"/>
  <c r="L26" i="10"/>
  <c r="K26" i="10"/>
  <c r="I26" i="10"/>
  <c r="L25" i="10"/>
  <c r="M25" i="10" s="1"/>
  <c r="K25" i="10"/>
  <c r="I25" i="10"/>
  <c r="P42" i="8"/>
  <c r="B932" i="5"/>
  <c r="J895" i="5" s="1"/>
  <c r="J912" i="5" s="1"/>
  <c r="I917" i="5"/>
  <c r="F917" i="5"/>
  <c r="I916" i="5"/>
  <c r="F916" i="5"/>
  <c r="I915" i="5"/>
  <c r="F915" i="5"/>
  <c r="I914" i="5"/>
  <c r="F914" i="5"/>
  <c r="I913" i="5"/>
  <c r="B912" i="5"/>
  <c r="I911" i="5"/>
  <c r="H911" i="5"/>
  <c r="G911" i="5"/>
  <c r="F911" i="5"/>
  <c r="I910" i="5"/>
  <c r="H910" i="5"/>
  <c r="G910" i="5"/>
  <c r="F910" i="5"/>
  <c r="I909" i="5"/>
  <c r="H909" i="5"/>
  <c r="G909" i="5"/>
  <c r="F909" i="5"/>
  <c r="I907" i="5"/>
  <c r="H907" i="5"/>
  <c r="G907" i="5"/>
  <c r="F907" i="5"/>
  <c r="I906" i="5"/>
  <c r="H906" i="5"/>
  <c r="G906" i="5"/>
  <c r="F906" i="5"/>
  <c r="I905" i="5"/>
  <c r="H905" i="5"/>
  <c r="G905" i="5"/>
  <c r="F905" i="5"/>
  <c r="I904" i="5"/>
  <c r="H904" i="5"/>
  <c r="G904" i="5"/>
  <c r="F904" i="5"/>
  <c r="I903" i="5"/>
  <c r="H903" i="5"/>
  <c r="G903" i="5"/>
  <c r="F903" i="5"/>
  <c r="I902" i="5"/>
  <c r="H902" i="5"/>
  <c r="G902" i="5"/>
  <c r="F902" i="5"/>
  <c r="I901" i="5"/>
  <c r="H901" i="5"/>
  <c r="G901" i="5"/>
  <c r="F901" i="5"/>
  <c r="I900" i="5"/>
  <c r="H900" i="5"/>
  <c r="G900" i="5"/>
  <c r="F900" i="5"/>
  <c r="I899" i="5"/>
  <c r="H899" i="5"/>
  <c r="G899" i="5"/>
  <c r="F899" i="5"/>
  <c r="I898" i="5"/>
  <c r="H898" i="5"/>
  <c r="G898" i="5"/>
  <c r="F898" i="5"/>
  <c r="I897" i="5"/>
  <c r="H897" i="5"/>
  <c r="G897" i="5"/>
  <c r="F897" i="5"/>
  <c r="I896" i="5"/>
  <c r="H896" i="5"/>
  <c r="G896" i="5"/>
  <c r="F896" i="5"/>
  <c r="I895" i="5"/>
  <c r="H895" i="5"/>
  <c r="G895" i="5"/>
  <c r="F895" i="5"/>
  <c r="B889" i="5"/>
  <c r="J852" i="5" s="1"/>
  <c r="J869" i="5" s="1"/>
  <c r="I874" i="5"/>
  <c r="F874" i="5"/>
  <c r="I873" i="5"/>
  <c r="F873" i="5"/>
  <c r="I872" i="5"/>
  <c r="F872" i="5"/>
  <c r="I871" i="5"/>
  <c r="F871" i="5"/>
  <c r="I870" i="5"/>
  <c r="B869" i="5"/>
  <c r="I868" i="5"/>
  <c r="H868" i="5"/>
  <c r="G868" i="5"/>
  <c r="F868" i="5"/>
  <c r="I867" i="5"/>
  <c r="H867" i="5"/>
  <c r="G867" i="5"/>
  <c r="F867" i="5"/>
  <c r="I866" i="5"/>
  <c r="H866" i="5"/>
  <c r="G866" i="5"/>
  <c r="F866" i="5"/>
  <c r="I864" i="5"/>
  <c r="H864" i="5"/>
  <c r="G864" i="5"/>
  <c r="F864" i="5"/>
  <c r="I863" i="5"/>
  <c r="H863" i="5"/>
  <c r="G863" i="5"/>
  <c r="F863" i="5"/>
  <c r="I862" i="5"/>
  <c r="H862" i="5"/>
  <c r="G862" i="5"/>
  <c r="F862" i="5"/>
  <c r="I861" i="5"/>
  <c r="H861" i="5"/>
  <c r="G861" i="5"/>
  <c r="F861" i="5"/>
  <c r="I860" i="5"/>
  <c r="H860" i="5"/>
  <c r="G860" i="5"/>
  <c r="F860" i="5"/>
  <c r="I859" i="5"/>
  <c r="H859" i="5"/>
  <c r="G859" i="5"/>
  <c r="F859" i="5"/>
  <c r="I858" i="5"/>
  <c r="H858" i="5"/>
  <c r="G858" i="5"/>
  <c r="F858" i="5"/>
  <c r="I857" i="5"/>
  <c r="H857" i="5"/>
  <c r="G857" i="5"/>
  <c r="F857" i="5"/>
  <c r="I856" i="5"/>
  <c r="H856" i="5"/>
  <c r="G856" i="5"/>
  <c r="F856" i="5"/>
  <c r="I855" i="5"/>
  <c r="H855" i="5"/>
  <c r="G855" i="5"/>
  <c r="F855" i="5"/>
  <c r="I854" i="5"/>
  <c r="H854" i="5"/>
  <c r="G854" i="5"/>
  <c r="F854" i="5"/>
  <c r="I853" i="5"/>
  <c r="H853" i="5"/>
  <c r="G853" i="5"/>
  <c r="F853" i="5"/>
  <c r="I852" i="5"/>
  <c r="H852" i="5"/>
  <c r="G852" i="5"/>
  <c r="F852" i="5"/>
  <c r="P41" i="8"/>
  <c r="B846" i="5"/>
  <c r="J809" i="5" s="1"/>
  <c r="J826" i="5" s="1"/>
  <c r="I831" i="5"/>
  <c r="F831" i="5"/>
  <c r="I830" i="5"/>
  <c r="F830" i="5"/>
  <c r="I829" i="5"/>
  <c r="F829" i="5"/>
  <c r="I828" i="5"/>
  <c r="F828" i="5"/>
  <c r="I827" i="5"/>
  <c r="B826" i="5"/>
  <c r="I825" i="5"/>
  <c r="H825" i="5"/>
  <c r="G825" i="5"/>
  <c r="F825" i="5"/>
  <c r="I824" i="5"/>
  <c r="H824" i="5"/>
  <c r="G824" i="5"/>
  <c r="F824" i="5"/>
  <c r="I823" i="5"/>
  <c r="H823" i="5"/>
  <c r="G823" i="5"/>
  <c r="F823" i="5"/>
  <c r="I821" i="5"/>
  <c r="H821" i="5"/>
  <c r="G821" i="5"/>
  <c r="F821" i="5"/>
  <c r="I820" i="5"/>
  <c r="H820" i="5"/>
  <c r="G820" i="5"/>
  <c r="F820" i="5"/>
  <c r="I819" i="5"/>
  <c r="H819" i="5"/>
  <c r="G819" i="5"/>
  <c r="F819" i="5"/>
  <c r="I818" i="5"/>
  <c r="H818" i="5"/>
  <c r="G818" i="5"/>
  <c r="F818" i="5"/>
  <c r="I817" i="5"/>
  <c r="H817" i="5"/>
  <c r="G817" i="5"/>
  <c r="F817" i="5"/>
  <c r="I816" i="5"/>
  <c r="H816" i="5"/>
  <c r="G816" i="5"/>
  <c r="F816" i="5"/>
  <c r="I815" i="5"/>
  <c r="H815" i="5"/>
  <c r="G815" i="5"/>
  <c r="F815" i="5"/>
  <c r="I814" i="5"/>
  <c r="H814" i="5"/>
  <c r="G814" i="5"/>
  <c r="F814" i="5"/>
  <c r="I813" i="5"/>
  <c r="H813" i="5"/>
  <c r="G813" i="5"/>
  <c r="F813" i="5"/>
  <c r="I812" i="5"/>
  <c r="H812" i="5"/>
  <c r="G812" i="5"/>
  <c r="F812" i="5"/>
  <c r="I811" i="5"/>
  <c r="H811" i="5"/>
  <c r="G811" i="5"/>
  <c r="F811" i="5"/>
  <c r="I810" i="5"/>
  <c r="H810" i="5"/>
  <c r="G810" i="5"/>
  <c r="F810" i="5"/>
  <c r="I809" i="5"/>
  <c r="H809" i="5"/>
  <c r="G809" i="5"/>
  <c r="F809" i="5"/>
  <c r="P40" i="8"/>
  <c r="B803" i="5"/>
  <c r="J766" i="5" s="1"/>
  <c r="J783" i="5" s="1"/>
  <c r="I788" i="5"/>
  <c r="F788" i="5"/>
  <c r="I787" i="5"/>
  <c r="F787" i="5"/>
  <c r="I786" i="5"/>
  <c r="F786" i="5"/>
  <c r="I785" i="5"/>
  <c r="F785" i="5"/>
  <c r="I784" i="5"/>
  <c r="H782" i="5"/>
  <c r="G782" i="5"/>
  <c r="F782" i="5"/>
  <c r="I782" i="5"/>
  <c r="I781" i="5"/>
  <c r="H781" i="5"/>
  <c r="G781" i="5"/>
  <c r="F781" i="5"/>
  <c r="H780" i="5"/>
  <c r="G780" i="5"/>
  <c r="F780" i="5"/>
  <c r="I780" i="5"/>
  <c r="H778" i="5"/>
  <c r="G778" i="5"/>
  <c r="F778" i="5"/>
  <c r="H777" i="5"/>
  <c r="G777" i="5"/>
  <c r="F777" i="5"/>
  <c r="I777" i="5"/>
  <c r="H776" i="5"/>
  <c r="G776" i="5"/>
  <c r="I776" i="5"/>
  <c r="I775" i="5"/>
  <c r="H775" i="5"/>
  <c r="G775" i="5"/>
  <c r="F775" i="5"/>
  <c r="I774" i="5"/>
  <c r="H774" i="5"/>
  <c r="G774" i="5"/>
  <c r="F774" i="5"/>
  <c r="H773" i="5"/>
  <c r="G773" i="5"/>
  <c r="F773" i="5"/>
  <c r="I773" i="5"/>
  <c r="H772" i="5"/>
  <c r="G772" i="5"/>
  <c r="F772" i="5"/>
  <c r="H771" i="5"/>
  <c r="G771" i="5"/>
  <c r="F771" i="5"/>
  <c r="I771" i="5"/>
  <c r="H770" i="5"/>
  <c r="G770" i="5"/>
  <c r="F770" i="5"/>
  <c r="H769" i="5"/>
  <c r="G769" i="5"/>
  <c r="F769" i="5"/>
  <c r="I769" i="5"/>
  <c r="I768" i="5"/>
  <c r="H768" i="5"/>
  <c r="G768" i="5"/>
  <c r="F768" i="5"/>
  <c r="I767" i="5"/>
  <c r="H767" i="5"/>
  <c r="G767" i="5"/>
  <c r="F767" i="5"/>
  <c r="H766" i="5"/>
  <c r="G766" i="5"/>
  <c r="F766" i="5"/>
  <c r="I766" i="5"/>
  <c r="B724" i="5"/>
  <c r="B725" i="5"/>
  <c r="I725" i="5" s="1"/>
  <c r="B726" i="5"/>
  <c r="F726" i="5" s="1"/>
  <c r="B727" i="5"/>
  <c r="I727" i="5" s="1"/>
  <c r="B728" i="5"/>
  <c r="F728" i="5" s="1"/>
  <c r="B729" i="5"/>
  <c r="F729" i="5" s="1"/>
  <c r="B730" i="5"/>
  <c r="I730" i="5" s="1"/>
  <c r="B731" i="5"/>
  <c r="F731" i="5" s="1"/>
  <c r="B732" i="5"/>
  <c r="F732" i="5" s="1"/>
  <c r="B733" i="5"/>
  <c r="I733" i="5" s="1"/>
  <c r="B734" i="5"/>
  <c r="I734" i="5" s="1"/>
  <c r="B735" i="5"/>
  <c r="F735" i="5" s="1"/>
  <c r="B737" i="5"/>
  <c r="I737" i="5" s="1"/>
  <c r="B738" i="5"/>
  <c r="F738" i="5" s="1"/>
  <c r="B739" i="5"/>
  <c r="I739" i="5" s="1"/>
  <c r="B723" i="5"/>
  <c r="F723" i="5" s="1"/>
  <c r="B760" i="5"/>
  <c r="I745" i="5"/>
  <c r="F745" i="5"/>
  <c r="I744" i="5"/>
  <c r="F744" i="5"/>
  <c r="I743" i="5"/>
  <c r="F743" i="5"/>
  <c r="I742" i="5"/>
  <c r="F742" i="5"/>
  <c r="I741" i="5"/>
  <c r="H739" i="5"/>
  <c r="G739" i="5"/>
  <c r="H738" i="5"/>
  <c r="G738" i="5"/>
  <c r="H737" i="5"/>
  <c r="G737" i="5"/>
  <c r="H735" i="5"/>
  <c r="G735" i="5"/>
  <c r="H734" i="5"/>
  <c r="G734" i="5"/>
  <c r="H733" i="5"/>
  <c r="G733" i="5"/>
  <c r="F733" i="5"/>
  <c r="H732" i="5"/>
  <c r="G732" i="5"/>
  <c r="H731" i="5"/>
  <c r="G731" i="5"/>
  <c r="H730" i="5"/>
  <c r="G730" i="5"/>
  <c r="H729" i="5"/>
  <c r="G729" i="5"/>
  <c r="I728" i="5"/>
  <c r="H728" i="5"/>
  <c r="G728" i="5"/>
  <c r="H727" i="5"/>
  <c r="G727" i="5"/>
  <c r="I726" i="5"/>
  <c r="H726" i="5"/>
  <c r="G726" i="5"/>
  <c r="H725" i="5"/>
  <c r="G725" i="5"/>
  <c r="H724" i="5"/>
  <c r="G724" i="5"/>
  <c r="J723" i="5"/>
  <c r="J740" i="5" s="1"/>
  <c r="H723" i="5"/>
  <c r="G723" i="5"/>
  <c r="X38" i="8"/>
  <c r="O28" i="8"/>
  <c r="I687" i="5"/>
  <c r="I688" i="5"/>
  <c r="I689" i="5"/>
  <c r="I690" i="5"/>
  <c r="I691" i="5"/>
  <c r="I692" i="5"/>
  <c r="I693" i="5"/>
  <c r="I694" i="5"/>
  <c r="I695" i="5"/>
  <c r="I696" i="5"/>
  <c r="I697" i="5"/>
  <c r="I698" i="5"/>
  <c r="I700" i="5"/>
  <c r="I701" i="5"/>
  <c r="I702" i="5"/>
  <c r="I705" i="5"/>
  <c r="I706" i="5"/>
  <c r="I707" i="5"/>
  <c r="I708" i="5"/>
  <c r="I686" i="5"/>
  <c r="F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7" i="5"/>
  <c r="I658" i="5"/>
  <c r="I659" i="5"/>
  <c r="I661" i="5"/>
  <c r="I662" i="5"/>
  <c r="I663" i="5"/>
  <c r="I664" i="5"/>
  <c r="I665" i="5"/>
  <c r="I643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4" i="5"/>
  <c r="I615" i="5"/>
  <c r="I616" i="5"/>
  <c r="I618" i="5"/>
  <c r="I619" i="5"/>
  <c r="I620" i="5"/>
  <c r="I621" i="5"/>
  <c r="I622" i="5"/>
  <c r="I600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1" i="5"/>
  <c r="I572" i="5"/>
  <c r="I573" i="5"/>
  <c r="I575" i="5"/>
  <c r="I576" i="5"/>
  <c r="I577" i="5"/>
  <c r="I578" i="5"/>
  <c r="I579" i="5"/>
  <c r="I557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8" i="5"/>
  <c r="I529" i="5"/>
  <c r="I530" i="5"/>
  <c r="I532" i="5"/>
  <c r="I533" i="5"/>
  <c r="I534" i="5"/>
  <c r="I535" i="5"/>
  <c r="I536" i="5"/>
  <c r="I514" i="5"/>
  <c r="I485" i="5"/>
  <c r="I486" i="5"/>
  <c r="I487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71" i="5"/>
  <c r="B717" i="5"/>
  <c r="J686" i="5" s="1"/>
  <c r="J703" i="5" s="1"/>
  <c r="F708" i="5"/>
  <c r="F707" i="5"/>
  <c r="F706" i="5"/>
  <c r="F705" i="5"/>
  <c r="B703" i="5"/>
  <c r="H702" i="5"/>
  <c r="G702" i="5"/>
  <c r="F702" i="5"/>
  <c r="H701" i="5"/>
  <c r="G701" i="5"/>
  <c r="F701" i="5"/>
  <c r="H700" i="5"/>
  <c r="G700" i="5"/>
  <c r="F700" i="5"/>
  <c r="H698" i="5"/>
  <c r="G698" i="5"/>
  <c r="F698" i="5"/>
  <c r="H697" i="5"/>
  <c r="G697" i="5"/>
  <c r="F697" i="5"/>
  <c r="H696" i="5"/>
  <c r="G696" i="5"/>
  <c r="F696" i="5"/>
  <c r="H695" i="5"/>
  <c r="G695" i="5"/>
  <c r="F695" i="5"/>
  <c r="H694" i="5"/>
  <c r="G694" i="5"/>
  <c r="F694" i="5"/>
  <c r="H693" i="5"/>
  <c r="G693" i="5"/>
  <c r="F693" i="5"/>
  <c r="H692" i="5"/>
  <c r="G692" i="5"/>
  <c r="F692" i="5"/>
  <c r="H691" i="5"/>
  <c r="G691" i="5"/>
  <c r="F691" i="5"/>
  <c r="H690" i="5"/>
  <c r="G690" i="5"/>
  <c r="F690" i="5"/>
  <c r="H689" i="5"/>
  <c r="G689" i="5"/>
  <c r="F689" i="5"/>
  <c r="H688" i="5"/>
  <c r="G688" i="5"/>
  <c r="F688" i="5"/>
  <c r="H687" i="5"/>
  <c r="G687" i="5"/>
  <c r="F687" i="5"/>
  <c r="H686" i="5"/>
  <c r="G686" i="5"/>
  <c r="F686" i="5"/>
  <c r="B680" i="5"/>
  <c r="J643" i="5" s="1"/>
  <c r="J660" i="5" s="1"/>
  <c r="F665" i="5"/>
  <c r="F664" i="5"/>
  <c r="F663" i="5"/>
  <c r="F662" i="5"/>
  <c r="B660" i="5"/>
  <c r="H659" i="5"/>
  <c r="G659" i="5"/>
  <c r="F659" i="5"/>
  <c r="H658" i="5"/>
  <c r="G658" i="5"/>
  <c r="F658" i="5"/>
  <c r="H657" i="5"/>
  <c r="G657" i="5"/>
  <c r="F657" i="5"/>
  <c r="H655" i="5"/>
  <c r="G655" i="5"/>
  <c r="F655" i="5"/>
  <c r="H654" i="5"/>
  <c r="G654" i="5"/>
  <c r="F654" i="5"/>
  <c r="H653" i="5"/>
  <c r="G653" i="5"/>
  <c r="F653" i="5"/>
  <c r="H652" i="5"/>
  <c r="G652" i="5"/>
  <c r="F652" i="5"/>
  <c r="H651" i="5"/>
  <c r="G651" i="5"/>
  <c r="F651" i="5"/>
  <c r="H650" i="5"/>
  <c r="G650" i="5"/>
  <c r="F650" i="5"/>
  <c r="H649" i="5"/>
  <c r="G649" i="5"/>
  <c r="F649" i="5"/>
  <c r="H648" i="5"/>
  <c r="G648" i="5"/>
  <c r="F648" i="5"/>
  <c r="H647" i="5"/>
  <c r="G647" i="5"/>
  <c r="F647" i="5"/>
  <c r="H646" i="5"/>
  <c r="G646" i="5"/>
  <c r="F646" i="5"/>
  <c r="H645" i="5"/>
  <c r="G645" i="5"/>
  <c r="F645" i="5"/>
  <c r="H644" i="5"/>
  <c r="G644" i="5"/>
  <c r="F644" i="5"/>
  <c r="H643" i="5"/>
  <c r="G643" i="5"/>
  <c r="B637" i="5"/>
  <c r="J600" i="5" s="1"/>
  <c r="J617" i="5" s="1"/>
  <c r="F622" i="5"/>
  <c r="F621" i="5"/>
  <c r="F620" i="5"/>
  <c r="F619" i="5"/>
  <c r="B617" i="5"/>
  <c r="H616" i="5"/>
  <c r="G616" i="5"/>
  <c r="F616" i="5"/>
  <c r="H615" i="5"/>
  <c r="G615" i="5"/>
  <c r="F615" i="5"/>
  <c r="H614" i="5"/>
  <c r="G614" i="5"/>
  <c r="F614" i="5"/>
  <c r="H612" i="5"/>
  <c r="G612" i="5"/>
  <c r="F612" i="5"/>
  <c r="H611" i="5"/>
  <c r="G611" i="5"/>
  <c r="F611" i="5"/>
  <c r="H610" i="5"/>
  <c r="G610" i="5"/>
  <c r="F610" i="5"/>
  <c r="H609" i="5"/>
  <c r="G609" i="5"/>
  <c r="F609" i="5"/>
  <c r="H608" i="5"/>
  <c r="G608" i="5"/>
  <c r="F608" i="5"/>
  <c r="H607" i="5"/>
  <c r="G607" i="5"/>
  <c r="F607" i="5"/>
  <c r="H606" i="5"/>
  <c r="G606" i="5"/>
  <c r="F606" i="5"/>
  <c r="H605" i="5"/>
  <c r="G605" i="5"/>
  <c r="F605" i="5"/>
  <c r="H604" i="5"/>
  <c r="G604" i="5"/>
  <c r="F604" i="5"/>
  <c r="H603" i="5"/>
  <c r="G603" i="5"/>
  <c r="F603" i="5"/>
  <c r="H602" i="5"/>
  <c r="G602" i="5"/>
  <c r="F602" i="5"/>
  <c r="H601" i="5"/>
  <c r="G601" i="5"/>
  <c r="F601" i="5"/>
  <c r="H600" i="5"/>
  <c r="G600" i="5"/>
  <c r="F600" i="5"/>
  <c r="B594" i="5"/>
  <c r="J557" i="5" s="1"/>
  <c r="J574" i="5" s="1"/>
  <c r="F579" i="5"/>
  <c r="F578" i="5"/>
  <c r="F577" i="5"/>
  <c r="F576" i="5"/>
  <c r="B574" i="5"/>
  <c r="H573" i="5"/>
  <c r="G573" i="5"/>
  <c r="F573" i="5"/>
  <c r="H572" i="5"/>
  <c r="G572" i="5"/>
  <c r="F572" i="5"/>
  <c r="H571" i="5"/>
  <c r="G571" i="5"/>
  <c r="F571" i="5"/>
  <c r="H569" i="5"/>
  <c r="G569" i="5"/>
  <c r="F569" i="5"/>
  <c r="H568" i="5"/>
  <c r="G568" i="5"/>
  <c r="F568" i="5"/>
  <c r="H567" i="5"/>
  <c r="G567" i="5"/>
  <c r="F567" i="5"/>
  <c r="H566" i="5"/>
  <c r="G566" i="5"/>
  <c r="F566" i="5"/>
  <c r="H565" i="5"/>
  <c r="G565" i="5"/>
  <c r="F565" i="5"/>
  <c r="H564" i="5"/>
  <c r="G564" i="5"/>
  <c r="F564" i="5"/>
  <c r="H563" i="5"/>
  <c r="G563" i="5"/>
  <c r="F563" i="5"/>
  <c r="H562" i="5"/>
  <c r="G562" i="5"/>
  <c r="F562" i="5"/>
  <c r="H561" i="5"/>
  <c r="G561" i="5"/>
  <c r="F561" i="5"/>
  <c r="H560" i="5"/>
  <c r="G560" i="5"/>
  <c r="F560" i="5"/>
  <c r="H559" i="5"/>
  <c r="G559" i="5"/>
  <c r="F559" i="5"/>
  <c r="H558" i="5"/>
  <c r="G558" i="5"/>
  <c r="F558" i="5"/>
  <c r="H557" i="5"/>
  <c r="G557" i="5"/>
  <c r="F557" i="5"/>
  <c r="B551" i="5"/>
  <c r="J514" i="5" s="1"/>
  <c r="J531" i="5" s="1"/>
  <c r="F536" i="5"/>
  <c r="F535" i="5"/>
  <c r="F534" i="5"/>
  <c r="F533" i="5"/>
  <c r="B531" i="5"/>
  <c r="H530" i="5"/>
  <c r="G530" i="5"/>
  <c r="F530" i="5"/>
  <c r="H529" i="5"/>
  <c r="G529" i="5"/>
  <c r="F529" i="5"/>
  <c r="H528" i="5"/>
  <c r="G528" i="5"/>
  <c r="F528" i="5"/>
  <c r="H526" i="5"/>
  <c r="G526" i="5"/>
  <c r="F526" i="5"/>
  <c r="H525" i="5"/>
  <c r="G525" i="5"/>
  <c r="F525" i="5"/>
  <c r="H524" i="5"/>
  <c r="G524" i="5"/>
  <c r="F524" i="5"/>
  <c r="H523" i="5"/>
  <c r="G523" i="5"/>
  <c r="F523" i="5"/>
  <c r="H522" i="5"/>
  <c r="G522" i="5"/>
  <c r="F522" i="5"/>
  <c r="H521" i="5"/>
  <c r="G521" i="5"/>
  <c r="F521" i="5"/>
  <c r="H520" i="5"/>
  <c r="G520" i="5"/>
  <c r="F520" i="5"/>
  <c r="H519" i="5"/>
  <c r="G519" i="5"/>
  <c r="F519" i="5"/>
  <c r="H518" i="5"/>
  <c r="G518" i="5"/>
  <c r="F518" i="5"/>
  <c r="H517" i="5"/>
  <c r="G517" i="5"/>
  <c r="F517" i="5"/>
  <c r="H516" i="5"/>
  <c r="G516" i="5"/>
  <c r="F516" i="5"/>
  <c r="H515" i="5"/>
  <c r="G515" i="5"/>
  <c r="F515" i="5"/>
  <c r="H514" i="5"/>
  <c r="G514" i="5"/>
  <c r="F514" i="5"/>
  <c r="B508" i="5"/>
  <c r="J471" i="5" s="1"/>
  <c r="J488" i="5" s="1"/>
  <c r="F493" i="5"/>
  <c r="F492" i="5"/>
  <c r="F491" i="5"/>
  <c r="F490" i="5"/>
  <c r="B488" i="5"/>
  <c r="H487" i="5"/>
  <c r="G487" i="5"/>
  <c r="F487" i="5"/>
  <c r="H486" i="5"/>
  <c r="G486" i="5"/>
  <c r="F486" i="5"/>
  <c r="H485" i="5"/>
  <c r="G485" i="5"/>
  <c r="F485" i="5"/>
  <c r="H483" i="5"/>
  <c r="G483" i="5"/>
  <c r="F483" i="5"/>
  <c r="H482" i="5"/>
  <c r="G482" i="5"/>
  <c r="F482" i="5"/>
  <c r="H481" i="5"/>
  <c r="G481" i="5"/>
  <c r="F481" i="5"/>
  <c r="H480" i="5"/>
  <c r="G480" i="5"/>
  <c r="F480" i="5"/>
  <c r="H479" i="5"/>
  <c r="G479" i="5"/>
  <c r="F479" i="5"/>
  <c r="H478" i="5"/>
  <c r="G478" i="5"/>
  <c r="F478" i="5"/>
  <c r="H477" i="5"/>
  <c r="G477" i="5"/>
  <c r="F477" i="5"/>
  <c r="H476" i="5"/>
  <c r="G476" i="5"/>
  <c r="F476" i="5"/>
  <c r="H475" i="5"/>
  <c r="G475" i="5"/>
  <c r="F475" i="5"/>
  <c r="H474" i="5"/>
  <c r="G474" i="5"/>
  <c r="F474" i="5"/>
  <c r="H473" i="5"/>
  <c r="G473" i="5"/>
  <c r="F473" i="5"/>
  <c r="H472" i="5"/>
  <c r="G472" i="5"/>
  <c r="F472" i="5"/>
  <c r="H471" i="5"/>
  <c r="G471" i="5"/>
  <c r="F471" i="5"/>
  <c r="X33" i="8"/>
  <c r="X31" i="8"/>
  <c r="P31" i="8"/>
  <c r="P30" i="8"/>
  <c r="P29" i="8"/>
  <c r="B465" i="5"/>
  <c r="J435" i="5" s="1"/>
  <c r="J452" i="5" s="1"/>
  <c r="F457" i="5"/>
  <c r="F456" i="5"/>
  <c r="F455" i="5"/>
  <c r="F454" i="5"/>
  <c r="B452" i="5"/>
  <c r="H451" i="5"/>
  <c r="G451" i="5"/>
  <c r="F451" i="5"/>
  <c r="H450" i="5"/>
  <c r="G450" i="5"/>
  <c r="F450" i="5"/>
  <c r="H449" i="5"/>
  <c r="G449" i="5"/>
  <c r="F449" i="5"/>
  <c r="H448" i="5"/>
  <c r="H447" i="5"/>
  <c r="G447" i="5"/>
  <c r="F447" i="5"/>
  <c r="H446" i="5"/>
  <c r="G446" i="5"/>
  <c r="F446" i="5"/>
  <c r="H445" i="5"/>
  <c r="G445" i="5"/>
  <c r="F445" i="5"/>
  <c r="H444" i="5"/>
  <c r="G444" i="5"/>
  <c r="F444" i="5"/>
  <c r="H443" i="5"/>
  <c r="G443" i="5"/>
  <c r="F443" i="5"/>
  <c r="H442" i="5"/>
  <c r="G442" i="5"/>
  <c r="F442" i="5"/>
  <c r="H441" i="5"/>
  <c r="G441" i="5"/>
  <c r="F441" i="5"/>
  <c r="H440" i="5"/>
  <c r="G440" i="5"/>
  <c r="F440" i="5"/>
  <c r="H439" i="5"/>
  <c r="G439" i="5"/>
  <c r="F439" i="5"/>
  <c r="H438" i="5"/>
  <c r="G438" i="5"/>
  <c r="F438" i="5"/>
  <c r="H437" i="5"/>
  <c r="G437" i="5"/>
  <c r="F437" i="5"/>
  <c r="H436" i="5"/>
  <c r="G436" i="5"/>
  <c r="F436" i="5"/>
  <c r="H435" i="5"/>
  <c r="G435" i="5"/>
  <c r="F435" i="5"/>
  <c r="X21" i="8"/>
  <c r="B429" i="5"/>
  <c r="J391" i="5" s="1"/>
  <c r="J408" i="5" s="1"/>
  <c r="F413" i="5"/>
  <c r="F412" i="5"/>
  <c r="F411" i="5"/>
  <c r="F410" i="5"/>
  <c r="B408" i="5"/>
  <c r="H407" i="5"/>
  <c r="G407" i="5"/>
  <c r="F407" i="5"/>
  <c r="H406" i="5"/>
  <c r="G406" i="5"/>
  <c r="F406" i="5"/>
  <c r="H405" i="5"/>
  <c r="G405" i="5"/>
  <c r="F405" i="5"/>
  <c r="H404" i="5"/>
  <c r="H403" i="5"/>
  <c r="G403" i="5"/>
  <c r="F403" i="5"/>
  <c r="H402" i="5"/>
  <c r="G402" i="5"/>
  <c r="F402" i="5"/>
  <c r="H401" i="5"/>
  <c r="G401" i="5"/>
  <c r="F401" i="5"/>
  <c r="H400" i="5"/>
  <c r="G400" i="5"/>
  <c r="F400" i="5"/>
  <c r="H399" i="5"/>
  <c r="G399" i="5"/>
  <c r="F399" i="5"/>
  <c r="H398" i="5"/>
  <c r="G398" i="5"/>
  <c r="F398" i="5"/>
  <c r="H397" i="5"/>
  <c r="G397" i="5"/>
  <c r="F397" i="5"/>
  <c r="H396" i="5"/>
  <c r="G396" i="5"/>
  <c r="F396" i="5"/>
  <c r="H395" i="5"/>
  <c r="G395" i="5"/>
  <c r="F395" i="5"/>
  <c r="H394" i="5"/>
  <c r="G394" i="5"/>
  <c r="F394" i="5"/>
  <c r="H393" i="5"/>
  <c r="G393" i="5"/>
  <c r="F393" i="5"/>
  <c r="H392" i="5"/>
  <c r="G392" i="5"/>
  <c r="F392" i="5"/>
  <c r="H391" i="5"/>
  <c r="G391" i="5"/>
  <c r="F391" i="5"/>
  <c r="B385" i="5"/>
  <c r="J347" i="5" s="1"/>
  <c r="J364" i="5" s="1"/>
  <c r="F369" i="5"/>
  <c r="F368" i="5"/>
  <c r="F367" i="5"/>
  <c r="F366" i="5"/>
  <c r="B364" i="5"/>
  <c r="H363" i="5"/>
  <c r="G363" i="5"/>
  <c r="F363" i="5"/>
  <c r="H362" i="5"/>
  <c r="G362" i="5"/>
  <c r="F362" i="5"/>
  <c r="H361" i="5"/>
  <c r="G361" i="5"/>
  <c r="F361" i="5"/>
  <c r="H360" i="5"/>
  <c r="H359" i="5"/>
  <c r="G359" i="5"/>
  <c r="F359" i="5"/>
  <c r="H358" i="5"/>
  <c r="G358" i="5"/>
  <c r="F358" i="5"/>
  <c r="H357" i="5"/>
  <c r="G357" i="5"/>
  <c r="F357" i="5"/>
  <c r="H356" i="5"/>
  <c r="G356" i="5"/>
  <c r="F356" i="5"/>
  <c r="H355" i="5"/>
  <c r="G355" i="5"/>
  <c r="F355" i="5"/>
  <c r="H354" i="5"/>
  <c r="G354" i="5"/>
  <c r="F354" i="5"/>
  <c r="H353" i="5"/>
  <c r="G353" i="5"/>
  <c r="F353" i="5"/>
  <c r="H352" i="5"/>
  <c r="G352" i="5"/>
  <c r="F352" i="5"/>
  <c r="H351" i="5"/>
  <c r="G351" i="5"/>
  <c r="F351" i="5"/>
  <c r="H350" i="5"/>
  <c r="G350" i="5"/>
  <c r="F350" i="5"/>
  <c r="H349" i="5"/>
  <c r="G349" i="5"/>
  <c r="F349" i="5"/>
  <c r="H348" i="5"/>
  <c r="G348" i="5"/>
  <c r="F348" i="5"/>
  <c r="H347" i="5"/>
  <c r="G347" i="5"/>
  <c r="F347" i="5"/>
  <c r="B341" i="5"/>
  <c r="J303" i="5" s="1"/>
  <c r="J320" i="5" s="1"/>
  <c r="F325" i="5"/>
  <c r="F324" i="5"/>
  <c r="F323" i="5"/>
  <c r="F322" i="5"/>
  <c r="B320" i="5"/>
  <c r="H319" i="5"/>
  <c r="G319" i="5"/>
  <c r="F319" i="5"/>
  <c r="H318" i="5"/>
  <c r="G318" i="5"/>
  <c r="F318" i="5"/>
  <c r="H317" i="5"/>
  <c r="G317" i="5"/>
  <c r="F317" i="5"/>
  <c r="H316" i="5"/>
  <c r="H315" i="5"/>
  <c r="G315" i="5"/>
  <c r="F315" i="5"/>
  <c r="H314" i="5"/>
  <c r="G314" i="5"/>
  <c r="F314" i="5"/>
  <c r="H313" i="5"/>
  <c r="G313" i="5"/>
  <c r="F313" i="5"/>
  <c r="H312" i="5"/>
  <c r="G312" i="5"/>
  <c r="F312" i="5"/>
  <c r="H311" i="5"/>
  <c r="G311" i="5"/>
  <c r="F311" i="5"/>
  <c r="H310" i="5"/>
  <c r="G310" i="5"/>
  <c r="F310" i="5"/>
  <c r="H309" i="5"/>
  <c r="G309" i="5"/>
  <c r="F309" i="5"/>
  <c r="H308" i="5"/>
  <c r="G308" i="5"/>
  <c r="F308" i="5"/>
  <c r="H307" i="5"/>
  <c r="G307" i="5"/>
  <c r="F307" i="5"/>
  <c r="H306" i="5"/>
  <c r="G306" i="5"/>
  <c r="F306" i="5"/>
  <c r="H305" i="5"/>
  <c r="G305" i="5"/>
  <c r="F305" i="5"/>
  <c r="H304" i="5"/>
  <c r="G304" i="5"/>
  <c r="F304" i="5"/>
  <c r="H303" i="5"/>
  <c r="G303" i="5"/>
  <c r="F303" i="5"/>
  <c r="P19" i="8"/>
  <c r="P18" i="8"/>
  <c r="B297" i="5"/>
  <c r="J259" i="5" s="1"/>
  <c r="J276" i="5" s="1"/>
  <c r="F281" i="5"/>
  <c r="F280" i="5"/>
  <c r="F279" i="5"/>
  <c r="F278" i="5"/>
  <c r="B276" i="5"/>
  <c r="H275" i="5"/>
  <c r="G275" i="5"/>
  <c r="F275" i="5"/>
  <c r="H274" i="5"/>
  <c r="G274" i="5"/>
  <c r="F274" i="5"/>
  <c r="H273" i="5"/>
  <c r="G273" i="5"/>
  <c r="F273" i="5"/>
  <c r="H272" i="5"/>
  <c r="H271" i="5"/>
  <c r="G271" i="5"/>
  <c r="F271" i="5"/>
  <c r="H270" i="5"/>
  <c r="G270" i="5"/>
  <c r="F270" i="5"/>
  <c r="H269" i="5"/>
  <c r="G269" i="5"/>
  <c r="F269" i="5"/>
  <c r="H268" i="5"/>
  <c r="G268" i="5"/>
  <c r="F268" i="5"/>
  <c r="H267" i="5"/>
  <c r="G267" i="5"/>
  <c r="F267" i="5"/>
  <c r="H266" i="5"/>
  <c r="G266" i="5"/>
  <c r="F266" i="5"/>
  <c r="H265" i="5"/>
  <c r="G265" i="5"/>
  <c r="F265" i="5"/>
  <c r="H264" i="5"/>
  <c r="G264" i="5"/>
  <c r="F264" i="5"/>
  <c r="H263" i="5"/>
  <c r="G263" i="5"/>
  <c r="F263" i="5"/>
  <c r="H262" i="5"/>
  <c r="G262" i="5"/>
  <c r="F262" i="5"/>
  <c r="H261" i="5"/>
  <c r="G261" i="5"/>
  <c r="F261" i="5"/>
  <c r="H260" i="5"/>
  <c r="G260" i="5"/>
  <c r="F260" i="5"/>
  <c r="H259" i="5"/>
  <c r="G259" i="5"/>
  <c r="F259" i="5"/>
  <c r="L9" i="10"/>
  <c r="M9" i="10" s="1"/>
  <c r="L10" i="10"/>
  <c r="L11" i="10"/>
  <c r="L12" i="10"/>
  <c r="L8" i="10"/>
  <c r="K9" i="10"/>
  <c r="K10" i="10"/>
  <c r="K11" i="10"/>
  <c r="K12" i="10"/>
  <c r="K8" i="10"/>
  <c r="I12" i="10"/>
  <c r="I11" i="10"/>
  <c r="I10" i="10"/>
  <c r="I9" i="10"/>
  <c r="I8" i="10"/>
  <c r="P11" i="8"/>
  <c r="B253" i="5"/>
  <c r="J222" i="5" s="1"/>
  <c r="J239" i="5" s="1"/>
  <c r="F244" i="5"/>
  <c r="F243" i="5"/>
  <c r="F242" i="5"/>
  <c r="F241" i="5"/>
  <c r="B239" i="5"/>
  <c r="H238" i="5"/>
  <c r="G238" i="5"/>
  <c r="F238" i="5"/>
  <c r="H237" i="5"/>
  <c r="G237" i="5"/>
  <c r="F237" i="5"/>
  <c r="H236" i="5"/>
  <c r="G236" i="5"/>
  <c r="F236" i="5"/>
  <c r="H235" i="5"/>
  <c r="H234" i="5"/>
  <c r="G234" i="5"/>
  <c r="F234" i="5"/>
  <c r="H233" i="5"/>
  <c r="G233" i="5"/>
  <c r="F233" i="5"/>
  <c r="H232" i="5"/>
  <c r="G232" i="5"/>
  <c r="F232" i="5"/>
  <c r="H231" i="5"/>
  <c r="G231" i="5"/>
  <c r="F231" i="5"/>
  <c r="H230" i="5"/>
  <c r="G230" i="5"/>
  <c r="F230" i="5"/>
  <c r="H229" i="5"/>
  <c r="G229" i="5"/>
  <c r="F229" i="5"/>
  <c r="H228" i="5"/>
  <c r="G228" i="5"/>
  <c r="F228" i="5"/>
  <c r="H227" i="5"/>
  <c r="G227" i="5"/>
  <c r="F227" i="5"/>
  <c r="H226" i="5"/>
  <c r="G226" i="5"/>
  <c r="F226" i="5"/>
  <c r="H225" i="5"/>
  <c r="G225" i="5"/>
  <c r="F225" i="5"/>
  <c r="H224" i="5"/>
  <c r="G224" i="5"/>
  <c r="F224" i="5"/>
  <c r="H223" i="5"/>
  <c r="G223" i="5"/>
  <c r="F223" i="5"/>
  <c r="H222" i="5"/>
  <c r="G222" i="5"/>
  <c r="F222" i="5"/>
  <c r="B216" i="5"/>
  <c r="J178" i="5" s="1"/>
  <c r="J195" i="5" s="1"/>
  <c r="F200" i="5"/>
  <c r="F199" i="5"/>
  <c r="F198" i="5"/>
  <c r="F197" i="5"/>
  <c r="B195" i="5"/>
  <c r="H194" i="5"/>
  <c r="G194" i="5"/>
  <c r="F194" i="5"/>
  <c r="H193" i="5"/>
  <c r="G193" i="5"/>
  <c r="F193" i="5"/>
  <c r="H192" i="5"/>
  <c r="G192" i="5"/>
  <c r="F192" i="5"/>
  <c r="H191" i="5"/>
  <c r="H190" i="5"/>
  <c r="G190" i="5"/>
  <c r="F190" i="5"/>
  <c r="H189" i="5"/>
  <c r="G189" i="5"/>
  <c r="F189" i="5"/>
  <c r="H188" i="5"/>
  <c r="G188" i="5"/>
  <c r="F188" i="5"/>
  <c r="H187" i="5"/>
  <c r="G187" i="5"/>
  <c r="F187" i="5"/>
  <c r="H186" i="5"/>
  <c r="G186" i="5"/>
  <c r="F186" i="5"/>
  <c r="H185" i="5"/>
  <c r="G185" i="5"/>
  <c r="F185" i="5"/>
  <c r="H184" i="5"/>
  <c r="G184" i="5"/>
  <c r="F184" i="5"/>
  <c r="H183" i="5"/>
  <c r="G183" i="5"/>
  <c r="F183" i="5"/>
  <c r="H182" i="5"/>
  <c r="G182" i="5"/>
  <c r="F182" i="5"/>
  <c r="H181" i="5"/>
  <c r="G181" i="5"/>
  <c r="F181" i="5"/>
  <c r="H180" i="5"/>
  <c r="G180" i="5"/>
  <c r="F180" i="5"/>
  <c r="H179" i="5"/>
  <c r="G179" i="5"/>
  <c r="F179" i="5"/>
  <c r="H178" i="5"/>
  <c r="G178" i="5"/>
  <c r="F178" i="5"/>
  <c r="P9" i="8"/>
  <c r="N9" i="6"/>
  <c r="J9" i="6"/>
  <c r="I7" i="8"/>
  <c r="I8" i="8"/>
  <c r="I9" i="8"/>
  <c r="I10" i="8"/>
  <c r="I11" i="8"/>
  <c r="I6" i="8"/>
  <c r="F9" i="6"/>
  <c r="B172" i="5"/>
  <c r="J134" i="5" s="1"/>
  <c r="J151" i="5" s="1"/>
  <c r="F156" i="5"/>
  <c r="F155" i="5"/>
  <c r="F154" i="5"/>
  <c r="F153" i="5"/>
  <c r="B151" i="5"/>
  <c r="H150" i="5"/>
  <c r="G150" i="5"/>
  <c r="F150" i="5"/>
  <c r="H149" i="5"/>
  <c r="G149" i="5"/>
  <c r="F149" i="5"/>
  <c r="H148" i="5"/>
  <c r="G148" i="5"/>
  <c r="F148" i="5"/>
  <c r="H147" i="5"/>
  <c r="H146" i="5"/>
  <c r="G146" i="5"/>
  <c r="F146" i="5"/>
  <c r="H145" i="5"/>
  <c r="G145" i="5"/>
  <c r="F145" i="5"/>
  <c r="H144" i="5"/>
  <c r="G144" i="5"/>
  <c r="F144" i="5"/>
  <c r="H143" i="5"/>
  <c r="G143" i="5"/>
  <c r="F143" i="5"/>
  <c r="H142" i="5"/>
  <c r="G142" i="5"/>
  <c r="F142" i="5"/>
  <c r="H141" i="5"/>
  <c r="G141" i="5"/>
  <c r="F141" i="5"/>
  <c r="H140" i="5"/>
  <c r="G140" i="5"/>
  <c r="F140" i="5"/>
  <c r="H139" i="5"/>
  <c r="G139" i="5"/>
  <c r="F139" i="5"/>
  <c r="H138" i="5"/>
  <c r="G138" i="5"/>
  <c r="F138" i="5"/>
  <c r="H137" i="5"/>
  <c r="G137" i="5"/>
  <c r="F137" i="5"/>
  <c r="H136" i="5"/>
  <c r="G136" i="5"/>
  <c r="F136" i="5"/>
  <c r="H135" i="5"/>
  <c r="G135" i="5"/>
  <c r="F135" i="5"/>
  <c r="H134" i="5"/>
  <c r="G134" i="5"/>
  <c r="F134" i="5"/>
  <c r="O6" i="8"/>
  <c r="O7" i="8" s="1"/>
  <c r="O8" i="8" s="1"/>
  <c r="B128" i="5"/>
  <c r="J91" i="5" s="1"/>
  <c r="J108" i="5" s="1"/>
  <c r="F113" i="5"/>
  <c r="F112" i="5"/>
  <c r="F111" i="5"/>
  <c r="F110" i="5"/>
  <c r="B108" i="5"/>
  <c r="H107" i="5"/>
  <c r="G107" i="5"/>
  <c r="F107" i="5"/>
  <c r="H106" i="5"/>
  <c r="G106" i="5"/>
  <c r="F106" i="5"/>
  <c r="H105" i="5"/>
  <c r="G105" i="5"/>
  <c r="F105" i="5"/>
  <c r="H104" i="5"/>
  <c r="H103" i="5"/>
  <c r="G103" i="5"/>
  <c r="F103" i="5"/>
  <c r="H102" i="5"/>
  <c r="G102" i="5"/>
  <c r="F102" i="5"/>
  <c r="H101" i="5"/>
  <c r="G101" i="5"/>
  <c r="F101" i="5"/>
  <c r="H100" i="5"/>
  <c r="G100" i="5"/>
  <c r="F100" i="5"/>
  <c r="H99" i="5"/>
  <c r="G99" i="5"/>
  <c r="F99" i="5"/>
  <c r="H98" i="5"/>
  <c r="G98" i="5"/>
  <c r="F98" i="5"/>
  <c r="H97" i="5"/>
  <c r="G97" i="5"/>
  <c r="F97" i="5"/>
  <c r="H96" i="5"/>
  <c r="G96" i="5"/>
  <c r="F96" i="5"/>
  <c r="H95" i="5"/>
  <c r="G95" i="5"/>
  <c r="F95" i="5"/>
  <c r="H94" i="5"/>
  <c r="G94" i="5"/>
  <c r="F94" i="5"/>
  <c r="H93" i="5"/>
  <c r="G93" i="5"/>
  <c r="F93" i="5"/>
  <c r="H92" i="5"/>
  <c r="G92" i="5"/>
  <c r="F92" i="5"/>
  <c r="H91" i="5"/>
  <c r="G91" i="5"/>
  <c r="F91" i="5"/>
  <c r="B85" i="5"/>
  <c r="J49" i="5" s="1"/>
  <c r="J66" i="5" s="1"/>
  <c r="F71" i="5"/>
  <c r="F70" i="5"/>
  <c r="F69" i="5"/>
  <c r="F68" i="5"/>
  <c r="B66" i="5"/>
  <c r="H65" i="5"/>
  <c r="G65" i="5"/>
  <c r="F65" i="5"/>
  <c r="H64" i="5"/>
  <c r="G64" i="5"/>
  <c r="F64" i="5"/>
  <c r="H63" i="5"/>
  <c r="G63" i="5"/>
  <c r="F63" i="5"/>
  <c r="H62" i="5"/>
  <c r="H61" i="5"/>
  <c r="G61" i="5"/>
  <c r="F61" i="5"/>
  <c r="H60" i="5"/>
  <c r="G60" i="5"/>
  <c r="F60" i="5"/>
  <c r="H59" i="5"/>
  <c r="G59" i="5"/>
  <c r="F59" i="5"/>
  <c r="H58" i="5"/>
  <c r="G58" i="5"/>
  <c r="F58" i="5"/>
  <c r="H57" i="5"/>
  <c r="G57" i="5"/>
  <c r="F57" i="5"/>
  <c r="H56" i="5"/>
  <c r="G56" i="5"/>
  <c r="F56" i="5"/>
  <c r="H55" i="5"/>
  <c r="G55" i="5"/>
  <c r="F55" i="5"/>
  <c r="H54" i="5"/>
  <c r="G54" i="5"/>
  <c r="F54" i="5"/>
  <c r="H53" i="5"/>
  <c r="G53" i="5"/>
  <c r="F53" i="5"/>
  <c r="H52" i="5"/>
  <c r="G52" i="5"/>
  <c r="F52" i="5"/>
  <c r="H51" i="5"/>
  <c r="G51" i="5"/>
  <c r="F51" i="5"/>
  <c r="H50" i="5"/>
  <c r="G50" i="5"/>
  <c r="F50" i="5"/>
  <c r="H49" i="5"/>
  <c r="G49" i="5"/>
  <c r="F49" i="5"/>
  <c r="B42" i="5"/>
  <c r="J6" i="5" s="1"/>
  <c r="W102" i="6"/>
  <c r="S102" i="6"/>
  <c r="O102" i="6"/>
  <c r="K102" i="6"/>
  <c r="G102" i="6"/>
  <c r="C102" i="6"/>
  <c r="W94" i="6"/>
  <c r="S94" i="6"/>
  <c r="O94" i="6"/>
  <c r="K94" i="6"/>
  <c r="G94" i="6"/>
  <c r="C94" i="6"/>
  <c r="W90" i="6"/>
  <c r="S90" i="6"/>
  <c r="O90" i="6"/>
  <c r="K90" i="6"/>
  <c r="G90" i="6"/>
  <c r="C90" i="6"/>
  <c r="W82" i="6"/>
  <c r="S82" i="6"/>
  <c r="O82" i="6"/>
  <c r="K82" i="6"/>
  <c r="G82" i="6"/>
  <c r="C82" i="6"/>
  <c r="W79" i="6"/>
  <c r="S79" i="6"/>
  <c r="O79" i="6"/>
  <c r="K79" i="6"/>
  <c r="G79" i="6"/>
  <c r="C79" i="6"/>
  <c r="W78" i="6"/>
  <c r="S78" i="6"/>
  <c r="O78" i="6"/>
  <c r="K78" i="6"/>
  <c r="G78" i="6"/>
  <c r="C78" i="6"/>
  <c r="W77" i="6"/>
  <c r="S77" i="6"/>
  <c r="O77" i="6"/>
  <c r="K77" i="6"/>
  <c r="G77" i="6"/>
  <c r="C77" i="6"/>
  <c r="W76" i="6"/>
  <c r="S76" i="6"/>
  <c r="O76" i="6"/>
  <c r="K76" i="6"/>
  <c r="G76" i="6"/>
  <c r="C76" i="6"/>
  <c r="W75" i="6"/>
  <c r="S75" i="6"/>
  <c r="O75" i="6"/>
  <c r="K75" i="6"/>
  <c r="G75" i="6"/>
  <c r="C75" i="6"/>
  <c r="W74" i="6"/>
  <c r="S74" i="6"/>
  <c r="O74" i="6"/>
  <c r="K74" i="6"/>
  <c r="G74" i="6"/>
  <c r="C74" i="6"/>
  <c r="W70" i="6"/>
  <c r="S70" i="6"/>
  <c r="O70" i="6"/>
  <c r="K70" i="6"/>
  <c r="G70" i="6"/>
  <c r="C70" i="6"/>
  <c r="W62" i="6"/>
  <c r="S62" i="6"/>
  <c r="O62" i="6"/>
  <c r="K62" i="6"/>
  <c r="G62" i="6"/>
  <c r="C62" i="6"/>
  <c r="W59" i="6"/>
  <c r="S59" i="6"/>
  <c r="O59" i="6"/>
  <c r="K59" i="6"/>
  <c r="G59" i="6"/>
  <c r="C59" i="6"/>
  <c r="W58" i="6"/>
  <c r="S58" i="6"/>
  <c r="O58" i="6"/>
  <c r="K58" i="6"/>
  <c r="G58" i="6"/>
  <c r="C58" i="6"/>
  <c r="W57" i="6"/>
  <c r="S57" i="6"/>
  <c r="O57" i="6"/>
  <c r="K57" i="6"/>
  <c r="G57" i="6"/>
  <c r="C57" i="6"/>
  <c r="W56" i="6"/>
  <c r="S56" i="6"/>
  <c r="O56" i="6"/>
  <c r="K56" i="6"/>
  <c r="G56" i="6"/>
  <c r="C56" i="6"/>
  <c r="W55" i="6"/>
  <c r="S55" i="6"/>
  <c r="O55" i="6"/>
  <c r="K55" i="6"/>
  <c r="G55" i="6"/>
  <c r="C55" i="6"/>
  <c r="W54" i="6"/>
  <c r="S54" i="6"/>
  <c r="O54" i="6"/>
  <c r="K54" i="6"/>
  <c r="G54" i="6"/>
  <c r="C54" i="6"/>
  <c r="W50" i="6"/>
  <c r="S50" i="6"/>
  <c r="O50" i="6"/>
  <c r="K50" i="6"/>
  <c r="G50" i="6"/>
  <c r="C50" i="6"/>
  <c r="W42" i="6"/>
  <c r="S42" i="6"/>
  <c r="O42" i="6"/>
  <c r="K42" i="6"/>
  <c r="G42" i="6"/>
  <c r="C42" i="6"/>
  <c r="S39" i="6"/>
  <c r="O39" i="6"/>
  <c r="K39" i="6"/>
  <c r="G39" i="6"/>
  <c r="C39" i="6"/>
  <c r="S38" i="6"/>
  <c r="O38" i="6"/>
  <c r="K38" i="6"/>
  <c r="G38" i="6"/>
  <c r="C38" i="6"/>
  <c r="S37" i="6"/>
  <c r="O37" i="6"/>
  <c r="K37" i="6"/>
  <c r="G37" i="6"/>
  <c r="C37" i="6"/>
  <c r="S36" i="6"/>
  <c r="O36" i="6"/>
  <c r="K36" i="6"/>
  <c r="G36" i="6"/>
  <c r="C36" i="6"/>
  <c r="S35" i="6"/>
  <c r="O35" i="6"/>
  <c r="K35" i="6"/>
  <c r="G35" i="6"/>
  <c r="C35" i="6"/>
  <c r="S34" i="6"/>
  <c r="O34" i="6"/>
  <c r="K34" i="6"/>
  <c r="G34" i="6"/>
  <c r="C34" i="6"/>
  <c r="S30" i="6"/>
  <c r="O30" i="6"/>
  <c r="K30" i="6"/>
  <c r="G30" i="6"/>
  <c r="C30" i="6"/>
  <c r="S22" i="6"/>
  <c r="O22" i="6"/>
  <c r="K22" i="6"/>
  <c r="G22" i="6"/>
  <c r="C22" i="6"/>
  <c r="W18" i="6"/>
  <c r="W17" i="6"/>
  <c r="W16" i="6"/>
  <c r="W15" i="6"/>
  <c r="W14" i="6"/>
  <c r="W13" i="6"/>
  <c r="W9" i="6"/>
  <c r="W1" i="6"/>
  <c r="S18" i="6"/>
  <c r="S17" i="6"/>
  <c r="S16" i="6"/>
  <c r="S15" i="6"/>
  <c r="S14" i="6"/>
  <c r="S13" i="6"/>
  <c r="S9" i="6"/>
  <c r="S1" i="6"/>
  <c r="O18" i="6"/>
  <c r="O17" i="6"/>
  <c r="O16" i="6"/>
  <c r="O15" i="6"/>
  <c r="O14" i="6"/>
  <c r="O13" i="6"/>
  <c r="O9" i="6"/>
  <c r="O1" i="6"/>
  <c r="K18" i="6"/>
  <c r="K17" i="6"/>
  <c r="K16" i="6"/>
  <c r="K15" i="6"/>
  <c r="K14" i="6"/>
  <c r="K13" i="6"/>
  <c r="K9" i="6"/>
  <c r="K1" i="6"/>
  <c r="G18" i="6"/>
  <c r="G17" i="6"/>
  <c r="G16" i="6"/>
  <c r="G15" i="6"/>
  <c r="G14" i="6"/>
  <c r="G13" i="6"/>
  <c r="G9" i="6"/>
  <c r="G1" i="6"/>
  <c r="C18" i="6"/>
  <c r="C17" i="6"/>
  <c r="C16" i="6"/>
  <c r="C15" i="6"/>
  <c r="C14" i="6"/>
  <c r="C13" i="6"/>
  <c r="C9" i="6"/>
  <c r="C1" i="6"/>
  <c r="W17" i="8"/>
  <c r="R17" i="8"/>
  <c r="R6" i="8"/>
  <c r="R7" i="8" s="1"/>
  <c r="R8" i="8" s="1"/>
  <c r="R9" i="8" s="1"/>
  <c r="R10" i="8" s="1"/>
  <c r="R11" i="8" s="1"/>
  <c r="R13" i="8" s="1"/>
  <c r="W6" i="8"/>
  <c r="W7" i="8" s="1"/>
  <c r="J10" i="8"/>
  <c r="J11" i="8"/>
  <c r="J266" i="14" l="1"/>
  <c r="J283" i="14" s="1"/>
  <c r="H913" i="14"/>
  <c r="K913" i="14" s="1"/>
  <c r="J179" i="14"/>
  <c r="J196" i="14" s="1"/>
  <c r="G364" i="14"/>
  <c r="J136" i="14"/>
  <c r="J153" i="14" s="1"/>
  <c r="G1087" i="14"/>
  <c r="H364" i="14"/>
  <c r="K364" i="14" s="1"/>
  <c r="G408" i="14"/>
  <c r="F538" i="14"/>
  <c r="F575" i="14"/>
  <c r="H408" i="14"/>
  <c r="K408" i="14" s="1"/>
  <c r="G495" i="14"/>
  <c r="G538" i="14"/>
  <c r="F1087" i="14"/>
  <c r="H1087" i="14"/>
  <c r="K1087" i="14" s="1"/>
  <c r="J93" i="14"/>
  <c r="J110" i="14" s="1"/>
  <c r="O163" i="8"/>
  <c r="O164" i="8" s="1"/>
  <c r="O165" i="8" s="1"/>
  <c r="O166" i="8" s="1"/>
  <c r="O167" i="8" s="1"/>
  <c r="O170" i="8" s="1"/>
  <c r="J67" i="14"/>
  <c r="H538" i="14"/>
  <c r="H575" i="14"/>
  <c r="K575" i="14" s="1"/>
  <c r="F790" i="14"/>
  <c r="F827" i="14"/>
  <c r="F1044" i="14"/>
  <c r="G110" i="14"/>
  <c r="G704" i="14"/>
  <c r="G747" i="14"/>
  <c r="G870" i="14"/>
  <c r="G913" i="14"/>
  <c r="H67" i="14"/>
  <c r="H704" i="14"/>
  <c r="K704" i="14" s="1"/>
  <c r="F283" i="14"/>
  <c r="H452" i="14"/>
  <c r="K452" i="14" s="1"/>
  <c r="H153" i="14"/>
  <c r="G321" i="14"/>
  <c r="F452" i="14"/>
  <c r="G575" i="14"/>
  <c r="F704" i="14"/>
  <c r="H790" i="14"/>
  <c r="K790" i="14" s="1"/>
  <c r="H827" i="14"/>
  <c r="K827" i="14" s="1"/>
  <c r="H870" i="14"/>
  <c r="K870" i="14" s="1"/>
  <c r="F956" i="14"/>
  <c r="F999" i="14"/>
  <c r="G283" i="14"/>
  <c r="F321" i="14"/>
  <c r="G956" i="14"/>
  <c r="G999" i="14"/>
  <c r="G1044" i="14"/>
  <c r="F67" i="14"/>
  <c r="H283" i="14"/>
  <c r="F364" i="14"/>
  <c r="F618" i="14"/>
  <c r="F661" i="14"/>
  <c r="F870" i="14"/>
  <c r="H956" i="14"/>
  <c r="K956" i="14" s="1"/>
  <c r="H999" i="14"/>
  <c r="H1044" i="14"/>
  <c r="K1044" i="14" s="1"/>
  <c r="F495" i="14"/>
  <c r="F747" i="14"/>
  <c r="H321" i="14"/>
  <c r="K321" i="14" s="1"/>
  <c r="F408" i="14"/>
  <c r="G618" i="14"/>
  <c r="G661" i="14"/>
  <c r="H747" i="14"/>
  <c r="K747" i="14" s="1"/>
  <c r="F153" i="14"/>
  <c r="G452" i="14"/>
  <c r="H618" i="14"/>
  <c r="K618" i="14" s="1"/>
  <c r="H661" i="14"/>
  <c r="K661" i="14" s="1"/>
  <c r="G239" i="14"/>
  <c r="H23" i="14"/>
  <c r="K23" i="14" s="1"/>
  <c r="H495" i="14"/>
  <c r="K495" i="14" s="1"/>
  <c r="G790" i="14"/>
  <c r="G827" i="14"/>
  <c r="F913" i="14"/>
  <c r="F239" i="14"/>
  <c r="H239" i="14"/>
  <c r="K239" i="14" s="1"/>
  <c r="F196" i="14"/>
  <c r="G196" i="14"/>
  <c r="H196" i="14"/>
  <c r="G153" i="14"/>
  <c r="F110" i="14"/>
  <c r="H110" i="14"/>
  <c r="G67" i="14"/>
  <c r="F23" i="14"/>
  <c r="G23" i="14"/>
  <c r="P189" i="8"/>
  <c r="W175" i="8"/>
  <c r="W176" i="8" s="1"/>
  <c r="W177" i="8" s="1"/>
  <c r="W178" i="8" s="1"/>
  <c r="W180" i="8" s="1"/>
  <c r="W183" i="8" s="1"/>
  <c r="W184" i="8" s="1"/>
  <c r="W185" i="8" s="1"/>
  <c r="W186" i="8" s="1"/>
  <c r="W187" i="8" s="1"/>
  <c r="W188" i="8" s="1"/>
  <c r="W190" i="8" s="1"/>
  <c r="W193" i="8" s="1"/>
  <c r="W194" i="8" s="1"/>
  <c r="W195" i="8" s="1"/>
  <c r="W196" i="8" s="1"/>
  <c r="W197" i="8" s="1"/>
  <c r="W198" i="8" s="1"/>
  <c r="W200" i="8" s="1"/>
  <c r="X169" i="8"/>
  <c r="W162" i="8"/>
  <c r="W163" i="8" s="1"/>
  <c r="W164" i="8" s="1"/>
  <c r="W165" i="8" s="1"/>
  <c r="W166" i="8" s="1"/>
  <c r="W167" i="8" s="1"/>
  <c r="O177" i="8"/>
  <c r="O178" i="8" s="1"/>
  <c r="O180" i="8" s="1"/>
  <c r="O183" i="8" s="1"/>
  <c r="O184" i="8" s="1"/>
  <c r="O185" i="8" s="1"/>
  <c r="O186" i="8" s="1"/>
  <c r="O187" i="8" s="1"/>
  <c r="O188" i="8" s="1"/>
  <c r="O190" i="8" s="1"/>
  <c r="O193" i="8" s="1"/>
  <c r="O194" i="8" s="1"/>
  <c r="O195" i="8" s="1"/>
  <c r="O196" i="8" s="1"/>
  <c r="O197" i="8" s="1"/>
  <c r="O198" i="8" s="1"/>
  <c r="O200" i="8" s="1"/>
  <c r="P169" i="8"/>
  <c r="I130" i="8"/>
  <c r="L136" i="8"/>
  <c r="L137" i="8" s="1"/>
  <c r="L138" i="8" s="1"/>
  <c r="L139" i="8" s="1"/>
  <c r="I151" i="8"/>
  <c r="L146" i="8"/>
  <c r="L151" i="8" s="1"/>
  <c r="L152" i="8" s="1"/>
  <c r="M153" i="8"/>
  <c r="AB150" i="8" s="1"/>
  <c r="I140" i="8"/>
  <c r="I110" i="8"/>
  <c r="P120" i="8"/>
  <c r="I120" i="8"/>
  <c r="L125" i="8"/>
  <c r="L126" i="8" s="1"/>
  <c r="L127" i="8" s="1"/>
  <c r="L128" i="8" s="1"/>
  <c r="R151" i="8"/>
  <c r="L129" i="8"/>
  <c r="L130" i="8" s="1"/>
  <c r="L131" i="8" s="1"/>
  <c r="X140" i="8"/>
  <c r="J120" i="8"/>
  <c r="H153" i="8"/>
  <c r="AF150" i="8" s="1"/>
  <c r="L140" i="8"/>
  <c r="N120" i="10"/>
  <c r="N121" i="10"/>
  <c r="X130" i="8"/>
  <c r="W109" i="8"/>
  <c r="W111" i="8" s="1"/>
  <c r="W114" i="8" s="1"/>
  <c r="W115" i="8" s="1"/>
  <c r="W116" i="8" s="1"/>
  <c r="W117" i="8" s="1"/>
  <c r="W118" i="8" s="1"/>
  <c r="W119" i="8" s="1"/>
  <c r="W121" i="8" s="1"/>
  <c r="W124" i="8" s="1"/>
  <c r="W125" i="8" s="1"/>
  <c r="W126" i="8" s="1"/>
  <c r="W127" i="8" s="1"/>
  <c r="W128" i="8" s="1"/>
  <c r="W129" i="8" s="1"/>
  <c r="W131" i="8" s="1"/>
  <c r="W134" i="8" s="1"/>
  <c r="W135" i="8" s="1"/>
  <c r="W136" i="8" s="1"/>
  <c r="W137" i="8" s="1"/>
  <c r="W138" i="8" s="1"/>
  <c r="W139" i="8" s="1"/>
  <c r="W141" i="8" s="1"/>
  <c r="O115" i="8"/>
  <c r="O116" i="8" s="1"/>
  <c r="O117" i="8" s="1"/>
  <c r="O118" i="8" s="1"/>
  <c r="O119" i="8" s="1"/>
  <c r="O121" i="8" s="1"/>
  <c r="O124" i="8" s="1"/>
  <c r="O125" i="8" s="1"/>
  <c r="O126" i="8" s="1"/>
  <c r="O127" i="8" s="1"/>
  <c r="O128" i="8" s="1"/>
  <c r="O129" i="8" s="1"/>
  <c r="O131" i="8" s="1"/>
  <c r="O134" i="8" s="1"/>
  <c r="O135" i="8" s="1"/>
  <c r="O136" i="8" s="1"/>
  <c r="O137" i="8" s="1"/>
  <c r="O138" i="8" s="1"/>
  <c r="O139" i="8" s="1"/>
  <c r="O141" i="8" s="1"/>
  <c r="O145" i="8" s="1"/>
  <c r="O146" i="8" s="1"/>
  <c r="O151" i="8" s="1"/>
  <c r="O152" i="8" s="1"/>
  <c r="M93" i="8"/>
  <c r="L148" i="8"/>
  <c r="L149" i="8" s="1"/>
  <c r="L150" i="8" s="1"/>
  <c r="X61" i="8"/>
  <c r="O148" i="8"/>
  <c r="O149" i="8" s="1"/>
  <c r="O150" i="8" s="1"/>
  <c r="L174" i="8"/>
  <c r="L175" i="8" s="1"/>
  <c r="L176" i="8" s="1"/>
  <c r="L177" i="8" s="1"/>
  <c r="L178" i="8" s="1"/>
  <c r="L180" i="8" s="1"/>
  <c r="L115" i="8"/>
  <c r="X151" i="8"/>
  <c r="L194" i="8"/>
  <c r="L195" i="8" s="1"/>
  <c r="L196" i="8" s="1"/>
  <c r="L197" i="8" s="1"/>
  <c r="L198" i="8" s="1"/>
  <c r="L200" i="8" s="1"/>
  <c r="P110" i="8"/>
  <c r="P71" i="8"/>
  <c r="O104" i="8"/>
  <c r="O105" i="8" s="1"/>
  <c r="O106" i="8" s="1"/>
  <c r="O107" i="8" s="1"/>
  <c r="X110" i="8"/>
  <c r="R111" i="8"/>
  <c r="R153" i="8" s="1"/>
  <c r="AE150" i="8" s="1"/>
  <c r="X91" i="8"/>
  <c r="J151" i="8"/>
  <c r="L184" i="8"/>
  <c r="L185" i="8" s="1"/>
  <c r="L186" i="8" s="1"/>
  <c r="L187" i="8" s="1"/>
  <c r="L188" i="8" s="1"/>
  <c r="L190" i="8" s="1"/>
  <c r="W146" i="8"/>
  <c r="P151" i="8"/>
  <c r="N107" i="10"/>
  <c r="N104" i="10"/>
  <c r="P140" i="8"/>
  <c r="P130" i="8"/>
  <c r="L105" i="8"/>
  <c r="L106" i="8" s="1"/>
  <c r="L107" i="8" s="1"/>
  <c r="L108" i="8" s="1"/>
  <c r="L109" i="8" s="1"/>
  <c r="L110" i="8" s="1"/>
  <c r="L111" i="8" s="1"/>
  <c r="N89" i="10"/>
  <c r="N88" i="10"/>
  <c r="N91" i="10"/>
  <c r="J262" i="13"/>
  <c r="J279" i="13" s="1"/>
  <c r="J50" i="13"/>
  <c r="J67" i="13" s="1"/>
  <c r="J93" i="13"/>
  <c r="J110" i="13" s="1"/>
  <c r="J136" i="13"/>
  <c r="J153" i="13" s="1"/>
  <c r="J180" i="13"/>
  <c r="J197" i="13" s="1"/>
  <c r="J224" i="13"/>
  <c r="J241" i="13" s="1"/>
  <c r="F1084" i="13"/>
  <c r="K1112" i="16"/>
  <c r="K243" i="16"/>
  <c r="K287" i="16"/>
  <c r="K506" i="16"/>
  <c r="K593" i="16"/>
  <c r="K895" i="16"/>
  <c r="K680" i="16"/>
  <c r="K1024" i="16"/>
  <c r="J982" i="14"/>
  <c r="J999" i="14" s="1"/>
  <c r="J521" i="14"/>
  <c r="J538" i="14" s="1"/>
  <c r="G1084" i="13"/>
  <c r="H1084" i="13"/>
  <c r="K1084" i="13" s="1"/>
  <c r="H996" i="13"/>
  <c r="K996" i="13" s="1"/>
  <c r="H1041" i="13"/>
  <c r="K1041" i="13" s="1"/>
  <c r="G1041" i="13"/>
  <c r="F996" i="13"/>
  <c r="G996" i="13"/>
  <c r="F1041" i="13"/>
  <c r="H916" i="13"/>
  <c r="K916" i="13" s="1"/>
  <c r="H959" i="13"/>
  <c r="K959" i="13" s="1"/>
  <c r="F916" i="13"/>
  <c r="G959" i="13"/>
  <c r="G830" i="13"/>
  <c r="G916" i="13"/>
  <c r="H750" i="13"/>
  <c r="K750" i="13" s="1"/>
  <c r="H787" i="13"/>
  <c r="K787" i="13" s="1"/>
  <c r="F959" i="13"/>
  <c r="H873" i="13"/>
  <c r="K873" i="13" s="1"/>
  <c r="F787" i="13"/>
  <c r="G787" i="13"/>
  <c r="F750" i="13"/>
  <c r="H664" i="13"/>
  <c r="K664" i="13" s="1"/>
  <c r="F873" i="13"/>
  <c r="G873" i="13"/>
  <c r="F830" i="13"/>
  <c r="G750" i="13"/>
  <c r="H830" i="13"/>
  <c r="K830" i="13" s="1"/>
  <c r="H707" i="13"/>
  <c r="K707" i="13" s="1"/>
  <c r="F707" i="13"/>
  <c r="F664" i="13"/>
  <c r="G707" i="13"/>
  <c r="G664" i="13"/>
  <c r="H534" i="13"/>
  <c r="K534" i="13" s="1"/>
  <c r="H621" i="13"/>
  <c r="K621" i="13" s="1"/>
  <c r="G577" i="13"/>
  <c r="F534" i="13"/>
  <c r="F577" i="13"/>
  <c r="H497" i="13"/>
  <c r="K497" i="13" s="1"/>
  <c r="G534" i="13"/>
  <c r="F621" i="13"/>
  <c r="G621" i="13"/>
  <c r="H577" i="13"/>
  <c r="K577" i="13" s="1"/>
  <c r="F454" i="13"/>
  <c r="G497" i="13"/>
  <c r="F497" i="13"/>
  <c r="H454" i="13"/>
  <c r="K454" i="13" s="1"/>
  <c r="G454" i="13"/>
  <c r="J366" i="13"/>
  <c r="J323" i="13"/>
  <c r="H410" i="13"/>
  <c r="K410" i="13" s="1"/>
  <c r="F410" i="13"/>
  <c r="F366" i="13"/>
  <c r="G410" i="13"/>
  <c r="G366" i="13"/>
  <c r="G323" i="13"/>
  <c r="F323" i="13"/>
  <c r="H323" i="13"/>
  <c r="H366" i="13"/>
  <c r="G67" i="13"/>
  <c r="F241" i="13"/>
  <c r="F279" i="13"/>
  <c r="H279" i="13"/>
  <c r="H110" i="13"/>
  <c r="G241" i="13"/>
  <c r="H241" i="13"/>
  <c r="F110" i="13"/>
  <c r="F153" i="13"/>
  <c r="G279" i="13"/>
  <c r="G197" i="13"/>
  <c r="H153" i="13"/>
  <c r="H67" i="13"/>
  <c r="F197" i="13"/>
  <c r="F67" i="13"/>
  <c r="H197" i="13"/>
  <c r="G110" i="13"/>
  <c r="G153" i="13"/>
  <c r="I199" i="8"/>
  <c r="J130" i="8"/>
  <c r="J169" i="8"/>
  <c r="J110" i="8"/>
  <c r="I169" i="8"/>
  <c r="I189" i="8"/>
  <c r="J199" i="8"/>
  <c r="L163" i="8"/>
  <c r="L164" i="8" s="1"/>
  <c r="L165" i="8" s="1"/>
  <c r="L166" i="8" s="1"/>
  <c r="L167" i="8" s="1"/>
  <c r="L170" i="8" s="1"/>
  <c r="I179" i="8"/>
  <c r="J179" i="8"/>
  <c r="J189" i="8"/>
  <c r="J140" i="8"/>
  <c r="X44" i="8"/>
  <c r="H1003" i="12"/>
  <c r="K1003" i="12" s="1"/>
  <c r="G1003" i="12"/>
  <c r="F1003" i="12"/>
  <c r="N73" i="10"/>
  <c r="N70" i="10"/>
  <c r="H960" i="12"/>
  <c r="K960" i="12" s="1"/>
  <c r="F960" i="12"/>
  <c r="G960" i="12"/>
  <c r="H916" i="12"/>
  <c r="K916" i="12" s="1"/>
  <c r="G916" i="12"/>
  <c r="F916" i="12"/>
  <c r="H873" i="12"/>
  <c r="G873" i="12"/>
  <c r="F873" i="12"/>
  <c r="K873" i="12"/>
  <c r="H830" i="12"/>
  <c r="K830" i="12" s="1"/>
  <c r="H786" i="12"/>
  <c r="K786" i="12" s="1"/>
  <c r="F786" i="12"/>
  <c r="G830" i="12"/>
  <c r="F830" i="12"/>
  <c r="G786" i="12"/>
  <c r="X23" i="8"/>
  <c r="P44" i="8"/>
  <c r="P33" i="8"/>
  <c r="M47" i="8"/>
  <c r="P23" i="8"/>
  <c r="I12" i="8"/>
  <c r="X12" i="8"/>
  <c r="X34" i="8"/>
  <c r="S47" i="8"/>
  <c r="P12" i="8"/>
  <c r="G705" i="12"/>
  <c r="H705" i="12"/>
  <c r="K705" i="12" s="1"/>
  <c r="F705" i="12"/>
  <c r="G619" i="12"/>
  <c r="G576" i="12"/>
  <c r="H748" i="12"/>
  <c r="K748" i="12" s="1"/>
  <c r="H662" i="12"/>
  <c r="K662" i="12" s="1"/>
  <c r="F662" i="12"/>
  <c r="F576" i="12"/>
  <c r="H619" i="12"/>
  <c r="K619" i="12" s="1"/>
  <c r="F533" i="12"/>
  <c r="H576" i="12"/>
  <c r="K576" i="12" s="1"/>
  <c r="F619" i="12"/>
  <c r="G662" i="12"/>
  <c r="G748" i="12"/>
  <c r="F748" i="12"/>
  <c r="G533" i="12"/>
  <c r="H533" i="12"/>
  <c r="K533" i="12" s="1"/>
  <c r="H496" i="12"/>
  <c r="K496" i="12" s="1"/>
  <c r="G496" i="12"/>
  <c r="F496" i="12"/>
  <c r="I39" i="10"/>
  <c r="I44" i="10" s="1"/>
  <c r="I43" i="10"/>
  <c r="M57" i="10"/>
  <c r="N57" i="10" s="1"/>
  <c r="N58" i="10"/>
  <c r="M10" i="10"/>
  <c r="M26" i="10"/>
  <c r="N26" i="10" s="1"/>
  <c r="M29" i="10"/>
  <c r="N29" i="10" s="1"/>
  <c r="M55" i="10"/>
  <c r="N55" i="10" s="1"/>
  <c r="N54" i="10"/>
  <c r="N59" i="10" s="1"/>
  <c r="M56" i="10"/>
  <c r="N56" i="10"/>
  <c r="M28" i="10"/>
  <c r="N28" i="10" s="1"/>
  <c r="M27" i="10"/>
  <c r="N27" i="10" s="1"/>
  <c r="M8" i="10"/>
  <c r="H453" i="12"/>
  <c r="K453" i="12" s="1"/>
  <c r="G453" i="12"/>
  <c r="F453" i="12"/>
  <c r="H410" i="12"/>
  <c r="K410" i="12" s="1"/>
  <c r="G410" i="12"/>
  <c r="F410" i="12"/>
  <c r="G366" i="12"/>
  <c r="H366" i="12"/>
  <c r="K366" i="12" s="1"/>
  <c r="F366" i="12"/>
  <c r="G323" i="12"/>
  <c r="H323" i="12"/>
  <c r="K323" i="12" s="1"/>
  <c r="F323" i="12"/>
  <c r="H280" i="12"/>
  <c r="K280" i="12" s="1"/>
  <c r="F280" i="12"/>
  <c r="G280" i="12"/>
  <c r="G40" i="6"/>
  <c r="K40" i="6"/>
  <c r="C60" i="6"/>
  <c r="S60" i="6"/>
  <c r="O60" i="6"/>
  <c r="S40" i="6"/>
  <c r="C80" i="6"/>
  <c r="G80" i="6"/>
  <c r="W80" i="6"/>
  <c r="W60" i="6"/>
  <c r="K80" i="6"/>
  <c r="C40" i="6"/>
  <c r="S80" i="6"/>
  <c r="O80" i="6"/>
  <c r="K60" i="6"/>
  <c r="O40" i="6"/>
  <c r="G60" i="6"/>
  <c r="D47" i="8"/>
  <c r="H47" i="8"/>
  <c r="E47" i="8"/>
  <c r="G47" i="8"/>
  <c r="H243" i="12"/>
  <c r="K243" i="12" s="1"/>
  <c r="F243" i="12"/>
  <c r="G243" i="12"/>
  <c r="H199" i="12"/>
  <c r="K199" i="12" s="1"/>
  <c r="G199" i="12"/>
  <c r="F199" i="12"/>
  <c r="G155" i="12"/>
  <c r="H155" i="12"/>
  <c r="K155" i="12" s="1"/>
  <c r="F155" i="12"/>
  <c r="G111" i="12"/>
  <c r="F111" i="12"/>
  <c r="H111" i="12"/>
  <c r="K111" i="12" s="1"/>
  <c r="F67" i="12"/>
  <c r="G67" i="12"/>
  <c r="H67" i="12"/>
  <c r="K67" i="12" s="1"/>
  <c r="H955" i="5"/>
  <c r="K955" i="5" s="1"/>
  <c r="F727" i="5"/>
  <c r="F730" i="5"/>
  <c r="I735" i="5"/>
  <c r="I731" i="5"/>
  <c r="I738" i="5"/>
  <c r="F725" i="5"/>
  <c r="G955" i="5"/>
  <c r="F955" i="5"/>
  <c r="N25" i="10"/>
  <c r="G912" i="5"/>
  <c r="H912" i="5"/>
  <c r="K912" i="5" s="1"/>
  <c r="F912" i="5"/>
  <c r="G869" i="5"/>
  <c r="H869" i="5"/>
  <c r="K869" i="5" s="1"/>
  <c r="F869" i="5"/>
  <c r="H826" i="5"/>
  <c r="K826" i="5" s="1"/>
  <c r="F826" i="5"/>
  <c r="G826" i="5"/>
  <c r="G783" i="5"/>
  <c r="H783" i="5"/>
  <c r="K783" i="5" s="1"/>
  <c r="I770" i="5"/>
  <c r="I778" i="5"/>
  <c r="B783" i="5"/>
  <c r="I772" i="5"/>
  <c r="F776" i="5"/>
  <c r="F783" i="5" s="1"/>
  <c r="F739" i="5"/>
  <c r="F737" i="5"/>
  <c r="F734" i="5"/>
  <c r="G740" i="5"/>
  <c r="I729" i="5"/>
  <c r="I723" i="5"/>
  <c r="B740" i="5"/>
  <c r="I724" i="5"/>
  <c r="I732" i="5"/>
  <c r="F724" i="5"/>
  <c r="F740" i="5" s="1"/>
  <c r="H740" i="5"/>
  <c r="K740" i="5" s="1"/>
  <c r="F703" i="5"/>
  <c r="H703" i="5"/>
  <c r="K703" i="5" s="1"/>
  <c r="F660" i="5"/>
  <c r="G703" i="5"/>
  <c r="F617" i="5"/>
  <c r="H617" i="5"/>
  <c r="K617" i="5" s="1"/>
  <c r="G617" i="5"/>
  <c r="F531" i="5"/>
  <c r="G574" i="5"/>
  <c r="F574" i="5"/>
  <c r="H660" i="5"/>
  <c r="K660" i="5" s="1"/>
  <c r="H488" i="5"/>
  <c r="K488" i="5" s="1"/>
  <c r="G488" i="5"/>
  <c r="F488" i="5"/>
  <c r="H574" i="5"/>
  <c r="K574" i="5" s="1"/>
  <c r="G531" i="5"/>
  <c r="H531" i="5"/>
  <c r="K531" i="5" s="1"/>
  <c r="G660" i="5"/>
  <c r="G320" i="5"/>
  <c r="F320" i="5"/>
  <c r="H452" i="5"/>
  <c r="K452" i="5" s="1"/>
  <c r="H364" i="5"/>
  <c r="K364" i="5" s="1"/>
  <c r="G408" i="5"/>
  <c r="G452" i="5"/>
  <c r="H276" i="5"/>
  <c r="K276" i="5" s="1"/>
  <c r="F408" i="5"/>
  <c r="H408" i="5"/>
  <c r="K408" i="5" s="1"/>
  <c r="F276" i="5"/>
  <c r="F452" i="5"/>
  <c r="G276" i="5"/>
  <c r="H320" i="5"/>
  <c r="K320" i="5" s="1"/>
  <c r="G364" i="5"/>
  <c r="F364" i="5"/>
  <c r="M12" i="10"/>
  <c r="M11" i="10"/>
  <c r="G239" i="5"/>
  <c r="H195" i="5"/>
  <c r="K195" i="5" s="1"/>
  <c r="H239" i="5"/>
  <c r="K239" i="5" s="1"/>
  <c r="F195" i="5"/>
  <c r="F239" i="5"/>
  <c r="G195" i="5"/>
  <c r="W8" i="8"/>
  <c r="W9" i="8" s="1"/>
  <c r="W10" i="8" s="1"/>
  <c r="W11" i="8" s="1"/>
  <c r="W13" i="8" s="1"/>
  <c r="O9" i="8"/>
  <c r="O10" i="8" s="1"/>
  <c r="O11" i="8" s="1"/>
  <c r="O13" i="8" s="1"/>
  <c r="O17" i="8" s="1"/>
  <c r="F151" i="5"/>
  <c r="G151" i="5"/>
  <c r="H151" i="5"/>
  <c r="K151" i="5" s="1"/>
  <c r="G66" i="5"/>
  <c r="F108" i="5"/>
  <c r="F66" i="5"/>
  <c r="H108" i="5"/>
  <c r="K108" i="5" s="1"/>
  <c r="H66" i="5"/>
  <c r="K66" i="5" s="1"/>
  <c r="G108" i="5"/>
  <c r="O19" i="6"/>
  <c r="C19" i="6"/>
  <c r="S19" i="6"/>
  <c r="G19" i="6"/>
  <c r="K19" i="6"/>
  <c r="W19" i="6"/>
  <c r="B1181" i="14"/>
  <c r="J1150" i="14" s="1"/>
  <c r="J1167" i="14" s="1"/>
  <c r="F1172" i="14"/>
  <c r="F1171" i="14"/>
  <c r="F1170" i="14"/>
  <c r="F1169" i="14"/>
  <c r="B1167" i="14"/>
  <c r="I1166" i="14"/>
  <c r="H1166" i="14"/>
  <c r="G1166" i="14"/>
  <c r="F1166" i="14"/>
  <c r="I1165" i="14"/>
  <c r="H1165" i="14"/>
  <c r="G1165" i="14"/>
  <c r="F1165" i="14"/>
  <c r="I1164" i="14"/>
  <c r="H1164" i="14"/>
  <c r="G1164" i="14"/>
  <c r="F1164" i="14"/>
  <c r="I1163" i="14"/>
  <c r="H1163" i="14"/>
  <c r="I1162" i="14"/>
  <c r="H1162" i="14"/>
  <c r="G1162" i="14"/>
  <c r="F1162" i="14"/>
  <c r="I1161" i="14"/>
  <c r="H1161" i="14"/>
  <c r="G1161" i="14"/>
  <c r="F1161" i="14"/>
  <c r="I1160" i="14"/>
  <c r="H1160" i="14"/>
  <c r="G1160" i="14"/>
  <c r="F1160" i="14"/>
  <c r="I1159" i="14"/>
  <c r="H1159" i="14"/>
  <c r="G1159" i="14"/>
  <c r="F1159" i="14"/>
  <c r="I1158" i="14"/>
  <c r="H1158" i="14"/>
  <c r="G1158" i="14"/>
  <c r="F1158" i="14"/>
  <c r="I1157" i="14"/>
  <c r="H1157" i="14"/>
  <c r="G1157" i="14"/>
  <c r="F1157" i="14"/>
  <c r="I1156" i="14"/>
  <c r="H1156" i="14"/>
  <c r="G1156" i="14"/>
  <c r="F1156" i="14"/>
  <c r="I1155" i="14"/>
  <c r="H1155" i="14"/>
  <c r="G1155" i="14"/>
  <c r="F1155" i="14"/>
  <c r="I1154" i="14"/>
  <c r="H1154" i="14"/>
  <c r="G1154" i="14"/>
  <c r="F1154" i="14"/>
  <c r="I1153" i="14"/>
  <c r="H1153" i="14"/>
  <c r="G1153" i="14"/>
  <c r="F1153" i="14"/>
  <c r="I1152" i="14"/>
  <c r="H1152" i="14"/>
  <c r="G1152" i="14"/>
  <c r="F1152" i="14"/>
  <c r="I1151" i="14"/>
  <c r="H1151" i="14"/>
  <c r="G1151" i="14"/>
  <c r="F1151" i="14"/>
  <c r="I1150" i="14"/>
  <c r="H1150" i="14"/>
  <c r="G1150" i="14"/>
  <c r="F1150" i="14"/>
  <c r="B1142" i="14"/>
  <c r="J1122" i="14" s="1"/>
  <c r="F1127" i="14"/>
  <c r="F1126" i="14"/>
  <c r="F1125" i="14"/>
  <c r="F1124" i="14"/>
  <c r="B1122" i="14"/>
  <c r="I1121" i="14"/>
  <c r="H1121" i="14"/>
  <c r="G1121" i="14"/>
  <c r="F1121" i="14"/>
  <c r="I1120" i="14"/>
  <c r="H1120" i="14"/>
  <c r="G1120" i="14"/>
  <c r="F1120" i="14"/>
  <c r="I1119" i="14"/>
  <c r="H1119" i="14"/>
  <c r="G1119" i="14"/>
  <c r="F1119" i="14"/>
  <c r="I1118" i="14"/>
  <c r="H1118" i="14"/>
  <c r="I1117" i="14"/>
  <c r="H1117" i="14"/>
  <c r="G1117" i="14"/>
  <c r="F1117" i="14"/>
  <c r="I1116" i="14"/>
  <c r="H1116" i="14"/>
  <c r="G1116" i="14"/>
  <c r="F1116" i="14"/>
  <c r="I1115" i="14"/>
  <c r="H1115" i="14"/>
  <c r="G1115" i="14"/>
  <c r="F1115" i="14"/>
  <c r="K999" i="14" l="1"/>
  <c r="K196" i="14"/>
  <c r="K153" i="14"/>
  <c r="K538" i="14"/>
  <c r="K110" i="14"/>
  <c r="K67" i="14"/>
  <c r="I153" i="8"/>
  <c r="AA150" i="8" s="1"/>
  <c r="P153" i="8"/>
  <c r="L116" i="8"/>
  <c r="L117" i="8" s="1"/>
  <c r="L118" i="8" s="1"/>
  <c r="L119" i="8" s="1"/>
  <c r="L120" i="8" s="1"/>
  <c r="L121" i="8" s="1"/>
  <c r="J153" i="8"/>
  <c r="X153" i="8"/>
  <c r="AC150" i="8" s="1"/>
  <c r="W148" i="8"/>
  <c r="W149" i="8" s="1"/>
  <c r="W150" i="8" s="1"/>
  <c r="W152" i="8"/>
  <c r="W156" i="8" s="1"/>
  <c r="W153" i="8"/>
  <c r="L141" i="8"/>
  <c r="X47" i="8"/>
  <c r="K323" i="13"/>
  <c r="K279" i="13"/>
  <c r="K67" i="13"/>
  <c r="K197" i="13"/>
  <c r="K153" i="13"/>
  <c r="K241" i="13"/>
  <c r="K110" i="13"/>
  <c r="O108" i="8"/>
  <c r="O109" i="8" s="1"/>
  <c r="O111" i="8" s="1"/>
  <c r="O153" i="8" s="1"/>
  <c r="K366" i="13"/>
  <c r="AB47" i="8"/>
  <c r="N75" i="10"/>
  <c r="P47" i="8"/>
  <c r="D49" i="8"/>
  <c r="N30" i="10"/>
  <c r="G1167" i="14"/>
  <c r="H1167" i="14"/>
  <c r="K1167" i="14" s="1"/>
  <c r="F1122" i="14"/>
  <c r="G1122" i="14"/>
  <c r="H1122" i="14"/>
  <c r="K1122" i="14" s="1"/>
  <c r="F1167" i="14"/>
  <c r="AB153" i="8" l="1"/>
  <c r="L153" i="8"/>
  <c r="AD150" i="8" s="1"/>
  <c r="AC153" i="8" s="1"/>
  <c r="AA47" i="8"/>
  <c r="E49" i="8"/>
  <c r="F49" i="8" s="1"/>
  <c r="B1016" i="13"/>
  <c r="B596" i="13"/>
  <c r="H61" i="8"/>
  <c r="H71" i="8"/>
  <c r="H81" i="8"/>
  <c r="H91" i="8"/>
  <c r="P61" i="8"/>
  <c r="I55" i="8"/>
  <c r="I28" i="8"/>
  <c r="I17" i="8"/>
  <c r="J23" i="13"/>
  <c r="F28" i="13"/>
  <c r="F27" i="13"/>
  <c r="F26" i="13"/>
  <c r="F25" i="13"/>
  <c r="B23" i="13"/>
  <c r="I22" i="13"/>
  <c r="H22" i="13"/>
  <c r="G22" i="13"/>
  <c r="F22" i="13"/>
  <c r="I21" i="13"/>
  <c r="H21" i="13"/>
  <c r="G21" i="13"/>
  <c r="F21" i="13"/>
  <c r="I20" i="13"/>
  <c r="H20" i="13"/>
  <c r="G20" i="13"/>
  <c r="F20" i="13"/>
  <c r="I19" i="13"/>
  <c r="H19" i="13"/>
  <c r="I18" i="13"/>
  <c r="H18" i="13"/>
  <c r="G18" i="13"/>
  <c r="F18" i="13"/>
  <c r="I17" i="13"/>
  <c r="H17" i="13"/>
  <c r="G17" i="13"/>
  <c r="F17" i="13"/>
  <c r="I16" i="13"/>
  <c r="H16" i="13"/>
  <c r="G16" i="13"/>
  <c r="F16" i="13"/>
  <c r="I15" i="13"/>
  <c r="H15" i="13"/>
  <c r="G15" i="13"/>
  <c r="F15" i="13"/>
  <c r="I14" i="13"/>
  <c r="H14" i="13"/>
  <c r="G14" i="13"/>
  <c r="F14" i="13"/>
  <c r="I13" i="13"/>
  <c r="H13" i="13"/>
  <c r="G13" i="13"/>
  <c r="F13" i="13"/>
  <c r="I12" i="13"/>
  <c r="H12" i="13"/>
  <c r="G12" i="13"/>
  <c r="F12" i="13"/>
  <c r="I11" i="13"/>
  <c r="H11" i="13"/>
  <c r="G11" i="13"/>
  <c r="F11" i="13"/>
  <c r="I10" i="13"/>
  <c r="H10" i="13"/>
  <c r="G10" i="13"/>
  <c r="F10" i="13"/>
  <c r="I9" i="13"/>
  <c r="H9" i="13"/>
  <c r="G9" i="13"/>
  <c r="F9" i="13"/>
  <c r="I8" i="13"/>
  <c r="H8" i="13"/>
  <c r="G8" i="13"/>
  <c r="F8" i="13"/>
  <c r="I7" i="13"/>
  <c r="H7" i="13"/>
  <c r="G7" i="13"/>
  <c r="F7" i="13"/>
  <c r="I6" i="13"/>
  <c r="H6" i="13"/>
  <c r="G6" i="13"/>
  <c r="F6" i="13"/>
  <c r="J90" i="8"/>
  <c r="I90" i="8"/>
  <c r="J88" i="8"/>
  <c r="I88" i="8"/>
  <c r="J87" i="8"/>
  <c r="I87" i="8"/>
  <c r="J86" i="8"/>
  <c r="I86" i="8"/>
  <c r="J85" i="8"/>
  <c r="L85" i="8" s="1"/>
  <c r="I85" i="8"/>
  <c r="I79" i="8"/>
  <c r="P81" i="8"/>
  <c r="X81" i="8"/>
  <c r="J80" i="8"/>
  <c r="I80" i="8"/>
  <c r="J78" i="8"/>
  <c r="I78" i="8"/>
  <c r="J77" i="8"/>
  <c r="I77" i="8"/>
  <c r="J76" i="8"/>
  <c r="I76" i="8"/>
  <c r="J75" i="8"/>
  <c r="L75" i="8" s="1"/>
  <c r="I75" i="8"/>
  <c r="R67" i="8"/>
  <c r="R68" i="8" s="1"/>
  <c r="R69" i="8" s="1"/>
  <c r="R70" i="8" s="1"/>
  <c r="R72" i="8" s="1"/>
  <c r="R75" i="8" s="1"/>
  <c r="R76" i="8" s="1"/>
  <c r="R77" i="8" s="1"/>
  <c r="R78" i="8" s="1"/>
  <c r="R79" i="8" s="1"/>
  <c r="R80" i="8" s="1"/>
  <c r="R82" i="8" s="1"/>
  <c r="R85" i="8" s="1"/>
  <c r="R86" i="8" s="1"/>
  <c r="R87" i="8" s="1"/>
  <c r="R88" i="8" s="1"/>
  <c r="R89" i="8" s="1"/>
  <c r="R90" i="8" s="1"/>
  <c r="R92" i="8" s="1"/>
  <c r="R65" i="8"/>
  <c r="J70" i="8"/>
  <c r="I70" i="8"/>
  <c r="J69" i="8"/>
  <c r="I69" i="8"/>
  <c r="J68" i="8"/>
  <c r="I68" i="8"/>
  <c r="J67" i="8"/>
  <c r="I67" i="8"/>
  <c r="J66" i="8"/>
  <c r="I66" i="8"/>
  <c r="J65" i="8"/>
  <c r="L65" i="8" s="1"/>
  <c r="I65" i="8"/>
  <c r="R55" i="8"/>
  <c r="R56" i="8" s="1"/>
  <c r="R57" i="8" s="1"/>
  <c r="R58" i="8" s="1"/>
  <c r="R59" i="8" s="1"/>
  <c r="R60" i="8" s="1"/>
  <c r="R62" i="8" s="1"/>
  <c r="O55" i="8"/>
  <c r="O56" i="8" s="1"/>
  <c r="F28" i="12"/>
  <c r="F27" i="12"/>
  <c r="F26" i="12"/>
  <c r="F25" i="12"/>
  <c r="B23" i="12"/>
  <c r="I22" i="12"/>
  <c r="H22" i="12"/>
  <c r="G22" i="12"/>
  <c r="F22" i="12"/>
  <c r="I21" i="12"/>
  <c r="H21" i="12"/>
  <c r="G21" i="12"/>
  <c r="F21" i="12"/>
  <c r="I20" i="12"/>
  <c r="H20" i="12"/>
  <c r="G20" i="12"/>
  <c r="F20" i="12"/>
  <c r="I19" i="12"/>
  <c r="H19" i="12"/>
  <c r="I18" i="12"/>
  <c r="H18" i="12"/>
  <c r="G18" i="12"/>
  <c r="F18" i="12"/>
  <c r="I17" i="12"/>
  <c r="H17" i="12"/>
  <c r="G17" i="12"/>
  <c r="F17" i="12"/>
  <c r="I16" i="12"/>
  <c r="H16" i="12"/>
  <c r="G16" i="12"/>
  <c r="F16" i="12"/>
  <c r="I15" i="12"/>
  <c r="H15" i="12"/>
  <c r="G15" i="12"/>
  <c r="F15" i="12"/>
  <c r="I14" i="12"/>
  <c r="H14" i="12"/>
  <c r="G14" i="12"/>
  <c r="F14" i="12"/>
  <c r="I13" i="12"/>
  <c r="H13" i="12"/>
  <c r="G13" i="12"/>
  <c r="F13" i="12"/>
  <c r="I12" i="12"/>
  <c r="H12" i="12"/>
  <c r="G12" i="12"/>
  <c r="F12" i="12"/>
  <c r="I11" i="12"/>
  <c r="H11" i="12"/>
  <c r="G11" i="12"/>
  <c r="F11" i="12"/>
  <c r="I10" i="12"/>
  <c r="H10" i="12"/>
  <c r="G10" i="12"/>
  <c r="F10" i="12"/>
  <c r="I9" i="12"/>
  <c r="H9" i="12"/>
  <c r="G9" i="12"/>
  <c r="F9" i="12"/>
  <c r="I8" i="12"/>
  <c r="H8" i="12"/>
  <c r="G8" i="12"/>
  <c r="F8" i="12"/>
  <c r="I7" i="12"/>
  <c r="H7" i="12"/>
  <c r="G7" i="12"/>
  <c r="F7" i="12"/>
  <c r="J6" i="12"/>
  <c r="J23" i="12" s="1"/>
  <c r="I6" i="12"/>
  <c r="H6" i="12"/>
  <c r="G6" i="12"/>
  <c r="F6" i="12"/>
  <c r="J60" i="8"/>
  <c r="I60" i="8"/>
  <c r="J59" i="8"/>
  <c r="I59" i="8"/>
  <c r="J58" i="8"/>
  <c r="I58" i="8"/>
  <c r="J57" i="8"/>
  <c r="I57" i="8"/>
  <c r="J56" i="8"/>
  <c r="I56" i="8"/>
  <c r="J55" i="8"/>
  <c r="L55" i="8" s="1"/>
  <c r="I29" i="8"/>
  <c r="I30" i="8"/>
  <c r="I31" i="8"/>
  <c r="I32" i="8"/>
  <c r="I38" i="8"/>
  <c r="I39" i="8"/>
  <c r="I40" i="8"/>
  <c r="I41" i="8"/>
  <c r="I42" i="8"/>
  <c r="I43" i="8"/>
  <c r="N12" i="10"/>
  <c r="N11" i="10"/>
  <c r="N10" i="10"/>
  <c r="N8" i="10"/>
  <c r="N9" i="10"/>
  <c r="R18" i="8"/>
  <c r="R19" i="8" s="1"/>
  <c r="R20" i="8" s="1"/>
  <c r="R21" i="8" s="1"/>
  <c r="R22" i="8" s="1"/>
  <c r="R24" i="8" s="1"/>
  <c r="R28" i="8" s="1"/>
  <c r="R29" i="8" s="1"/>
  <c r="R30" i="8" s="1"/>
  <c r="R31" i="8" s="1"/>
  <c r="R32" i="8" s="1"/>
  <c r="R35" i="8" s="1"/>
  <c r="R38" i="8" s="1"/>
  <c r="R39" i="8" s="1"/>
  <c r="I19" i="8"/>
  <c r="I20" i="8"/>
  <c r="I21" i="8"/>
  <c r="I22" i="8"/>
  <c r="I18" i="8"/>
  <c r="J22" i="8"/>
  <c r="J21" i="8"/>
  <c r="J20" i="8"/>
  <c r="J19" i="8"/>
  <c r="J18" i="8"/>
  <c r="J17" i="8"/>
  <c r="U17" i="8"/>
  <c r="U18" i="8" s="1"/>
  <c r="U19" i="8" s="1"/>
  <c r="U20" i="8" s="1"/>
  <c r="U21" i="8" s="1"/>
  <c r="U22" i="8" s="1"/>
  <c r="U24" i="8" s="1"/>
  <c r="U28" i="8" s="1"/>
  <c r="J7" i="8"/>
  <c r="J8" i="8"/>
  <c r="J9" i="8"/>
  <c r="J6" i="8"/>
  <c r="J28" i="8"/>
  <c r="J29" i="8"/>
  <c r="J30" i="8"/>
  <c r="J31" i="8"/>
  <c r="J32" i="8"/>
  <c r="J38" i="8"/>
  <c r="J39" i="8"/>
  <c r="J40" i="8"/>
  <c r="J41" i="8"/>
  <c r="J42" i="8"/>
  <c r="B11" i="7"/>
  <c r="O43" i="1"/>
  <c r="N43" i="1"/>
  <c r="AA151" i="8" l="1"/>
  <c r="AA152" i="8" s="1"/>
  <c r="L66" i="8"/>
  <c r="L67" i="8" s="1"/>
  <c r="L68" i="8" s="1"/>
  <c r="L86" i="8"/>
  <c r="L87" i="8" s="1"/>
  <c r="L88" i="8" s="1"/>
  <c r="L76" i="8"/>
  <c r="L77" i="8" s="1"/>
  <c r="L78" i="8" s="1"/>
  <c r="L56" i="8"/>
  <c r="R93" i="8"/>
  <c r="AE92" i="8" s="1"/>
  <c r="O57" i="8"/>
  <c r="O58" i="8" s="1"/>
  <c r="L57" i="8"/>
  <c r="L58" i="8" s="1"/>
  <c r="H93" i="8"/>
  <c r="AB92" i="8" s="1"/>
  <c r="I23" i="8"/>
  <c r="I34" i="8"/>
  <c r="I44" i="8"/>
  <c r="N13" i="10"/>
  <c r="L28" i="8"/>
  <c r="L29" i="8" s="1"/>
  <c r="L30" i="8" s="1"/>
  <c r="L31" i="8" s="1"/>
  <c r="L32" i="8" s="1"/>
  <c r="L33" i="8" s="1"/>
  <c r="L35" i="8" s="1"/>
  <c r="J34" i="8"/>
  <c r="L17" i="8"/>
  <c r="L18" i="8" s="1"/>
  <c r="L19" i="8" s="1"/>
  <c r="J23" i="8"/>
  <c r="H23" i="12"/>
  <c r="K23" i="12" s="1"/>
  <c r="J79" i="8"/>
  <c r="J81" i="8" s="1"/>
  <c r="L6" i="8"/>
  <c r="L7" i="8" s="1"/>
  <c r="L8" i="8" s="1"/>
  <c r="L9" i="8" s="1"/>
  <c r="J12" i="8"/>
  <c r="O18" i="8"/>
  <c r="O19" i="8" s="1"/>
  <c r="O20" i="8" s="1"/>
  <c r="O21" i="8" s="1"/>
  <c r="O22" i="8" s="1"/>
  <c r="O24" i="8" s="1"/>
  <c r="O29" i="8" s="1"/>
  <c r="O30" i="8" s="1"/>
  <c r="O31" i="8" s="1"/>
  <c r="O32" i="8" s="1"/>
  <c r="O35" i="8" s="1"/>
  <c r="O38" i="8" s="1"/>
  <c r="O39" i="8" s="1"/>
  <c r="O40" i="8" s="1"/>
  <c r="O41" i="8" s="1"/>
  <c r="O42" i="8" s="1"/>
  <c r="O43" i="8" s="1"/>
  <c r="O45" i="8" s="1"/>
  <c r="R40" i="8"/>
  <c r="R41" i="8" s="1"/>
  <c r="R42" i="8" s="1"/>
  <c r="R43" i="8" s="1"/>
  <c r="R45" i="8" s="1"/>
  <c r="F23" i="13"/>
  <c r="H23" i="13"/>
  <c r="K23" i="13" s="1"/>
  <c r="I71" i="8"/>
  <c r="F23" i="12"/>
  <c r="J71" i="8"/>
  <c r="I81" i="8"/>
  <c r="G23" i="12"/>
  <c r="G23" i="13"/>
  <c r="J61" i="8"/>
  <c r="X71" i="8"/>
  <c r="X93" i="8" s="1"/>
  <c r="P91" i="8"/>
  <c r="P93" i="8" s="1"/>
  <c r="I61" i="8"/>
  <c r="U35" i="8"/>
  <c r="U92" i="8"/>
  <c r="J89" i="8"/>
  <c r="J91" i="8" s="1"/>
  <c r="I89" i="8"/>
  <c r="I91" i="8" s="1"/>
  <c r="J43" i="8"/>
  <c r="J44" i="8" s="1"/>
  <c r="W18" i="8"/>
  <c r="W19" i="8" s="1"/>
  <c r="W20" i="8" s="1"/>
  <c r="W21" i="8" s="1"/>
  <c r="W22" i="8" s="1"/>
  <c r="W24" i="8" s="1"/>
  <c r="W28" i="8" s="1"/>
  <c r="W29" i="8" s="1"/>
  <c r="W30" i="8" s="1"/>
  <c r="W31" i="8" s="1"/>
  <c r="W32" i="8" s="1"/>
  <c r="L38" i="8"/>
  <c r="M43" i="1"/>
  <c r="L64" i="3"/>
  <c r="J23" i="5"/>
  <c r="H10" i="5"/>
  <c r="H11" i="5"/>
  <c r="H12" i="5"/>
  <c r="H13" i="5"/>
  <c r="H14" i="5"/>
  <c r="H16" i="5"/>
  <c r="H19" i="5"/>
  <c r="H20" i="5"/>
  <c r="H6" i="5"/>
  <c r="F6" i="5"/>
  <c r="H8" i="5"/>
  <c r="H15" i="5"/>
  <c r="H22" i="5"/>
  <c r="G7" i="5"/>
  <c r="G10" i="5"/>
  <c r="G11" i="5"/>
  <c r="G12" i="5"/>
  <c r="G13" i="5"/>
  <c r="G14" i="5"/>
  <c r="G16" i="5"/>
  <c r="G17" i="5"/>
  <c r="G18" i="5"/>
  <c r="G20" i="5"/>
  <c r="H9" i="5"/>
  <c r="H21" i="5"/>
  <c r="F18" i="5"/>
  <c r="F7" i="5"/>
  <c r="F8" i="5"/>
  <c r="F9" i="5"/>
  <c r="F10" i="5"/>
  <c r="F11" i="5"/>
  <c r="F12" i="5"/>
  <c r="F13" i="5"/>
  <c r="F14" i="5"/>
  <c r="F15" i="5"/>
  <c r="F16" i="5"/>
  <c r="F17" i="5"/>
  <c r="F20" i="5"/>
  <c r="F21" i="5"/>
  <c r="F22" i="5"/>
  <c r="F25" i="5"/>
  <c r="F26" i="5"/>
  <c r="F27" i="5"/>
  <c r="F28" i="5"/>
  <c r="O3" i="3"/>
  <c r="P3" i="3" s="1"/>
  <c r="P4" i="3"/>
  <c r="L79" i="8" l="1"/>
  <c r="L80" i="8" s="1"/>
  <c r="O59" i="8"/>
  <c r="O60" i="8" s="1"/>
  <c r="O62" i="8" s="1"/>
  <c r="O65" i="8" s="1"/>
  <c r="O66" i="8" s="1"/>
  <c r="O67" i="8" s="1"/>
  <c r="O68" i="8" s="1"/>
  <c r="O69" i="8" s="1"/>
  <c r="O70" i="8" s="1"/>
  <c r="O72" i="8" s="1"/>
  <c r="O75" i="8" s="1"/>
  <c r="O76" i="8" s="1"/>
  <c r="O77" i="8" s="1"/>
  <c r="O78" i="8" s="1"/>
  <c r="O79" i="8" s="1"/>
  <c r="O80" i="8" s="1"/>
  <c r="O82" i="8" s="1"/>
  <c r="L69" i="8"/>
  <c r="L70" i="8" s="1"/>
  <c r="L72" i="8" s="1"/>
  <c r="L59" i="8"/>
  <c r="L60" i="8" s="1"/>
  <c r="L62" i="8" s="1"/>
  <c r="AC92" i="8"/>
  <c r="J93" i="8"/>
  <c r="I93" i="8"/>
  <c r="AA92" i="8" s="1"/>
  <c r="J47" i="8"/>
  <c r="I49" i="8" s="1"/>
  <c r="I47" i="8"/>
  <c r="AA45" i="8" s="1"/>
  <c r="L20" i="8"/>
  <c r="L21" i="8" s="1"/>
  <c r="L22" i="8" s="1"/>
  <c r="L24" i="8" s="1"/>
  <c r="L39" i="8"/>
  <c r="L40" i="8" s="1"/>
  <c r="L41" i="8" s="1"/>
  <c r="L42" i="8" s="1"/>
  <c r="L43" i="8" s="1"/>
  <c r="L45" i="8" s="1"/>
  <c r="W35" i="8"/>
  <c r="W38" i="8" s="1"/>
  <c r="W39" i="8" s="1"/>
  <c r="W40" i="8" s="1"/>
  <c r="W41" i="8" s="1"/>
  <c r="W42" i="8" s="1"/>
  <c r="W43" i="8" s="1"/>
  <c r="W45" i="8" s="1"/>
  <c r="W57" i="8" s="1"/>
  <c r="W58" i="8" s="1"/>
  <c r="W59" i="8" s="1"/>
  <c r="W60" i="8" s="1"/>
  <c r="W62" i="8" s="1"/>
  <c r="W65" i="8" s="1"/>
  <c r="W66" i="8" s="1"/>
  <c r="W67" i="8" s="1"/>
  <c r="W68" i="8" s="1"/>
  <c r="W69" i="8" s="1"/>
  <c r="W70" i="8" s="1"/>
  <c r="W72" i="8" s="1"/>
  <c r="W75" i="8" s="1"/>
  <c r="W76" i="8" s="1"/>
  <c r="W77" i="8" s="1"/>
  <c r="W78" i="8" s="1"/>
  <c r="W79" i="8" s="1"/>
  <c r="W80" i="8" s="1"/>
  <c r="W82" i="8" s="1"/>
  <c r="W33" i="8"/>
  <c r="L82" i="8"/>
  <c r="F23" i="5"/>
  <c r="L10" i="8"/>
  <c r="L89" i="8"/>
  <c r="L90" i="8" s="1"/>
  <c r="L92" i="8" s="1"/>
  <c r="G9" i="5"/>
  <c r="G22" i="5"/>
  <c r="G8" i="5"/>
  <c r="G6" i="5"/>
  <c r="G15" i="5"/>
  <c r="H18" i="5"/>
  <c r="G21" i="5"/>
  <c r="H7" i="5"/>
  <c r="H17" i="5"/>
  <c r="B23" i="5"/>
  <c r="L93" i="8" l="1"/>
  <c r="AD92" i="8" s="1"/>
  <c r="AA93" i="8" s="1"/>
  <c r="AA94" i="8" s="1"/>
  <c r="W85" i="8"/>
  <c r="W86" i="8" s="1"/>
  <c r="W87" i="8" s="1"/>
  <c r="W88" i="8" s="1"/>
  <c r="W89" i="8" s="1"/>
  <c r="W90" i="8" s="1"/>
  <c r="W93" i="8"/>
  <c r="O85" i="8"/>
  <c r="O86" i="8" s="1"/>
  <c r="O87" i="8" s="1"/>
  <c r="O88" i="8" s="1"/>
  <c r="O89" i="8" s="1"/>
  <c r="O90" i="8" s="1"/>
  <c r="O92" i="8" s="1"/>
  <c r="O93" i="8" s="1"/>
  <c r="H23" i="5"/>
  <c r="K23" i="5" s="1"/>
  <c r="G23" i="5"/>
  <c r="L11" i="8"/>
  <c r="L13" i="8" s="1"/>
  <c r="L47" i="8" s="1"/>
  <c r="AC47" i="8" s="1"/>
  <c r="AA48" i="8" s="1"/>
  <c r="AA49" i="8" s="1"/>
</calcChain>
</file>

<file path=xl/sharedStrings.xml><?xml version="1.0" encoding="utf-8"?>
<sst xmlns="http://schemas.openxmlformats.org/spreadsheetml/2006/main" count="7993" uniqueCount="434">
  <si>
    <t>LISTA  MERCADO</t>
  </si>
  <si>
    <t>SOPAS Y SOPITAS</t>
  </si>
  <si>
    <t>PRODUCTO</t>
  </si>
  <si>
    <t>CANTIDAD</t>
  </si>
  <si>
    <t>TOTAL</t>
  </si>
  <si>
    <t>BODEGA</t>
  </si>
  <si>
    <t>papa pareja</t>
  </si>
  <si>
    <t>papa año</t>
  </si>
  <si>
    <t>papa criolla cero</t>
  </si>
  <si>
    <t>alberja san isidro</t>
  </si>
  <si>
    <t>habichuela</t>
  </si>
  <si>
    <t>frijol</t>
  </si>
  <si>
    <t>habas</t>
  </si>
  <si>
    <t>repollo</t>
  </si>
  <si>
    <t>mazorca desgranda</t>
  </si>
  <si>
    <t>mazorca entera</t>
  </si>
  <si>
    <t>yuca</t>
  </si>
  <si>
    <t>platano verde</t>
  </si>
  <si>
    <t>tomate</t>
  </si>
  <si>
    <t>pimenton</t>
  </si>
  <si>
    <t>zanahoria</t>
  </si>
  <si>
    <t>arracacha</t>
  </si>
  <si>
    <t>maracuya</t>
  </si>
  <si>
    <t>cabolla larga</t>
  </si>
  <si>
    <t>ajo</t>
  </si>
  <si>
    <t>cebolla cabezona</t>
  </si>
  <si>
    <t>guascas</t>
  </si>
  <si>
    <t>perejil liso</t>
  </si>
  <si>
    <t>cilantro</t>
  </si>
  <si>
    <t>espinaca</t>
  </si>
  <si>
    <t>lechuga</t>
  </si>
  <si>
    <t>tallos</t>
  </si>
  <si>
    <t>aji</t>
  </si>
  <si>
    <t>platano maduro</t>
  </si>
  <si>
    <t>TELEFONO</t>
  </si>
  <si>
    <t>PUESTO</t>
  </si>
  <si>
    <t>limon de taiti</t>
  </si>
  <si>
    <t>97-98</t>
  </si>
  <si>
    <t>cotero</t>
  </si>
  <si>
    <t>Gonzalo</t>
  </si>
  <si>
    <t>peaje</t>
  </si>
  <si>
    <t>descarga</t>
  </si>
  <si>
    <t>315 459 14 74 PAISA 301 395 89 33 Oscar Sanchez</t>
  </si>
  <si>
    <t>Calos Parra</t>
  </si>
  <si>
    <t>Laurel y tomillo</t>
  </si>
  <si>
    <t>DESCRIPCION</t>
  </si>
  <si>
    <t>Bulto</t>
  </si>
  <si>
    <t>Libra</t>
  </si>
  <si>
    <t>paquete</t>
  </si>
  <si>
    <t>unidad</t>
  </si>
  <si>
    <t>caja</t>
  </si>
  <si>
    <t>kilos</t>
  </si>
  <si>
    <t>arroba</t>
  </si>
  <si>
    <t>manojo</t>
  </si>
  <si>
    <t>bulto</t>
  </si>
  <si>
    <t>atado</t>
  </si>
  <si>
    <t>libras</t>
  </si>
  <si>
    <t>unidades</t>
  </si>
  <si>
    <t>cebollin</t>
  </si>
  <si>
    <t>VALOR UNITARIO</t>
  </si>
  <si>
    <t>COMPRAS</t>
  </si>
  <si>
    <t>FECHA</t>
  </si>
  <si>
    <t>COMERCIO</t>
  </si>
  <si>
    <t xml:space="preserve"> </t>
  </si>
  <si>
    <t>papa criolla chery</t>
  </si>
  <si>
    <t>50 - 60</t>
  </si>
  <si>
    <t>MAKRO</t>
  </si>
  <si>
    <t>Bancolombia</t>
  </si>
  <si>
    <t>tranferencia Lina</t>
  </si>
  <si>
    <t>NEUI</t>
  </si>
  <si>
    <t>BG</t>
  </si>
  <si>
    <t>PT</t>
  </si>
  <si>
    <t>Papa criolla chery</t>
  </si>
  <si>
    <t>CT</t>
  </si>
  <si>
    <t>VENTAS</t>
  </si>
  <si>
    <t>MENU</t>
  </si>
  <si>
    <t>Ajiaco</t>
  </si>
  <si>
    <t>Ajiaco Pequeño</t>
  </si>
  <si>
    <t>Mondongo</t>
  </si>
  <si>
    <t>Sancocho de Pescado</t>
  </si>
  <si>
    <t>Sancocho de Pollo</t>
  </si>
  <si>
    <t>Viudo de Capaz</t>
  </si>
  <si>
    <t>Mazamorra chiquita</t>
  </si>
  <si>
    <t>Mute</t>
  </si>
  <si>
    <t>Cuchuco con espinazo</t>
  </si>
  <si>
    <t xml:space="preserve">Frijoles con pezuña </t>
  </si>
  <si>
    <t>Lengua en salsa</t>
  </si>
  <si>
    <t>Pollo con champiñones</t>
  </si>
  <si>
    <t>Arroz con pollo</t>
  </si>
  <si>
    <t>COMBOS</t>
  </si>
  <si>
    <t>PAGO NEQUI</t>
  </si>
  <si>
    <t>PAGO EFECTIVO</t>
  </si>
  <si>
    <t>Ajiaco mondongo lengua en salsa</t>
  </si>
  <si>
    <t>Ajiaco mondongo pollo con champiñones</t>
  </si>
  <si>
    <t>Ajiaco mondongo arroz con pollo</t>
  </si>
  <si>
    <t>PORCIONES</t>
  </si>
  <si>
    <t xml:space="preserve">Arroz </t>
  </si>
  <si>
    <t>Aguacate</t>
  </si>
  <si>
    <t>Limonada</t>
  </si>
  <si>
    <t>Gaseosa</t>
  </si>
  <si>
    <t>PRECIO</t>
  </si>
  <si>
    <t>TOTAL NEQUI</t>
  </si>
  <si>
    <t>NEQUI</t>
  </si>
  <si>
    <t>DAVIPLATA</t>
  </si>
  <si>
    <t>TOTAL EFECTIVO</t>
  </si>
  <si>
    <t>GASTOS</t>
  </si>
  <si>
    <t>CONCEPTO</t>
  </si>
  <si>
    <t>AGUACATE</t>
  </si>
  <si>
    <t>PAGO DE TURNOS</t>
  </si>
  <si>
    <t>Andrea</t>
  </si>
  <si>
    <t>Jose</t>
  </si>
  <si>
    <t>Alex</t>
  </si>
  <si>
    <t>Diana</t>
  </si>
  <si>
    <t>Yeny</t>
  </si>
  <si>
    <t>Maritza</t>
  </si>
  <si>
    <t>Michel</t>
  </si>
  <si>
    <t>Juan Manuel</t>
  </si>
  <si>
    <t>TURNOS</t>
  </si>
  <si>
    <t>COMPRAS JULIO</t>
  </si>
  <si>
    <t>D1</t>
  </si>
  <si>
    <t>BANANO</t>
  </si>
  <si>
    <t>EFECTIVO</t>
  </si>
  <si>
    <t>Johan</t>
  </si>
  <si>
    <t>ABASTOS</t>
  </si>
  <si>
    <t>VENTA TOTAL</t>
  </si>
  <si>
    <t>GASTOS EFECTIVO</t>
  </si>
  <si>
    <t>SEMANA 2</t>
  </si>
  <si>
    <t>LIJA</t>
  </si>
  <si>
    <t xml:space="preserve">ABONOS </t>
  </si>
  <si>
    <t>CER</t>
  </si>
  <si>
    <t>PMS</t>
  </si>
  <si>
    <t>HOTEL SANTA MARTA</t>
  </si>
  <si>
    <t>ENTREGADOS EN EFECTIVO</t>
  </si>
  <si>
    <t>SE RECOGIO DE LOS DIAS 7 Y 8 DE JULIO</t>
  </si>
  <si>
    <t>SE RECOGIO DE LAS CUENTAS DE LA SEMANA DEL 1AL 5 DE JULIO</t>
  </si>
  <si>
    <t>PESCADO BASA</t>
  </si>
  <si>
    <t>POLLO</t>
  </si>
  <si>
    <t>aguacate</t>
  </si>
  <si>
    <t>QR DAVIVIENDA</t>
  </si>
  <si>
    <t>ARROZ</t>
  </si>
  <si>
    <t>CAPAZ</t>
  </si>
  <si>
    <t>Maria Paz</t>
  </si>
  <si>
    <t>LUIS CARLOS ENVIA 10MILLONES Y 2 MILONES DEL PRODUCIDO DEL DIA 17/07</t>
  </si>
  <si>
    <t>SEMANA 3</t>
  </si>
  <si>
    <t>SEMANA 4</t>
  </si>
  <si>
    <t>NUTRICARNES</t>
  </si>
  <si>
    <t>TOTAL ABONOS</t>
  </si>
  <si>
    <t>QR DAVI</t>
  </si>
  <si>
    <t>QR  BANCOL</t>
  </si>
  <si>
    <t>GAST EFECTIVO</t>
  </si>
  <si>
    <t>DIAS MES</t>
  </si>
  <si>
    <t>VENTA DIA</t>
  </si>
  <si>
    <t>SALDOS BANCOS</t>
  </si>
  <si>
    <t>QR BANCOLMBIA</t>
  </si>
  <si>
    <t>Jhordy</t>
  </si>
  <si>
    <t>FRIJOL</t>
  </si>
  <si>
    <t>GASTO NEQUI</t>
  </si>
  <si>
    <t>GASTOS DAVIPLATA</t>
  </si>
  <si>
    <t>GASTOS QR  BANCOL</t>
  </si>
  <si>
    <t>TOTALEFECTIVO DIA</t>
  </si>
  <si>
    <t>EFECTIVO ACUMULADO</t>
  </si>
  <si>
    <t>GASTO</t>
  </si>
  <si>
    <t>CIERRE SEMANA 1</t>
  </si>
  <si>
    <t>GASTOS QR DAVIVIENDA</t>
  </si>
  <si>
    <t>CIERRE SEMANA 2</t>
  </si>
  <si>
    <t>PLAZA 7 DE AGOSTO</t>
  </si>
  <si>
    <t>SOPAS Y SOPITAS PMS   NIT 900217816-1</t>
  </si>
  <si>
    <t>NOMINA PARA PAGO DE SUELDOS</t>
  </si>
  <si>
    <t xml:space="preserve">No. </t>
  </si>
  <si>
    <t>NOMBRE DEL EMPLEADO</t>
  </si>
  <si>
    <t>SUCURSAL</t>
  </si>
  <si>
    <t>DIAS</t>
  </si>
  <si>
    <t xml:space="preserve">TOTAL DEL SUELDO </t>
  </si>
  <si>
    <t>BASICO</t>
  </si>
  <si>
    <t>AUXILIO DE TRANSPORTE</t>
  </si>
  <si>
    <t>TOTAL DEVENGADO</t>
  </si>
  <si>
    <t xml:space="preserve">SALUD </t>
  </si>
  <si>
    <t>PENSION</t>
  </si>
  <si>
    <t>TOTAL DEDUCIDO</t>
  </si>
  <si>
    <t>NETO A PAGAR</t>
  </si>
  <si>
    <t>FIRMA</t>
  </si>
  <si>
    <t>DEVENGADO</t>
  </si>
  <si>
    <t>DEDUCCIONES</t>
  </si>
  <si>
    <t>LUZ YAMILE CHAPARRO CRADONA</t>
  </si>
  <si>
    <t xml:space="preserve">LUZ MERY PACHON JIMENEZ </t>
  </si>
  <si>
    <t>DIANA ANDREA VEGA CAMACHO</t>
  </si>
  <si>
    <t>VELENICE DIAZ PARDO</t>
  </si>
  <si>
    <t>LUZ DARY PRECIADO SANCHEZ</t>
  </si>
  <si>
    <t>REST</t>
  </si>
  <si>
    <t>CIERRRE SEMANA 3</t>
  </si>
  <si>
    <t>Jenny</t>
  </si>
  <si>
    <t>PANADERIA</t>
  </si>
  <si>
    <t>BANCO</t>
  </si>
  <si>
    <t>CIERRRE SEMANA 4</t>
  </si>
  <si>
    <t>SEMANA 1</t>
  </si>
  <si>
    <t>NOMINA</t>
  </si>
  <si>
    <t>Camilo</t>
  </si>
  <si>
    <t>CIERRE SEMANA 3</t>
  </si>
  <si>
    <t>CIERRE SEMANA 4</t>
  </si>
  <si>
    <t>PESCADO</t>
  </si>
  <si>
    <t>SAL</t>
  </si>
  <si>
    <t>MURILLO PULPA DE CERDO</t>
  </si>
  <si>
    <t>CARNE DE CERDO MURILLO</t>
  </si>
  <si>
    <t>PAGO FACTURA POLLO</t>
  </si>
  <si>
    <t>JOSE</t>
  </si>
  <si>
    <t>BELEN</t>
  </si>
  <si>
    <t>DIANA</t>
  </si>
  <si>
    <t>PESCADO CAPAZ</t>
  </si>
  <si>
    <t>ALEX</t>
  </si>
  <si>
    <t>Cristian</t>
  </si>
  <si>
    <t>CANCELADO AHORROS</t>
  </si>
  <si>
    <t>PENDIENTE</t>
  </si>
  <si>
    <t>SALSAMENTARIA</t>
  </si>
  <si>
    <t xml:space="preserve">VALOR UNITARIO </t>
  </si>
  <si>
    <t>TOTALES</t>
  </si>
  <si>
    <t>CIERRE DEL MES DE ENERO</t>
  </si>
  <si>
    <t>PULPA CARNE MURILLO</t>
  </si>
  <si>
    <t xml:space="preserve">ARROZ Y LECHE </t>
  </si>
  <si>
    <t>DESECHABLES</t>
  </si>
  <si>
    <t>BANANOS</t>
  </si>
  <si>
    <t xml:space="preserve">RECIBO ENERGIA </t>
  </si>
  <si>
    <t>ANTONIO OLAYA PLAZA DESECHABLES BANANO CAPAZ TRAPEROS AGUACATE</t>
  </si>
  <si>
    <t>PINCHOS</t>
  </si>
  <si>
    <t>BANANO DESECHABLES PAGO FACTURA VISCERAS</t>
  </si>
  <si>
    <t>PERIODO DEL 1 AL 15 DE ENERO DE 2026</t>
  </si>
  <si>
    <t>BONO</t>
  </si>
  <si>
    <t>%</t>
  </si>
  <si>
    <t>TRABAJA 9 DIAS A $60000 = 540000</t>
  </si>
  <si>
    <t>FESTIVO</t>
  </si>
  <si>
    <t>IMPUESTO SALDO DE PAPA ABASTOS IMPUESTO SALSAMENTARIA IMPUESTO HARINAS Y SEMILLAS IMPUESTO BANANO IMPUESTO  BANANO  IMPUESTO AGUACATE</t>
  </si>
  <si>
    <t>AGUACATE IMPUESTO ARREGLO ESTUFA IMPUESTO</t>
  </si>
  <si>
    <t>AHORRO</t>
  </si>
  <si>
    <t>EMPAQUE MANGUERA</t>
  </si>
  <si>
    <t>COLOR</t>
  </si>
  <si>
    <t>PESCADO ALCAPARRAS AGUACATE</t>
  </si>
  <si>
    <t>retroactivo</t>
  </si>
  <si>
    <t>ENERGY AND NEWORK IMPUESTO FULLCOLOR IMPUESTO</t>
  </si>
  <si>
    <t>IMPUESTO SERVICIO CLARO IMPUESTO</t>
  </si>
  <si>
    <t>IMPUESTO PLAZA 7 AGOSTO IMPUESTO CERDO IMPUESTO TRANSFERENCIA ALAPE IMPUESTO DEVOLUCION  IMPUESTO</t>
  </si>
  <si>
    <t>IMPUESTOS MAKRO</t>
  </si>
  <si>
    <t>IMPUESTO MAKRO</t>
  </si>
  <si>
    <t>FACTURA VISCERAS IMPUESTO</t>
  </si>
  <si>
    <t xml:space="preserve">  </t>
  </si>
  <si>
    <t>RETROACTIVO</t>
  </si>
  <si>
    <t>Johordy</t>
  </si>
  <si>
    <t>Retroactivo</t>
  </si>
  <si>
    <t>pulpa de cerdo murillo</t>
  </si>
  <si>
    <t>FERRETERIA</t>
  </si>
  <si>
    <t>PULPA DE CERDO MURILLO</t>
  </si>
  <si>
    <t>CREMA DE LECHE</t>
  </si>
  <si>
    <t>ABASTOS IMPUESTOS</t>
  </si>
  <si>
    <t>BASA</t>
  </si>
  <si>
    <t>TAPABOCAS</t>
  </si>
  <si>
    <t>PAPA CARLOS</t>
  </si>
  <si>
    <t>Tatiana</t>
  </si>
  <si>
    <t>no trabajo</t>
  </si>
  <si>
    <t>CAMBIO DE SECILLO</t>
  </si>
  <si>
    <t>PANADERIA CERDO IMPUESTO</t>
  </si>
  <si>
    <t>Juan  Manuel</t>
  </si>
  <si>
    <t>PULPA CERDO MURILLO</t>
  </si>
  <si>
    <t>PANADERIA IMPUESTO LUZ PASI 1 LUZ PISO 2</t>
  </si>
  <si>
    <t>NO TRABAJO</t>
  </si>
  <si>
    <t>PANADERIA IMPUESTO CERDO IMPUESTO AGUACATE SALSAMENTARIA</t>
  </si>
  <si>
    <t>PERIODO DEL 16 AL 31 DE ENERO DE 2026</t>
  </si>
  <si>
    <t>PAGO NOMINA</t>
  </si>
  <si>
    <t>EFECTIVO 27 DE ENERO</t>
  </si>
  <si>
    <t>EFECTIVO28 DE ENERO</t>
  </si>
  <si>
    <t>EFECTIVO 29 DE ENERO</t>
  </si>
  <si>
    <t>EFECTIVO 31 DE ENERO</t>
  </si>
  <si>
    <t>TOTAL NOMINA</t>
  </si>
  <si>
    <t>SE CANCELA BONO $300000</t>
  </si>
  <si>
    <t>POLLO IMPUESTO</t>
  </si>
  <si>
    <t>PENDIENTE POR CONFIRMAR</t>
  </si>
  <si>
    <t>INFORME DE CUENTAS  AÑO  2026</t>
  </si>
  <si>
    <t>MES DE ENERO</t>
  </si>
  <si>
    <t>MES DE FEBRERO</t>
  </si>
  <si>
    <t>AGUACATE IMPUESTOS</t>
  </si>
  <si>
    <t>TORTA CUMPLEAÑOS</t>
  </si>
  <si>
    <t>SECURITY Y SERVICES</t>
  </si>
  <si>
    <t>PANADERIA IMPUESTO MAKRO IMPUESTO CERDO</t>
  </si>
  <si>
    <t>EMPLEADO DEL MES</t>
  </si>
  <si>
    <t>DIA SIN CARRO</t>
  </si>
  <si>
    <t>NO TRABAJA ENFERMEDAD</t>
  </si>
  <si>
    <t>PANADERIA IMPUESTO AGUACATE IMPUESTO IMPUESTO BANANO IMPUESTO AREPAS 7 AGOSTO</t>
  </si>
  <si>
    <t>PANADERIA IMPUESTOS CERDO IMPUESTO SALSAMEMTARIA</t>
  </si>
  <si>
    <t>PULPA CARNE</t>
  </si>
  <si>
    <t>ARREGLO MATAS JOSE</t>
  </si>
  <si>
    <t>GASTO DE BANCOS</t>
  </si>
  <si>
    <t>GASTO DE EFECTIVO</t>
  </si>
  <si>
    <t>VENTA DEL MES</t>
  </si>
  <si>
    <t>EFECTIVO ENTREGADO</t>
  </si>
  <si>
    <t>CONSIGNACION NOHORA</t>
  </si>
  <si>
    <t>D1 DESCUENTO POR CUOTA DE MANEJO TARJETA</t>
  </si>
  <si>
    <t>BANANO MPUESTO AGUACATE IMPUESTO ABASTOS</t>
  </si>
  <si>
    <t>FACTURA POLLO FACTURA ARREGLOS LOCATIVOS SALSAMENTARIA</t>
  </si>
  <si>
    <t>FACTURA VISCERAS</t>
  </si>
  <si>
    <t>IMPUESTO IMPUESTO  ABASTOS FACTUTRA VISCERAS</t>
  </si>
  <si>
    <t>IMPUESTO PEDIDO FACTURA VISCERAS</t>
  </si>
  <si>
    <t>harinas y semillas impuestos aguacate impuesto antonio olaya transferencia perro papa pago factura pollo</t>
  </si>
  <si>
    <t>AGUACATE FACTURA POLLO</t>
  </si>
  <si>
    <t>VISCERAS POLLO</t>
  </si>
  <si>
    <t>CILANTRO Y GUASCAS</t>
  </si>
  <si>
    <t>MURILLO PULPA DE CARNE</t>
  </si>
  <si>
    <t>PESCADO AGUACATE BANANO</t>
  </si>
  <si>
    <t>ABASTOS IMPUESTO CERDO IMPUESTOS</t>
  </si>
  <si>
    <t>PANADERIA IMPUESTOS TOCINO IMPUESTOS</t>
  </si>
  <si>
    <t>MANEJO DE TARJETA</t>
  </si>
  <si>
    <t>CITACION BIENESTAR FAMILIAR</t>
  </si>
  <si>
    <t>CERDO</t>
  </si>
  <si>
    <t>Leonard</t>
  </si>
  <si>
    <t>PAGO CESANTIAS E INTERESES AÑO 2025</t>
  </si>
  <si>
    <t>SUELDO BASICO</t>
  </si>
  <si>
    <t>BASE</t>
  </si>
  <si>
    <t>CESANTIAS</t>
  </si>
  <si>
    <t>INTERESES</t>
  </si>
  <si>
    <t>FONDO</t>
  </si>
  <si>
    <t>PROTECCION</t>
  </si>
  <si>
    <t>PORVENIR</t>
  </si>
  <si>
    <t>PERIODO DEL 1 AL 15 DE FEBRERO DE 2026</t>
  </si>
  <si>
    <t>IMPUESTOS POLLO</t>
  </si>
  <si>
    <t>VARIOS</t>
  </si>
  <si>
    <t>TOCINO AREPAS SALSAMENTARIA ABASTOS SAL</t>
  </si>
  <si>
    <t>PAPELERIA IMPUESTO PAPELERIA IMPUESTO PAGO DE VANTI GAS REPARACION  TECHO SALSAMENTARIA</t>
  </si>
  <si>
    <t>PESCADO CREMA DE LECHE</t>
  </si>
  <si>
    <t>PANADERIA VISCERAS VISCERAS IMPUESTOS VISCERAS IMPUESTOS</t>
  </si>
  <si>
    <t>IMPUESTOS</t>
  </si>
  <si>
    <t>PANADERIA IMPUESTO CERDO IMPUESTO</t>
  </si>
  <si>
    <t>PANADERIA PEDIDO IMPUESTO</t>
  </si>
  <si>
    <t>MAKRO IMPUESTOS</t>
  </si>
  <si>
    <t>VISCERAS SALSAMENTARIA</t>
  </si>
  <si>
    <t>PANADERIA IMPUESTO AGUACATE IMPUESTO ABASTOS AREPAS</t>
  </si>
  <si>
    <t>NO TRABAJA</t>
  </si>
  <si>
    <t>PANADERIA  CERDO</t>
  </si>
  <si>
    <t>PARO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</si>
  <si>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</si>
  <si>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PEDIDO IMPUESTO VISCERAS+IMPUESTOS VISCERAS IMPUESTOS AGUACATE</t>
  </si>
  <si>
    <t xml:space="preserve">PEDIDO IMPUESTO INTERNET IMPUESTO TURNO IMPUESTO IMPUESTO POLLO TURNO IMPUESTO TURNO DESCARGA MERCADO IMPUESTO TURNO IMPUESTO TURNO IMPUESTO TURNO IMPUESTOS TURNO IMPUESTO BANANO IMPUESTO CERDO </t>
  </si>
  <si>
    <t>IMPUESTOS POLLO D1 D1</t>
  </si>
  <si>
    <t>COMANDAS IMPUESTOS TURNOS PEDIDO</t>
  </si>
  <si>
    <t>VISCERAS IMPUESTOS AGUACATE</t>
  </si>
  <si>
    <t>PULPA CARNE DE CERDO MURILLO</t>
  </si>
  <si>
    <t>GASTOS LOCATIVOS</t>
  </si>
  <si>
    <t>PERIODO DEL 16 AL 28 DE FEBRERO DE 2026</t>
  </si>
  <si>
    <t>BANCOLOMBIA</t>
  </si>
  <si>
    <t>EFECTIVO DIA 27</t>
  </si>
  <si>
    <t>CANCELA BONO DE FEBRERO $150.000</t>
  </si>
  <si>
    <t>AHORRO BONO $150000</t>
  </si>
  <si>
    <t>TURNOS IMPUESTOS</t>
  </si>
  <si>
    <t>CERDO IMPUESTOS TURNOS HARINA Y SEMILLAS TURNOS IMPUESTOS RETIRO NOMINA TURNOS</t>
  </si>
  <si>
    <t>MES DE MARZO</t>
  </si>
  <si>
    <t>abastos</t>
  </si>
  <si>
    <t>NOMINA abastos</t>
  </si>
  <si>
    <t>RECIBO DE AGUA IMPUESTOS</t>
  </si>
  <si>
    <t>FACTURA VICERAS POLLO</t>
  </si>
  <si>
    <t>IMPUESTOS TIENDAS D1</t>
  </si>
  <si>
    <t>VISCERAS</t>
  </si>
  <si>
    <t>VENTA TOTAL MES</t>
  </si>
  <si>
    <t>GASTO EFECTIVO</t>
  </si>
  <si>
    <t>GASTO BANCOS</t>
  </si>
  <si>
    <t>EFECTIVO ENTTREGADO</t>
  </si>
  <si>
    <t>/03/2026</t>
  </si>
  <si>
    <t>cuota de manejo</t>
  </si>
  <si>
    <t xml:space="preserve">PULPA DE CARNE </t>
  </si>
  <si>
    <t>IMPRESIÓN TARJETAS</t>
  </si>
  <si>
    <t>GRIFO</t>
  </si>
  <si>
    <t>CARNE PULPA CERDO MURILLO</t>
  </si>
  <si>
    <t>SULFA PLATA</t>
  </si>
  <si>
    <t>BAZA</t>
  </si>
  <si>
    <t>PULPA DE CARNE DE CERDO MURILLO</t>
  </si>
  <si>
    <t>SEGURIDAD</t>
  </si>
  <si>
    <t>MANTENIMIENTO LICUADORA</t>
  </si>
  <si>
    <t>CAPAZ O MAPARA</t>
  </si>
  <si>
    <t>ROLLO DE PAPEL IMPRESORA</t>
  </si>
  <si>
    <t>PERIODO DEL 1 AL 15 DE MARZO DE 2026</t>
  </si>
  <si>
    <t>BAMCOLOMBIA</t>
  </si>
  <si>
    <t>EFECTIVO 10/03</t>
  </si>
  <si>
    <t>EFECTIVO 11/03</t>
  </si>
  <si>
    <t>makro</t>
  </si>
  <si>
    <t>retiro</t>
  </si>
  <si>
    <t>POLLO ASADO</t>
  </si>
  <si>
    <t>PLATANO</t>
  </si>
  <si>
    <t>PERIODO DEL 16 AL 31 DE MARZO DE 2026</t>
  </si>
  <si>
    <t>EFETIVO 28 MARZO</t>
  </si>
  <si>
    <t>EFECTIVO 30 MARZO</t>
  </si>
  <si>
    <t>PULPA CEDO MURILLO</t>
  </si>
  <si>
    <t>AGUACATES</t>
  </si>
  <si>
    <t>PULPA DE CARNE MURILLO</t>
  </si>
  <si>
    <t>AGUCATE</t>
  </si>
  <si>
    <t>CIERRE SEMANA 5</t>
  </si>
  <si>
    <t>SEMANA 5</t>
  </si>
  <si>
    <t>CIERRE DEL MES DE MARZO</t>
  </si>
  <si>
    <t>PERIODO DEL 1 AL 16 DE ABRIL DE 2026</t>
  </si>
  <si>
    <t>AHORRO ANDREA</t>
  </si>
  <si>
    <t>AÑO 2026</t>
  </si>
  <si>
    <t>CRISTIAN</t>
  </si>
  <si>
    <t>NOHORA</t>
  </si>
  <si>
    <t>POR SER  FESTIVO EL PROXIMO LUNES ME ENTREGA PARA AB ASTOS DEL EFECTIVO</t>
  </si>
  <si>
    <t>PAGO  POLLO</t>
  </si>
  <si>
    <t>PAGO DE NOMINA</t>
  </si>
  <si>
    <t>ACUEDUCTO</t>
  </si>
  <si>
    <t>GASTO EFECTIVO carlos</t>
  </si>
  <si>
    <t>GASTO EFECTIVO DIARIO</t>
  </si>
  <si>
    <t>CIERRE DEL MES DE FEBRERO</t>
  </si>
  <si>
    <t>MES DE ABRIL</t>
  </si>
  <si>
    <t>nomina</t>
  </si>
  <si>
    <t>DUVAN</t>
  </si>
  <si>
    <t>JENNY</t>
  </si>
  <si>
    <t>/05/2026</t>
  </si>
  <si>
    <t>prestamo yamile dientes papa</t>
  </si>
  <si>
    <t>incapacidad</t>
  </si>
  <si>
    <t>PESACDO</t>
  </si>
  <si>
    <t>PLAZA</t>
  </si>
  <si>
    <t>abonos</t>
  </si>
  <si>
    <t>PERIODO DEL 16 AL 30 DE ABRIL DE 2026</t>
  </si>
  <si>
    <t>bancolombia</t>
  </si>
  <si>
    <t>efectivo 28/04</t>
  </si>
  <si>
    <t>efectivo 29/04</t>
  </si>
  <si>
    <t>pulpa cerdo murillo</t>
  </si>
  <si>
    <t>vasos</t>
  </si>
  <si>
    <t>COCACOLO</t>
  </si>
  <si>
    <t>BULTO PAPA</t>
  </si>
  <si>
    <t>MERCADO 7 AGOSTO</t>
  </si>
  <si>
    <t>INCAPACIDAD</t>
  </si>
  <si>
    <t>RECIBO AGUA</t>
  </si>
  <si>
    <t>PAPA</t>
  </si>
  <si>
    <t>PRECISION SEGURIDAD</t>
  </si>
  <si>
    <t>DISTRIBUIDORA</t>
  </si>
  <si>
    <t>POLLO ALMUERZO</t>
  </si>
  <si>
    <t>MURILLO CERDO</t>
  </si>
  <si>
    <t>MANTENIMIENTO DE NEVERA</t>
  </si>
  <si>
    <t>Claudia</t>
  </si>
  <si>
    <t>CERDO MURILLO</t>
  </si>
  <si>
    <t>GALONES DE AGUA</t>
  </si>
  <si>
    <t>PECHUGA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</si>
</sst>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44" formatCode="_-&quot;$&quot;\ * #,##0.00_-;\-&quot;$&quot;\ * #,##0.00_-;_-&quot;$&quot;\ * &quot;-&quot;??_-;_-@_-"/>
    <numFmt numFmtId="164" formatCode="&quot;$&quot;\ #,##0"/>
    <numFmt numFmtId="165" formatCode="&quot;$&quot;\ #,##0;[Red]&quot;$&quot;\ #,##0"/>
    <numFmt numFmtId="166" formatCode="&quot;$&quot;\ #,##0.00"/>
    <numFmt numFmtId="167" formatCode="_-&quot;$&quot;\ * #,##0_-;\-&quot;$&quot;\ * #,##0_-;_-&quot;$&quot;\ * &quot;-&quot;??_-;_-@_-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12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0" fontId="3" fillId="0" borderId="5" xfId="0" applyFont="1" applyBorder="1" applyAlignment="1">
      <alignment horizontal="left" vertical="center" wrapText="1"/>
    </xf>
    <xf numFmtId="16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3" fillId="0" borderId="1" xfId="0" applyFont="1" applyBorder="1" applyAlignment="1">
      <alignment horizontal="right" vertical="center" wrapText="1"/>
    </xf>
    <xf numFmtId="164" fontId="0" fillId="0" borderId="0" xfId="0" applyNumberFormat="1"/>
    <xf numFmtId="0" fontId="4" fillId="0" borderId="0" xfId="0" applyFont="1"/>
    <xf numFmtId="0" fontId="3" fillId="0" borderId="0" xfId="0" applyFont="1"/>
    <xf numFmtId="0" fontId="5" fillId="0" borderId="1" xfId="0" applyFont="1" applyBorder="1"/>
    <xf numFmtId="165" fontId="0" fillId="0" borderId="1" xfId="0" applyNumberFormat="1" applyBorder="1"/>
    <xf numFmtId="165" fontId="0" fillId="0" borderId="0" xfId="0" applyNumberFormat="1"/>
    <xf numFmtId="0" fontId="4" fillId="0" borderId="1" xfId="0" applyFont="1" applyBorder="1"/>
    <xf numFmtId="165" fontId="4" fillId="0" borderId="1" xfId="0" applyNumberFormat="1" applyFont="1" applyBorder="1"/>
    <xf numFmtId="0" fontId="5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1" xfId="0" applyNumberFormat="1" applyBorder="1" applyAlignment="1">
      <alignment horizontal="right"/>
    </xf>
    <xf numFmtId="165" fontId="0" fillId="0" borderId="8" xfId="0" applyNumberFormat="1" applyBorder="1"/>
    <xf numFmtId="165" fontId="0" fillId="2" borderId="1" xfId="0" applyNumberFormat="1" applyFill="1" applyBorder="1"/>
    <xf numFmtId="165" fontId="0" fillId="2" borderId="8" xfId="0" applyNumberFormat="1" applyFill="1" applyBorder="1"/>
    <xf numFmtId="165" fontId="4" fillId="2" borderId="1" xfId="0" applyNumberFormat="1" applyFont="1" applyFill="1" applyBorder="1"/>
    <xf numFmtId="14" fontId="4" fillId="2" borderId="0" xfId="0" applyNumberFormat="1" applyFont="1" applyFill="1"/>
    <xf numFmtId="14" fontId="0" fillId="0" borderId="0" xfId="0" applyNumberFormat="1"/>
    <xf numFmtId="6" fontId="0" fillId="0" borderId="0" xfId="0" applyNumberFormat="1"/>
    <xf numFmtId="6" fontId="4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/>
    <xf numFmtId="165" fontId="3" fillId="0" borderId="0" xfId="0" applyNumberFormat="1" applyFont="1"/>
    <xf numFmtId="165" fontId="5" fillId="0" borderId="1" xfId="0" applyNumberFormat="1" applyFont="1" applyBorder="1"/>
    <xf numFmtId="0" fontId="3" fillId="0" borderId="10" xfId="0" applyFont="1" applyBorder="1"/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top" textRotation="255" wrapText="1"/>
    </xf>
    <xf numFmtId="165" fontId="5" fillId="0" borderId="0" xfId="0" applyNumberFormat="1" applyFont="1"/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166" fontId="0" fillId="0" borderId="1" xfId="0" applyNumberFormat="1" applyBorder="1"/>
    <xf numFmtId="166" fontId="0" fillId="0" borderId="0" xfId="0" applyNumberForma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165" fontId="3" fillId="0" borderId="3" xfId="0" applyNumberFormat="1" applyFont="1" applyBorder="1"/>
    <xf numFmtId="165" fontId="3" fillId="0" borderId="4" xfId="0" applyNumberFormat="1" applyFont="1" applyBorder="1"/>
    <xf numFmtId="165" fontId="3" fillId="0" borderId="2" xfId="0" applyNumberFormat="1" applyFont="1" applyBorder="1"/>
    <xf numFmtId="0" fontId="3" fillId="0" borderId="4" xfId="0" applyFont="1" applyBorder="1"/>
    <xf numFmtId="165" fontId="5" fillId="0" borderId="3" xfId="0" applyNumberFormat="1" applyFont="1" applyBorder="1"/>
    <xf numFmtId="0" fontId="3" fillId="0" borderId="2" xfId="0" applyFont="1" applyBorder="1"/>
    <xf numFmtId="165" fontId="5" fillId="0" borderId="4" xfId="0" applyNumberFormat="1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4" fontId="4" fillId="0" borderId="1" xfId="0" applyNumberFormat="1" applyFont="1" applyBorder="1"/>
    <xf numFmtId="167" fontId="0" fillId="0" borderId="0" xfId="1" applyNumberFormat="1" applyFont="1"/>
    <xf numFmtId="165" fontId="5" fillId="0" borderId="2" xfId="0" applyNumberFormat="1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0" fontId="5" fillId="0" borderId="6" xfId="0" applyFont="1" applyBorder="1"/>
    <xf numFmtId="165" fontId="5" fillId="0" borderId="1" xfId="0" applyNumberFormat="1" applyFont="1" applyBorder="1" applyAlignment="1">
      <alignment horizontal="center"/>
    </xf>
    <xf numFmtId="0" fontId="3" fillId="0" borderId="3" xfId="0" applyFont="1" applyBorder="1"/>
    <xf numFmtId="165" fontId="4" fillId="0" borderId="0" xfId="0" applyNumberFormat="1" applyFont="1"/>
    <xf numFmtId="0" fontId="6" fillId="0" borderId="1" xfId="0" applyFont="1" applyBorder="1" applyAlignment="1">
      <alignment horizontal="center"/>
    </xf>
    <xf numFmtId="167" fontId="4" fillId="0" borderId="0" xfId="1" applyNumberFormat="1" applyFont="1"/>
    <xf numFmtId="1" fontId="0" fillId="0" borderId="0" xfId="1" applyNumberFormat="1" applyFont="1"/>
    <xf numFmtId="164" fontId="4" fillId="0" borderId="0" xfId="0" applyNumberFormat="1" applyFont="1"/>
    <xf numFmtId="165" fontId="10" fillId="0" borderId="1" xfId="0" applyNumberFormat="1" applyFont="1" applyBorder="1"/>
    <xf numFmtId="1" fontId="0" fillId="0" borderId="0" xfId="0" applyNumberFormat="1"/>
    <xf numFmtId="165" fontId="5" fillId="0" borderId="10" xfId="0" applyNumberFormat="1" applyFont="1" applyBorder="1"/>
    <xf numFmtId="165" fontId="5" fillId="0" borderId="2" xfId="0" applyNumberFormat="1" applyFont="1" applyBorder="1"/>
    <xf numFmtId="165" fontId="0" fillId="2" borderId="0" xfId="0" applyNumberFormat="1" applyFill="1"/>
    <xf numFmtId="14" fontId="0" fillId="0" borderId="1" xfId="0" applyNumberFormat="1" applyBorder="1" applyAlignment="1">
      <alignment horizontal="center"/>
    </xf>
    <xf numFmtId="0" fontId="2" fillId="0" borderId="0" xfId="0" applyFont="1"/>
    <xf numFmtId="0" fontId="6" fillId="0" borderId="2" xfId="0" applyFont="1" applyBorder="1" applyAlignment="1">
      <alignment horizontal="center"/>
    </xf>
    <xf numFmtId="166" fontId="0" fillId="0" borderId="2" xfId="0" applyNumberFormat="1" applyBorder="1"/>
    <xf numFmtId="164" fontId="0" fillId="0" borderId="6" xfId="0" applyNumberFormat="1" applyBorder="1"/>
    <xf numFmtId="165" fontId="5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1" fillId="0" borderId="0" xfId="0" applyFont="1"/>
    <xf numFmtId="165" fontId="0" fillId="0" borderId="10" xfId="0" applyNumberFormat="1" applyBorder="1"/>
    <xf numFmtId="16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0" fillId="0" borderId="8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0" fontId="7" fillId="0" borderId="0" xfId="0" applyFont="1" applyAlignment="1">
      <alignment horizontal="center" vertical="top" textRotation="255" wrapText="1"/>
    </xf>
    <xf numFmtId="0" fontId="7" fillId="0" borderId="10" xfId="0" applyFont="1" applyBorder="1" applyAlignment="1">
      <alignment horizontal="center" vertical="top" textRotation="255" wrapText="1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57"/>
  <sheetViews>
    <sheetView workbookViewId="0">
      <selection activeCell="A6" sqref="A6"/>
    </sheetView>
  </sheetViews>
  <sheetFormatPr baseColWidth="10" defaultRowHeight="14.5" x14ac:dyDescent="0.35"/>
  <cols>
    <col min="1" max="2" width="17.453125" customWidth="1"/>
    <col min="3" max="3" width="21.54296875" customWidth="1"/>
    <col min="4" max="4" width="21.7265625" customWidth="1"/>
    <col min="5" max="6" width="16.1796875" customWidth="1"/>
    <col min="7" max="7" width="21.26953125" bestFit="1" customWidth="1"/>
    <col min="8" max="13" width="21.26953125" customWidth="1"/>
    <col min="14" max="14" width="19.1796875" customWidth="1"/>
    <col min="15" max="15" width="18.81640625" customWidth="1"/>
  </cols>
  <sheetData>
    <row r="2" spans="1:15" ht="23.5" x14ac:dyDescent="0.55000000000000004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</row>
    <row r="3" spans="1:15" ht="23.5" x14ac:dyDescent="0.55000000000000004">
      <c r="A3" s="93" t="s">
        <v>1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</row>
    <row r="4" spans="1:15" x14ac:dyDescent="0.35">
      <c r="A4" s="94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6"/>
    </row>
    <row r="5" spans="1:15" ht="18.5" x14ac:dyDescent="0.45">
      <c r="A5" s="2" t="s">
        <v>5</v>
      </c>
      <c r="B5" s="2" t="s">
        <v>35</v>
      </c>
      <c r="C5" s="2" t="s">
        <v>34</v>
      </c>
      <c r="D5" s="2" t="s">
        <v>2</v>
      </c>
      <c r="E5" s="2" t="s">
        <v>3</v>
      </c>
      <c r="F5" s="2" t="s">
        <v>45</v>
      </c>
      <c r="G5" s="6" t="s">
        <v>59</v>
      </c>
      <c r="H5" s="6" t="s">
        <v>213</v>
      </c>
      <c r="I5" s="6" t="s">
        <v>213</v>
      </c>
      <c r="J5" s="6" t="s">
        <v>213</v>
      </c>
      <c r="K5" s="6" t="s">
        <v>213</v>
      </c>
      <c r="L5" s="6" t="s">
        <v>213</v>
      </c>
      <c r="M5" s="6" t="s">
        <v>213</v>
      </c>
      <c r="N5" s="6" t="s">
        <v>213</v>
      </c>
      <c r="O5" s="6" t="s">
        <v>213</v>
      </c>
    </row>
    <row r="6" spans="1:15" ht="56.25" customHeight="1" x14ac:dyDescent="0.35">
      <c r="A6" s="1">
        <v>13</v>
      </c>
      <c r="B6" s="1">
        <v>4</v>
      </c>
      <c r="C6" s="4" t="s">
        <v>42</v>
      </c>
      <c r="D6" s="5" t="s">
        <v>7</v>
      </c>
      <c r="E6" s="1">
        <v>14</v>
      </c>
      <c r="F6" s="1" t="s">
        <v>46</v>
      </c>
      <c r="G6" s="1"/>
      <c r="H6" s="1"/>
      <c r="I6" s="1"/>
      <c r="J6" s="1"/>
      <c r="K6" s="1"/>
      <c r="L6" s="1"/>
      <c r="M6" s="11"/>
      <c r="N6" s="11"/>
      <c r="O6" s="11"/>
    </row>
    <row r="7" spans="1:15" ht="15.5" x14ac:dyDescent="0.35">
      <c r="A7" s="1">
        <v>13</v>
      </c>
      <c r="B7" s="1">
        <v>4</v>
      </c>
      <c r="C7" s="1"/>
      <c r="D7" s="3" t="s">
        <v>6</v>
      </c>
      <c r="E7" s="1">
        <v>1</v>
      </c>
      <c r="F7" s="1" t="s">
        <v>46</v>
      </c>
      <c r="G7" s="1"/>
      <c r="H7" s="1"/>
      <c r="I7" s="1"/>
      <c r="J7" s="1"/>
      <c r="K7" s="1"/>
      <c r="L7" s="1"/>
      <c r="M7" s="11"/>
      <c r="N7" s="11"/>
      <c r="O7" s="11"/>
    </row>
    <row r="8" spans="1:15" ht="15.5" x14ac:dyDescent="0.35">
      <c r="A8" s="1">
        <v>25</v>
      </c>
      <c r="B8" s="12" t="s">
        <v>65</v>
      </c>
      <c r="C8" s="1"/>
      <c r="D8" s="3" t="s">
        <v>8</v>
      </c>
      <c r="E8" s="1">
        <v>1</v>
      </c>
      <c r="F8" s="1" t="s">
        <v>46</v>
      </c>
      <c r="G8" s="1"/>
      <c r="H8" s="1"/>
      <c r="I8" s="1"/>
      <c r="J8" s="1"/>
      <c r="K8" s="1"/>
      <c r="L8" s="1"/>
      <c r="M8" s="11"/>
      <c r="N8" s="11"/>
      <c r="O8" s="11"/>
    </row>
    <row r="9" spans="1:15" ht="15.5" x14ac:dyDescent="0.35">
      <c r="A9" s="1"/>
      <c r="B9" s="1"/>
      <c r="C9" s="1"/>
      <c r="D9" s="3" t="s">
        <v>64</v>
      </c>
      <c r="E9" s="1">
        <v>5</v>
      </c>
      <c r="F9" s="1" t="s">
        <v>48</v>
      </c>
      <c r="G9" s="1"/>
      <c r="H9" s="1"/>
      <c r="I9" s="1"/>
      <c r="J9" s="1"/>
      <c r="K9" s="1"/>
      <c r="L9" s="1"/>
      <c r="M9" s="11"/>
      <c r="N9" s="11"/>
      <c r="O9" s="11"/>
    </row>
    <row r="10" spans="1:15" ht="15.5" x14ac:dyDescent="0.35">
      <c r="A10" s="1">
        <v>21</v>
      </c>
      <c r="B10" s="1">
        <v>151</v>
      </c>
      <c r="C10" s="1"/>
      <c r="D10" s="3" t="s">
        <v>9</v>
      </c>
      <c r="E10" s="1">
        <v>8</v>
      </c>
      <c r="F10" s="1" t="s">
        <v>47</v>
      </c>
      <c r="G10" s="1"/>
      <c r="H10" s="1"/>
      <c r="I10" s="1"/>
      <c r="J10" s="1"/>
      <c r="K10" s="1"/>
      <c r="L10" s="1"/>
      <c r="M10" s="11"/>
      <c r="N10" s="11"/>
      <c r="O10" s="11"/>
    </row>
    <row r="11" spans="1:15" ht="15.5" x14ac:dyDescent="0.35">
      <c r="A11" s="1">
        <v>21</v>
      </c>
      <c r="B11" s="1">
        <v>151</v>
      </c>
      <c r="C11" s="1"/>
      <c r="D11" s="3" t="s">
        <v>10</v>
      </c>
      <c r="E11" s="1">
        <v>8</v>
      </c>
      <c r="F11" s="1"/>
      <c r="G11" s="1"/>
      <c r="H11" s="1"/>
      <c r="I11" s="1"/>
      <c r="J11" s="1"/>
      <c r="K11" s="1"/>
      <c r="L11" s="1"/>
      <c r="M11" s="11"/>
      <c r="N11" s="11"/>
      <c r="O11" s="11"/>
    </row>
    <row r="12" spans="1:15" ht="15.5" x14ac:dyDescent="0.35">
      <c r="A12" s="1">
        <v>21</v>
      </c>
      <c r="B12" s="1">
        <v>151</v>
      </c>
      <c r="C12" s="1"/>
      <c r="D12" s="3" t="s">
        <v>11</v>
      </c>
      <c r="E12" s="1">
        <v>8</v>
      </c>
      <c r="F12" s="1"/>
      <c r="G12" s="1"/>
      <c r="H12" s="1"/>
      <c r="I12" s="1"/>
      <c r="J12" s="1"/>
      <c r="K12" s="1"/>
      <c r="L12" s="1"/>
      <c r="M12" s="11"/>
      <c r="N12" s="11"/>
      <c r="O12" s="11"/>
    </row>
    <row r="13" spans="1:15" ht="15.5" x14ac:dyDescent="0.35">
      <c r="A13" s="1">
        <v>21</v>
      </c>
      <c r="B13" s="1">
        <v>16</v>
      </c>
      <c r="C13" s="1"/>
      <c r="D13" s="3" t="s">
        <v>12</v>
      </c>
      <c r="E13" s="1">
        <v>4</v>
      </c>
      <c r="F13" s="1" t="s">
        <v>48</v>
      </c>
      <c r="G13" s="1"/>
      <c r="H13" s="1"/>
      <c r="I13" s="1"/>
      <c r="J13" s="1"/>
      <c r="K13" s="1"/>
      <c r="L13" s="1"/>
      <c r="M13" s="11"/>
      <c r="N13" s="11"/>
      <c r="O13" s="11"/>
    </row>
    <row r="14" spans="1:15" ht="15.5" x14ac:dyDescent="0.35">
      <c r="A14" s="1">
        <v>21</v>
      </c>
      <c r="B14" s="1">
        <v>158</v>
      </c>
      <c r="C14" s="1"/>
      <c r="D14" s="3" t="s">
        <v>13</v>
      </c>
      <c r="E14" s="1">
        <v>2</v>
      </c>
      <c r="F14" s="1" t="s">
        <v>49</v>
      </c>
      <c r="G14" s="1"/>
      <c r="H14" s="1"/>
      <c r="I14" s="1"/>
      <c r="J14" s="1"/>
      <c r="K14" s="1"/>
      <c r="L14" s="1"/>
      <c r="M14" s="11"/>
      <c r="N14" s="11"/>
      <c r="O14" s="11"/>
    </row>
    <row r="15" spans="1:15" ht="15.5" x14ac:dyDescent="0.35">
      <c r="A15" s="1">
        <v>22</v>
      </c>
      <c r="B15" s="1">
        <v>66</v>
      </c>
      <c r="C15" s="1"/>
      <c r="D15" s="3" t="s">
        <v>14</v>
      </c>
      <c r="E15" s="1">
        <v>5</v>
      </c>
      <c r="F15" s="1" t="s">
        <v>47</v>
      </c>
      <c r="G15" s="1"/>
      <c r="H15" s="1"/>
      <c r="I15" s="1"/>
      <c r="J15" s="1"/>
      <c r="K15" s="1"/>
      <c r="L15" s="1"/>
      <c r="M15" s="11"/>
      <c r="N15" s="11"/>
      <c r="O15" s="11"/>
    </row>
    <row r="16" spans="1:15" ht="15.5" x14ac:dyDescent="0.35">
      <c r="A16" s="1">
        <v>22</v>
      </c>
      <c r="B16" s="1">
        <v>159</v>
      </c>
      <c r="C16" s="1"/>
      <c r="D16" s="3" t="s">
        <v>15</v>
      </c>
      <c r="E16" s="1">
        <v>2</v>
      </c>
      <c r="F16" s="1" t="s">
        <v>46</v>
      </c>
      <c r="G16" s="1"/>
      <c r="H16" s="1"/>
      <c r="I16" s="1"/>
      <c r="J16" s="1"/>
      <c r="K16" s="1"/>
      <c r="L16" s="1"/>
      <c r="M16" s="11"/>
      <c r="N16" s="11"/>
      <c r="O16" s="11"/>
    </row>
    <row r="17" spans="1:15" ht="15.5" x14ac:dyDescent="0.35">
      <c r="A17" s="1"/>
      <c r="B17" s="1"/>
      <c r="C17" s="1"/>
      <c r="D17" s="3" t="s">
        <v>16</v>
      </c>
      <c r="E17" s="1">
        <v>1</v>
      </c>
      <c r="F17" s="1" t="s">
        <v>48</v>
      </c>
      <c r="G17" s="1"/>
      <c r="H17" s="1"/>
      <c r="I17" s="1"/>
      <c r="J17" s="1"/>
      <c r="K17" s="1"/>
      <c r="L17" s="1"/>
      <c r="M17" s="11"/>
      <c r="N17" s="11"/>
      <c r="O17" s="11"/>
    </row>
    <row r="18" spans="1:15" ht="15.5" x14ac:dyDescent="0.35">
      <c r="A18" s="1">
        <v>22</v>
      </c>
      <c r="B18" s="1">
        <v>130</v>
      </c>
      <c r="C18" s="1"/>
      <c r="D18" s="3" t="s">
        <v>17</v>
      </c>
      <c r="E18" s="1">
        <v>1</v>
      </c>
      <c r="F18" s="1" t="s">
        <v>48</v>
      </c>
      <c r="G18" s="1"/>
      <c r="H18" s="1"/>
      <c r="I18" s="1"/>
      <c r="J18" s="1"/>
      <c r="K18" s="1"/>
      <c r="L18" s="1"/>
      <c r="M18" s="11"/>
      <c r="N18" s="11"/>
      <c r="O18" s="11"/>
    </row>
    <row r="19" spans="1:15" ht="15.5" x14ac:dyDescent="0.35">
      <c r="A19" s="1">
        <v>22</v>
      </c>
      <c r="B19" s="1">
        <v>130</v>
      </c>
      <c r="C19" s="1"/>
      <c r="D19" s="3" t="s">
        <v>33</v>
      </c>
      <c r="E19" s="1"/>
      <c r="F19" s="1"/>
      <c r="G19" s="1"/>
      <c r="H19" s="1"/>
      <c r="I19" s="1"/>
      <c r="J19" s="1"/>
      <c r="K19" s="1"/>
      <c r="L19" s="1"/>
      <c r="M19" s="11"/>
      <c r="N19" s="11"/>
      <c r="O19" s="11"/>
    </row>
    <row r="20" spans="1:15" ht="15.5" x14ac:dyDescent="0.35">
      <c r="A20" s="1">
        <v>29</v>
      </c>
      <c r="B20" s="1">
        <v>103</v>
      </c>
      <c r="C20" s="1"/>
      <c r="D20" s="3" t="s">
        <v>36</v>
      </c>
      <c r="E20" s="1">
        <v>1</v>
      </c>
      <c r="F20" s="1" t="s">
        <v>46</v>
      </c>
      <c r="G20" s="1"/>
      <c r="H20" s="1"/>
      <c r="I20" s="1"/>
      <c r="J20" s="1"/>
      <c r="K20" s="1"/>
      <c r="L20" s="1"/>
      <c r="M20" s="11"/>
      <c r="N20" s="11"/>
      <c r="O20" s="11"/>
    </row>
    <row r="21" spans="1:15" ht="15.5" x14ac:dyDescent="0.35">
      <c r="A21" s="1">
        <v>22</v>
      </c>
      <c r="B21" s="1">
        <v>97</v>
      </c>
      <c r="C21" s="1"/>
      <c r="D21" s="3" t="s">
        <v>18</v>
      </c>
      <c r="E21" s="1">
        <v>1</v>
      </c>
      <c r="F21" s="1" t="s">
        <v>50</v>
      </c>
      <c r="G21" s="1"/>
      <c r="H21" s="1"/>
      <c r="I21" s="1"/>
      <c r="J21" s="1"/>
      <c r="K21" s="1"/>
      <c r="L21" s="1"/>
      <c r="M21" s="11"/>
      <c r="N21" s="11"/>
      <c r="O21" s="11"/>
    </row>
    <row r="22" spans="1:15" ht="15.5" x14ac:dyDescent="0.35">
      <c r="A22" s="1">
        <v>22</v>
      </c>
      <c r="B22" s="1">
        <v>97</v>
      </c>
      <c r="C22" s="1"/>
      <c r="D22" s="3" t="s">
        <v>19</v>
      </c>
      <c r="E22" s="1">
        <v>5</v>
      </c>
      <c r="F22" s="1" t="s">
        <v>51</v>
      </c>
      <c r="G22" s="1"/>
      <c r="H22" s="1"/>
      <c r="I22" s="1"/>
      <c r="J22" s="1"/>
      <c r="K22" s="1"/>
      <c r="L22" s="1"/>
      <c r="M22" s="11"/>
      <c r="N22" s="11"/>
      <c r="O22" s="11"/>
    </row>
    <row r="23" spans="1:15" ht="15.5" x14ac:dyDescent="0.35">
      <c r="A23" s="1">
        <v>22</v>
      </c>
      <c r="B23" s="1">
        <v>13</v>
      </c>
      <c r="C23" s="1"/>
      <c r="D23" s="3" t="s">
        <v>137</v>
      </c>
      <c r="E23" s="1">
        <v>3</v>
      </c>
      <c r="F23" s="1" t="s">
        <v>50</v>
      </c>
      <c r="G23" s="1"/>
      <c r="H23" s="1"/>
      <c r="I23" s="1"/>
      <c r="J23" s="1"/>
      <c r="K23" s="1"/>
      <c r="L23" s="1"/>
      <c r="M23" s="11"/>
      <c r="N23" s="11"/>
      <c r="O23" s="11"/>
    </row>
    <row r="24" spans="1:15" ht="15.5" x14ac:dyDescent="0.35">
      <c r="A24" s="1">
        <v>24</v>
      </c>
      <c r="B24" s="1">
        <v>101</v>
      </c>
      <c r="C24" s="1"/>
      <c r="D24" s="3" t="s">
        <v>20</v>
      </c>
      <c r="E24" s="7">
        <v>0.25</v>
      </c>
      <c r="F24" s="1" t="s">
        <v>52</v>
      </c>
      <c r="G24" s="1"/>
      <c r="H24" s="1"/>
      <c r="I24" s="1"/>
      <c r="J24" s="1"/>
      <c r="K24" s="1"/>
      <c r="L24" s="1"/>
      <c r="M24" s="11"/>
      <c r="N24" s="11"/>
      <c r="O24" s="11"/>
    </row>
    <row r="25" spans="1:15" ht="15.5" x14ac:dyDescent="0.35">
      <c r="A25" s="1"/>
      <c r="B25" s="1"/>
      <c r="C25" s="1"/>
      <c r="D25" s="3" t="s">
        <v>21</v>
      </c>
      <c r="E25" s="1"/>
      <c r="F25" s="1"/>
      <c r="G25" s="1"/>
      <c r="H25" s="1"/>
      <c r="I25" s="1"/>
      <c r="J25" s="1"/>
      <c r="K25" s="1"/>
      <c r="L25" s="1"/>
      <c r="M25" s="11"/>
      <c r="N25" s="11"/>
      <c r="O25" s="11"/>
    </row>
    <row r="26" spans="1:15" ht="15.5" x14ac:dyDescent="0.35">
      <c r="A26" s="1"/>
      <c r="B26" s="1"/>
      <c r="C26" s="1"/>
      <c r="D26" s="3" t="s">
        <v>22</v>
      </c>
      <c r="E26" s="1">
        <v>10</v>
      </c>
      <c r="F26" s="1" t="s">
        <v>51</v>
      </c>
      <c r="G26" s="1"/>
      <c r="H26" s="1"/>
      <c r="I26" s="1"/>
      <c r="J26" s="1"/>
      <c r="K26" s="1"/>
      <c r="L26" s="1"/>
      <c r="M26" s="11"/>
      <c r="N26" s="11"/>
      <c r="O26" s="11"/>
    </row>
    <row r="27" spans="1:15" ht="15.5" x14ac:dyDescent="0.35">
      <c r="A27" s="1">
        <v>25</v>
      </c>
      <c r="B27" s="1">
        <v>38</v>
      </c>
      <c r="C27" s="1"/>
      <c r="D27" s="3" t="s">
        <v>23</v>
      </c>
      <c r="E27" s="1">
        <v>30</v>
      </c>
      <c r="F27" s="1" t="s">
        <v>51</v>
      </c>
      <c r="G27" s="1"/>
      <c r="H27" s="1"/>
      <c r="I27" s="1"/>
      <c r="J27" s="1"/>
      <c r="K27" s="1"/>
      <c r="L27" s="1"/>
      <c r="M27" s="11"/>
      <c r="N27" s="11"/>
      <c r="O27" s="11"/>
    </row>
    <row r="28" spans="1:15" ht="15.5" x14ac:dyDescent="0.35">
      <c r="A28" s="1">
        <v>23</v>
      </c>
      <c r="B28" s="1" t="s">
        <v>37</v>
      </c>
      <c r="C28" s="1"/>
      <c r="D28" s="3" t="s">
        <v>24</v>
      </c>
      <c r="E28" s="1">
        <v>1</v>
      </c>
      <c r="F28" s="1" t="s">
        <v>53</v>
      </c>
      <c r="G28" s="1"/>
      <c r="H28" s="1"/>
      <c r="I28" s="1"/>
      <c r="J28" s="1"/>
      <c r="K28" s="1"/>
      <c r="L28" s="1"/>
      <c r="M28" s="11"/>
      <c r="N28" s="11"/>
      <c r="O28" s="11"/>
    </row>
    <row r="29" spans="1:15" ht="15.5" x14ac:dyDescent="0.35">
      <c r="A29" s="1">
        <v>23</v>
      </c>
      <c r="B29" s="1">
        <v>20</v>
      </c>
      <c r="C29" s="1"/>
      <c r="D29" s="3" t="s">
        <v>25</v>
      </c>
      <c r="E29" s="1">
        <v>1</v>
      </c>
      <c r="F29" s="1" t="s">
        <v>54</v>
      </c>
      <c r="G29" s="1"/>
      <c r="H29" s="1"/>
      <c r="I29" s="1"/>
      <c r="J29" s="1"/>
      <c r="K29" s="1"/>
      <c r="L29" s="1"/>
      <c r="M29" s="11"/>
      <c r="N29" s="11"/>
      <c r="O29" s="11"/>
    </row>
    <row r="30" spans="1:15" ht="15.5" x14ac:dyDescent="0.35">
      <c r="A30" s="1">
        <v>26</v>
      </c>
      <c r="B30" s="1">
        <v>347</v>
      </c>
      <c r="C30" s="1"/>
      <c r="D30" s="3" t="s">
        <v>26</v>
      </c>
      <c r="E30" s="1">
        <v>2</v>
      </c>
      <c r="F30" s="1" t="s">
        <v>55</v>
      </c>
      <c r="G30" s="1"/>
      <c r="H30" s="1"/>
      <c r="I30" s="1"/>
      <c r="J30" s="1"/>
      <c r="K30" s="1"/>
      <c r="L30" s="1"/>
      <c r="M30" s="11"/>
      <c r="N30" s="11"/>
      <c r="O30" s="11"/>
    </row>
    <row r="31" spans="1:15" ht="15.5" x14ac:dyDescent="0.35">
      <c r="A31" s="1">
        <v>26</v>
      </c>
      <c r="B31" s="1">
        <v>347</v>
      </c>
      <c r="C31" s="1"/>
      <c r="D31" s="3" t="s">
        <v>27</v>
      </c>
      <c r="E31" s="1">
        <v>1</v>
      </c>
      <c r="F31" s="1" t="s">
        <v>51</v>
      </c>
      <c r="G31" s="1"/>
      <c r="H31" s="1"/>
      <c r="I31" s="1"/>
      <c r="J31" s="1"/>
      <c r="K31" s="1"/>
      <c r="L31" s="1"/>
      <c r="M31" s="11"/>
      <c r="N31" s="11"/>
      <c r="O31" s="11"/>
    </row>
    <row r="32" spans="1:15" ht="15.5" x14ac:dyDescent="0.35">
      <c r="A32" s="1">
        <v>26</v>
      </c>
      <c r="B32" s="1">
        <v>347</v>
      </c>
      <c r="C32" s="1"/>
      <c r="D32" s="3" t="s">
        <v>28</v>
      </c>
      <c r="E32" s="1">
        <v>5</v>
      </c>
      <c r="F32" s="1" t="s">
        <v>56</v>
      </c>
      <c r="G32" s="1"/>
      <c r="H32" s="1"/>
      <c r="I32" s="1"/>
      <c r="J32" s="1"/>
      <c r="K32" s="1"/>
      <c r="L32" s="1"/>
      <c r="M32" s="11"/>
      <c r="N32" s="11"/>
      <c r="O32" s="11"/>
    </row>
    <row r="33" spans="1:15" ht="15.5" x14ac:dyDescent="0.35">
      <c r="A33" s="1">
        <v>26</v>
      </c>
      <c r="B33" s="1">
        <v>347</v>
      </c>
      <c r="C33" s="1"/>
      <c r="D33" s="3" t="s">
        <v>29</v>
      </c>
      <c r="E33" s="1">
        <v>2</v>
      </c>
      <c r="F33" s="1" t="s">
        <v>48</v>
      </c>
      <c r="G33" s="1"/>
      <c r="H33" s="1"/>
      <c r="I33" s="1"/>
      <c r="J33" s="1"/>
      <c r="K33" s="1"/>
      <c r="L33" s="1"/>
      <c r="M33" s="11"/>
      <c r="N33" s="11"/>
      <c r="O33" s="11"/>
    </row>
    <row r="34" spans="1:15" ht="15.5" x14ac:dyDescent="0.35">
      <c r="A34" s="1">
        <v>26</v>
      </c>
      <c r="B34" s="1">
        <v>347</v>
      </c>
      <c r="C34" s="1"/>
      <c r="D34" s="3" t="s">
        <v>30</v>
      </c>
      <c r="E34" s="1">
        <v>12</v>
      </c>
      <c r="F34" s="1" t="s">
        <v>57</v>
      </c>
      <c r="G34" s="1"/>
      <c r="H34" s="1"/>
      <c r="I34" s="1"/>
      <c r="J34" s="1"/>
      <c r="K34" s="1"/>
      <c r="L34" s="1"/>
      <c r="M34" s="11"/>
      <c r="N34" s="11"/>
      <c r="O34" s="11"/>
    </row>
    <row r="35" spans="1:15" ht="15.5" x14ac:dyDescent="0.35">
      <c r="A35" s="1">
        <v>26</v>
      </c>
      <c r="B35" s="1">
        <v>347</v>
      </c>
      <c r="C35" s="1"/>
      <c r="D35" s="3" t="s">
        <v>31</v>
      </c>
      <c r="E35" s="1">
        <v>1</v>
      </c>
      <c r="F35" s="1" t="s">
        <v>48</v>
      </c>
      <c r="G35" s="1"/>
      <c r="H35" s="1"/>
      <c r="I35" s="1"/>
      <c r="J35" s="1"/>
      <c r="K35" s="1"/>
      <c r="L35" s="1"/>
      <c r="M35" s="11"/>
      <c r="N35" s="11"/>
      <c r="O35" s="11"/>
    </row>
    <row r="36" spans="1:15" ht="15.5" x14ac:dyDescent="0.35">
      <c r="A36" s="1">
        <v>26</v>
      </c>
      <c r="B36" s="1">
        <v>347</v>
      </c>
      <c r="C36" s="1"/>
      <c r="D36" s="3" t="s">
        <v>58</v>
      </c>
      <c r="E36" s="1">
        <v>1</v>
      </c>
      <c r="F36" s="1" t="s">
        <v>48</v>
      </c>
      <c r="G36" s="1"/>
      <c r="H36" s="1"/>
      <c r="I36" s="1"/>
      <c r="J36" s="1"/>
      <c r="K36" s="1"/>
      <c r="L36" s="1"/>
      <c r="M36" s="11"/>
      <c r="N36" s="11"/>
      <c r="O36" s="11"/>
    </row>
    <row r="37" spans="1:15" ht="15.5" x14ac:dyDescent="0.35">
      <c r="A37" s="1">
        <v>26</v>
      </c>
      <c r="B37" s="1">
        <v>347</v>
      </c>
      <c r="C37" s="1"/>
      <c r="D37" s="3" t="s">
        <v>44</v>
      </c>
      <c r="E37" s="1">
        <v>1</v>
      </c>
      <c r="F37" s="1" t="s">
        <v>48</v>
      </c>
      <c r="G37" s="1"/>
      <c r="H37" s="1"/>
      <c r="I37" s="1"/>
      <c r="J37" s="1"/>
      <c r="K37" s="1"/>
      <c r="L37" s="1"/>
      <c r="M37" s="11"/>
      <c r="N37" s="11"/>
      <c r="O37" s="11"/>
    </row>
    <row r="38" spans="1:15" ht="15.5" x14ac:dyDescent="0.35">
      <c r="A38" s="1">
        <v>23</v>
      </c>
      <c r="B38" s="1">
        <v>95</v>
      </c>
      <c r="C38" s="1" t="s">
        <v>43</v>
      </c>
      <c r="D38" s="3" t="s">
        <v>32</v>
      </c>
      <c r="E38" s="1">
        <v>1</v>
      </c>
      <c r="F38" s="1" t="s">
        <v>48</v>
      </c>
      <c r="G38" s="1"/>
      <c r="H38" s="1"/>
      <c r="I38" s="1"/>
      <c r="J38" s="1"/>
      <c r="K38" s="1"/>
      <c r="L38" s="1"/>
      <c r="M38" s="11"/>
      <c r="N38" s="11"/>
      <c r="O38" s="11"/>
    </row>
    <row r="39" spans="1:15" x14ac:dyDescent="0.35">
      <c r="A39" s="1"/>
      <c r="B39" s="1"/>
      <c r="C39" s="1"/>
      <c r="D39" s="1" t="s">
        <v>39</v>
      </c>
      <c r="E39" s="1"/>
      <c r="F39" s="1"/>
      <c r="G39" s="1"/>
      <c r="H39" s="1"/>
      <c r="I39" s="1"/>
      <c r="J39" s="1"/>
      <c r="K39" s="1"/>
      <c r="L39" s="1"/>
      <c r="M39" s="11"/>
      <c r="N39" s="11"/>
      <c r="O39" s="11"/>
    </row>
    <row r="40" spans="1:15" x14ac:dyDescent="0.35">
      <c r="A40" s="1"/>
      <c r="B40" s="1"/>
      <c r="C40" s="1"/>
      <c r="D40" s="1" t="s">
        <v>38</v>
      </c>
      <c r="E40" s="1"/>
      <c r="F40" s="1"/>
      <c r="G40" s="1"/>
      <c r="H40" s="1"/>
      <c r="I40" s="1"/>
      <c r="J40" s="1"/>
      <c r="K40" s="1"/>
      <c r="L40" s="1"/>
      <c r="M40" s="11"/>
      <c r="N40" s="11"/>
      <c r="O40" s="11"/>
    </row>
    <row r="41" spans="1:15" ht="15.5" x14ac:dyDescent="0.35">
      <c r="A41" s="1"/>
      <c r="B41" s="1"/>
      <c r="C41" s="1"/>
      <c r="D41" s="3" t="s">
        <v>40</v>
      </c>
      <c r="E41" s="1"/>
      <c r="F41" s="1"/>
      <c r="G41" s="1"/>
      <c r="H41" s="1"/>
      <c r="I41" s="1"/>
      <c r="J41" s="1"/>
      <c r="K41" s="1"/>
      <c r="L41" s="1"/>
      <c r="M41" s="11"/>
      <c r="N41" s="11"/>
      <c r="O41" s="11"/>
    </row>
    <row r="42" spans="1:15" ht="15.5" x14ac:dyDescent="0.35">
      <c r="A42" s="1"/>
      <c r="B42" s="1"/>
      <c r="C42" s="1"/>
      <c r="D42" s="3" t="s">
        <v>41</v>
      </c>
      <c r="E42" s="1"/>
      <c r="F42" s="1"/>
      <c r="G42" s="1"/>
      <c r="H42" s="1"/>
      <c r="I42" s="1"/>
      <c r="J42" s="1"/>
      <c r="K42" s="1"/>
      <c r="L42" s="1"/>
      <c r="M42" s="11"/>
      <c r="N42" s="11"/>
      <c r="O42" s="11"/>
    </row>
    <row r="43" spans="1:15" x14ac:dyDescent="0.35">
      <c r="M43" s="16">
        <f>SUM(M6:M42)</f>
        <v>0</v>
      </c>
      <c r="N43" s="16">
        <f>SUM(N6:N42)</f>
        <v>0</v>
      </c>
      <c r="O43" s="11">
        <f>SUM(O6:O42)</f>
        <v>0</v>
      </c>
    </row>
    <row r="44" spans="1:15" x14ac:dyDescent="0.35">
      <c r="O44" s="11"/>
    </row>
    <row r="45" spans="1:15" x14ac:dyDescent="0.35">
      <c r="O45" s="11"/>
    </row>
    <row r="46" spans="1:15" x14ac:dyDescent="0.35">
      <c r="O46" s="11"/>
    </row>
    <row r="47" spans="1:15" x14ac:dyDescent="0.35">
      <c r="O47" s="11"/>
    </row>
    <row r="48" spans="1:15" x14ac:dyDescent="0.35">
      <c r="O48" s="11"/>
    </row>
    <row r="49" spans="15:15" x14ac:dyDescent="0.35">
      <c r="O49" s="11"/>
    </row>
    <row r="50" spans="15:15" x14ac:dyDescent="0.35">
      <c r="O50" s="11"/>
    </row>
    <row r="51" spans="15:15" x14ac:dyDescent="0.35">
      <c r="O51" s="11"/>
    </row>
    <row r="52" spans="15:15" x14ac:dyDescent="0.35">
      <c r="O52" s="11"/>
    </row>
    <row r="53" spans="15:15" x14ac:dyDescent="0.35">
      <c r="O53" s="11"/>
    </row>
    <row r="54" spans="15:15" x14ac:dyDescent="0.35">
      <c r="O54" s="11"/>
    </row>
    <row r="55" spans="15:15" x14ac:dyDescent="0.35">
      <c r="O55" s="11"/>
    </row>
    <row r="56" spans="15:15" x14ac:dyDescent="0.35">
      <c r="O56" s="11"/>
    </row>
    <row r="57" spans="15:15" x14ac:dyDescent="0.35">
      <c r="O57" s="11"/>
    </row>
  </sheetData>
  <mergeCells count="3">
    <mergeCell ref="A2:N2"/>
    <mergeCell ref="A3:N3"/>
    <mergeCell ref="A4:N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26B2-674C-4B3D-BE48-0DD7069AA8E4}">
  <dimension ref="A2:E11"/>
  <sheetViews>
    <sheetView workbookViewId="0">
      <selection activeCell="C12" sqref="C12"/>
    </sheetView>
  </sheetViews>
  <sheetFormatPr baseColWidth="10" defaultRowHeight="14.5" x14ac:dyDescent="0.35"/>
  <cols>
    <col min="2" max="4" width="12.54296875" bestFit="1" customWidth="1"/>
  </cols>
  <sheetData>
    <row r="2" spans="1:5" x14ac:dyDescent="0.35">
      <c r="B2" s="33">
        <v>45848</v>
      </c>
    </row>
    <row r="4" spans="1:5" x14ac:dyDescent="0.35">
      <c r="B4" s="17" t="s">
        <v>128</v>
      </c>
      <c r="C4" s="17" t="s">
        <v>129</v>
      </c>
      <c r="D4" s="17" t="s">
        <v>130</v>
      </c>
    </row>
    <row r="5" spans="1:5" x14ac:dyDescent="0.35">
      <c r="B5" s="34">
        <v>300000000</v>
      </c>
      <c r="C5" s="34">
        <v>100000000</v>
      </c>
      <c r="D5" s="34">
        <v>100000000</v>
      </c>
    </row>
    <row r="6" spans="1:5" x14ac:dyDescent="0.35">
      <c r="C6" s="34">
        <v>100000000</v>
      </c>
    </row>
    <row r="7" spans="1:5" x14ac:dyDescent="0.35">
      <c r="A7" s="33"/>
      <c r="B7" s="34">
        <v>22000000</v>
      </c>
      <c r="C7" t="s">
        <v>131</v>
      </c>
    </row>
    <row r="8" spans="1:5" x14ac:dyDescent="0.35">
      <c r="A8" s="33">
        <v>45848</v>
      </c>
      <c r="B8" s="34">
        <v>13000000</v>
      </c>
      <c r="C8" t="s">
        <v>132</v>
      </c>
      <c r="D8" s="34">
        <v>5600000</v>
      </c>
      <c r="E8" t="s">
        <v>133</v>
      </c>
    </row>
    <row r="9" spans="1:5" x14ac:dyDescent="0.35">
      <c r="D9" s="34">
        <v>7600000</v>
      </c>
      <c r="E9" t="s">
        <v>134</v>
      </c>
    </row>
    <row r="10" spans="1:5" x14ac:dyDescent="0.35">
      <c r="A10" s="33">
        <v>45855</v>
      </c>
      <c r="B10" s="35">
        <v>12000000</v>
      </c>
      <c r="C10" t="s">
        <v>132</v>
      </c>
      <c r="D10" t="s">
        <v>142</v>
      </c>
    </row>
    <row r="11" spans="1:5" x14ac:dyDescent="0.35">
      <c r="B11" s="35">
        <f>B10+B8+B7+B5</f>
        <v>347000000</v>
      </c>
      <c r="C11" s="17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0DD1-8F72-46E1-9A83-DBAF848D0733}">
  <dimension ref="A2:G41"/>
  <sheetViews>
    <sheetView workbookViewId="0">
      <selection activeCell="D11" sqref="D11"/>
    </sheetView>
  </sheetViews>
  <sheetFormatPr baseColWidth="10" defaultRowHeight="14.5" x14ac:dyDescent="0.35"/>
  <cols>
    <col min="1" max="1" width="3.7265625" customWidth="1"/>
    <col min="2" max="2" width="4" customWidth="1"/>
    <col min="3" max="3" width="21.7265625" customWidth="1"/>
    <col min="4" max="4" width="4.54296875" customWidth="1"/>
    <col min="5" max="5" width="12.7265625" customWidth="1"/>
    <col min="6" max="6" width="20.26953125" customWidth="1"/>
    <col min="7" max="7" width="19.1796875" customWidth="1"/>
  </cols>
  <sheetData>
    <row r="2" spans="1:7" ht="23.5" x14ac:dyDescent="0.55000000000000004">
      <c r="A2" s="93" t="s">
        <v>0</v>
      </c>
      <c r="B2" s="93"/>
      <c r="C2" s="93"/>
      <c r="D2" s="93"/>
      <c r="E2" s="93"/>
      <c r="F2" s="93"/>
      <c r="G2" s="93"/>
    </row>
    <row r="3" spans="1:7" ht="23.5" x14ac:dyDescent="0.55000000000000004">
      <c r="A3" s="93" t="s">
        <v>1</v>
      </c>
      <c r="B3" s="93"/>
      <c r="C3" s="93"/>
      <c r="D3" s="93"/>
      <c r="E3" s="93"/>
      <c r="F3" s="93"/>
      <c r="G3" s="93"/>
    </row>
    <row r="4" spans="1:7" x14ac:dyDescent="0.35">
      <c r="A4" s="94"/>
      <c r="B4" s="95"/>
      <c r="C4" s="95"/>
      <c r="D4" s="95"/>
      <c r="E4" s="95"/>
      <c r="F4" s="95"/>
      <c r="G4" s="96"/>
    </row>
    <row r="5" spans="1:7" ht="18.5" x14ac:dyDescent="0.45">
      <c r="A5" s="8" t="s">
        <v>70</v>
      </c>
      <c r="B5" s="8" t="s">
        <v>71</v>
      </c>
      <c r="C5" s="8" t="s">
        <v>2</v>
      </c>
      <c r="D5" s="8" t="s">
        <v>73</v>
      </c>
      <c r="E5" s="8" t="s">
        <v>45</v>
      </c>
      <c r="F5" s="8" t="s">
        <v>59</v>
      </c>
      <c r="G5" s="8" t="s">
        <v>4</v>
      </c>
    </row>
    <row r="6" spans="1:7" ht="56.25" customHeight="1" x14ac:dyDescent="0.35">
      <c r="A6" s="1">
        <v>13</v>
      </c>
      <c r="B6" s="1">
        <v>4</v>
      </c>
      <c r="C6" s="5" t="s">
        <v>7</v>
      </c>
      <c r="D6" s="1">
        <v>14</v>
      </c>
      <c r="E6" s="1" t="s">
        <v>46</v>
      </c>
      <c r="F6" s="1"/>
      <c r="G6" s="1"/>
    </row>
    <row r="7" spans="1:7" ht="15.5" x14ac:dyDescent="0.35">
      <c r="A7" s="1">
        <v>13</v>
      </c>
      <c r="B7" s="1">
        <v>4</v>
      </c>
      <c r="C7" s="3" t="s">
        <v>6</v>
      </c>
      <c r="D7" s="1">
        <v>1</v>
      </c>
      <c r="E7" s="1" t="s">
        <v>46</v>
      </c>
      <c r="F7" s="1"/>
      <c r="G7" s="1"/>
    </row>
    <row r="8" spans="1:7" ht="15.5" x14ac:dyDescent="0.35">
      <c r="A8" s="1">
        <v>25</v>
      </c>
      <c r="B8" s="1">
        <v>60</v>
      </c>
      <c r="C8" s="3" t="s">
        <v>8</v>
      </c>
      <c r="D8" s="1">
        <v>1</v>
      </c>
      <c r="E8" s="1" t="s">
        <v>46</v>
      </c>
      <c r="F8" s="1"/>
      <c r="G8" s="1"/>
    </row>
    <row r="9" spans="1:7" ht="15.5" x14ac:dyDescent="0.35">
      <c r="A9" s="1"/>
      <c r="B9" s="1"/>
      <c r="C9" s="3" t="s">
        <v>72</v>
      </c>
      <c r="D9" s="1">
        <v>5</v>
      </c>
      <c r="E9" s="1" t="s">
        <v>48</v>
      </c>
      <c r="F9" s="1"/>
      <c r="G9" s="1"/>
    </row>
    <row r="10" spans="1:7" ht="15.5" x14ac:dyDescent="0.35">
      <c r="A10" s="1">
        <v>21</v>
      </c>
      <c r="B10" s="1">
        <v>151</v>
      </c>
      <c r="C10" s="3" t="s">
        <v>9</v>
      </c>
      <c r="D10" s="1">
        <v>8</v>
      </c>
      <c r="E10" s="1" t="s">
        <v>47</v>
      </c>
      <c r="F10" s="1"/>
      <c r="G10" s="1"/>
    </row>
    <row r="11" spans="1:7" ht="15.5" x14ac:dyDescent="0.35">
      <c r="A11" s="1">
        <v>21</v>
      </c>
      <c r="B11" s="1">
        <v>151</v>
      </c>
      <c r="C11" s="3" t="s">
        <v>10</v>
      </c>
      <c r="D11" s="1">
        <v>8</v>
      </c>
      <c r="E11" s="1" t="s">
        <v>47</v>
      </c>
      <c r="F11" s="1"/>
      <c r="G11" s="1"/>
    </row>
    <row r="12" spans="1:7" ht="15.5" x14ac:dyDescent="0.35">
      <c r="A12" s="1">
        <v>21</v>
      </c>
      <c r="B12" s="1">
        <v>151</v>
      </c>
      <c r="C12" s="3" t="s">
        <v>11</v>
      </c>
      <c r="D12" s="1">
        <v>8</v>
      </c>
      <c r="E12" s="1" t="s">
        <v>47</v>
      </c>
      <c r="F12" s="1"/>
      <c r="G12" s="1"/>
    </row>
    <row r="13" spans="1:7" ht="15.5" x14ac:dyDescent="0.35">
      <c r="A13" s="1">
        <v>21</v>
      </c>
      <c r="B13" s="1">
        <v>16</v>
      </c>
      <c r="C13" s="3" t="s">
        <v>12</v>
      </c>
      <c r="D13" s="1">
        <v>4</v>
      </c>
      <c r="E13" s="1" t="s">
        <v>48</v>
      </c>
      <c r="F13" s="1"/>
      <c r="G13" s="1"/>
    </row>
    <row r="14" spans="1:7" ht="15.5" x14ac:dyDescent="0.35">
      <c r="A14" s="1">
        <v>21</v>
      </c>
      <c r="B14" s="1">
        <v>158</v>
      </c>
      <c r="C14" s="3" t="s">
        <v>13</v>
      </c>
      <c r="D14" s="1">
        <v>2</v>
      </c>
      <c r="E14" s="1" t="s">
        <v>49</v>
      </c>
      <c r="F14" s="1"/>
      <c r="G14" s="1"/>
    </row>
    <row r="15" spans="1:7" ht="15.5" x14ac:dyDescent="0.35">
      <c r="A15" s="1">
        <v>22</v>
      </c>
      <c r="B15" s="1">
        <v>66</v>
      </c>
      <c r="C15" s="3" t="s">
        <v>14</v>
      </c>
      <c r="D15" s="1">
        <v>5</v>
      </c>
      <c r="E15" s="1" t="s">
        <v>47</v>
      </c>
      <c r="F15" s="1"/>
      <c r="G15" s="1"/>
    </row>
    <row r="16" spans="1:7" ht="15.5" x14ac:dyDescent="0.35">
      <c r="A16" s="1">
        <v>22</v>
      </c>
      <c r="B16" s="1">
        <v>159</v>
      </c>
      <c r="C16" s="3" t="s">
        <v>15</v>
      </c>
      <c r="D16" s="1">
        <v>2</v>
      </c>
      <c r="E16" s="1" t="s">
        <v>46</v>
      </c>
      <c r="F16" s="1"/>
      <c r="G16" s="1"/>
    </row>
    <row r="17" spans="1:7" ht="15.5" x14ac:dyDescent="0.35">
      <c r="A17" s="1">
        <v>22</v>
      </c>
      <c r="B17" s="1"/>
      <c r="C17" s="3" t="s">
        <v>16</v>
      </c>
      <c r="D17" s="1">
        <v>1</v>
      </c>
      <c r="E17" s="1" t="s">
        <v>48</v>
      </c>
      <c r="F17" s="1"/>
      <c r="G17" s="1"/>
    </row>
    <row r="18" spans="1:7" ht="15.5" x14ac:dyDescent="0.35">
      <c r="A18" s="1">
        <v>22</v>
      </c>
      <c r="B18" s="1">
        <v>130</v>
      </c>
      <c r="C18" s="3" t="s">
        <v>17</v>
      </c>
      <c r="D18" s="1">
        <v>1</v>
      </c>
      <c r="E18" s="1" t="s">
        <v>48</v>
      </c>
      <c r="F18" s="1"/>
      <c r="G18" s="1"/>
    </row>
    <row r="19" spans="1:7" ht="15.5" x14ac:dyDescent="0.35">
      <c r="A19" s="1">
        <v>22</v>
      </c>
      <c r="B19" s="1">
        <v>130</v>
      </c>
      <c r="C19" s="3" t="s">
        <v>33</v>
      </c>
      <c r="D19" s="1"/>
      <c r="E19" s="1"/>
      <c r="F19" s="1"/>
      <c r="G19" s="1"/>
    </row>
    <row r="20" spans="1:7" ht="15.5" x14ac:dyDescent="0.35">
      <c r="A20" s="1">
        <v>29</v>
      </c>
      <c r="B20" s="1">
        <v>103</v>
      </c>
      <c r="C20" s="3" t="s">
        <v>36</v>
      </c>
      <c r="D20" s="1">
        <v>1</v>
      </c>
      <c r="E20" s="1" t="s">
        <v>46</v>
      </c>
      <c r="F20" s="1"/>
      <c r="G20" s="1"/>
    </row>
    <row r="21" spans="1:7" ht="15.5" x14ac:dyDescent="0.35">
      <c r="A21" s="1">
        <v>22</v>
      </c>
      <c r="B21" s="1">
        <v>97</v>
      </c>
      <c r="C21" s="3" t="s">
        <v>18</v>
      </c>
      <c r="D21" s="1">
        <v>1</v>
      </c>
      <c r="E21" s="1" t="s">
        <v>50</v>
      </c>
      <c r="F21" s="1"/>
      <c r="G21" s="1"/>
    </row>
    <row r="22" spans="1:7" ht="15.5" x14ac:dyDescent="0.35">
      <c r="A22" s="1">
        <v>22</v>
      </c>
      <c r="B22" s="1">
        <v>97</v>
      </c>
      <c r="C22" s="3" t="s">
        <v>19</v>
      </c>
      <c r="D22" s="1">
        <v>5</v>
      </c>
      <c r="E22" s="1" t="s">
        <v>51</v>
      </c>
      <c r="F22" s="1"/>
      <c r="G22" s="1"/>
    </row>
    <row r="23" spans="1:7" ht="15.5" x14ac:dyDescent="0.35">
      <c r="A23" s="1">
        <v>24</v>
      </c>
      <c r="B23" s="1">
        <v>101</v>
      </c>
      <c r="C23" s="3" t="s">
        <v>20</v>
      </c>
      <c r="D23" s="7">
        <v>0.25</v>
      </c>
      <c r="E23" s="1" t="s">
        <v>52</v>
      </c>
      <c r="F23" s="1"/>
      <c r="G23" s="1"/>
    </row>
    <row r="24" spans="1:7" ht="15.5" x14ac:dyDescent="0.35">
      <c r="A24" s="1">
        <v>22</v>
      </c>
      <c r="B24" s="1"/>
      <c r="C24" s="3" t="s">
        <v>21</v>
      </c>
      <c r="D24" s="1"/>
      <c r="E24" s="1"/>
      <c r="F24" s="1"/>
      <c r="G24" s="1"/>
    </row>
    <row r="25" spans="1:7" ht="15.5" x14ac:dyDescent="0.35">
      <c r="A25" s="1">
        <v>29</v>
      </c>
      <c r="B25" s="1"/>
      <c r="C25" s="3" t="s">
        <v>22</v>
      </c>
      <c r="D25" s="1">
        <v>10</v>
      </c>
      <c r="E25" s="1" t="s">
        <v>51</v>
      </c>
      <c r="F25" s="1"/>
      <c r="G25" s="1"/>
    </row>
    <row r="26" spans="1:7" ht="15.5" x14ac:dyDescent="0.35">
      <c r="A26" s="1">
        <v>25</v>
      </c>
      <c r="B26" s="1">
        <v>38</v>
      </c>
      <c r="C26" s="3" t="s">
        <v>23</v>
      </c>
      <c r="D26" s="1">
        <v>30</v>
      </c>
      <c r="E26" s="1" t="s">
        <v>51</v>
      </c>
      <c r="F26" s="1"/>
      <c r="G26" s="1"/>
    </row>
    <row r="27" spans="1:7" ht="15.5" x14ac:dyDescent="0.35">
      <c r="A27" s="1">
        <v>23</v>
      </c>
      <c r="B27" s="1" t="s">
        <v>37</v>
      </c>
      <c r="C27" s="3" t="s">
        <v>24</v>
      </c>
      <c r="D27" s="1">
        <v>1</v>
      </c>
      <c r="E27" s="1" t="s">
        <v>53</v>
      </c>
      <c r="F27" s="1"/>
      <c r="G27" s="1"/>
    </row>
    <row r="28" spans="1:7" ht="15.5" x14ac:dyDescent="0.35">
      <c r="A28" s="1">
        <v>23</v>
      </c>
      <c r="B28" s="1">
        <v>20</v>
      </c>
      <c r="C28" s="3" t="s">
        <v>25</v>
      </c>
      <c r="D28" s="1">
        <v>1</v>
      </c>
      <c r="E28" s="1" t="s">
        <v>54</v>
      </c>
      <c r="F28" s="1"/>
      <c r="G28" s="1"/>
    </row>
    <row r="29" spans="1:7" ht="15.5" x14ac:dyDescent="0.35">
      <c r="A29" s="1">
        <v>26</v>
      </c>
      <c r="B29" s="1">
        <v>347</v>
      </c>
      <c r="C29" s="3" t="s">
        <v>26</v>
      </c>
      <c r="D29" s="7">
        <v>2</v>
      </c>
      <c r="E29" s="1" t="s">
        <v>55</v>
      </c>
      <c r="F29" s="1"/>
      <c r="G29" s="1"/>
    </row>
    <row r="30" spans="1:7" ht="15.5" x14ac:dyDescent="0.35">
      <c r="A30" s="1">
        <v>26</v>
      </c>
      <c r="B30" s="1">
        <v>347</v>
      </c>
      <c r="C30" s="3" t="s">
        <v>27</v>
      </c>
      <c r="D30" s="1">
        <v>1</v>
      </c>
      <c r="E30" s="1" t="s">
        <v>51</v>
      </c>
      <c r="F30" s="1"/>
      <c r="G30" s="1"/>
    </row>
    <row r="31" spans="1:7" ht="15.5" x14ac:dyDescent="0.35">
      <c r="A31" s="1">
        <v>26</v>
      </c>
      <c r="B31" s="1">
        <v>347</v>
      </c>
      <c r="C31" s="3" t="s">
        <v>28</v>
      </c>
      <c r="D31" s="1">
        <v>5</v>
      </c>
      <c r="E31" s="1" t="s">
        <v>56</v>
      </c>
      <c r="F31" s="1"/>
      <c r="G31" s="1"/>
    </row>
    <row r="32" spans="1:7" ht="15.5" x14ac:dyDescent="0.35">
      <c r="A32" s="1">
        <v>26</v>
      </c>
      <c r="B32" s="1">
        <v>347</v>
      </c>
      <c r="C32" s="3" t="s">
        <v>29</v>
      </c>
      <c r="D32" s="1">
        <v>2</v>
      </c>
      <c r="E32" s="1" t="s">
        <v>48</v>
      </c>
      <c r="F32" s="1"/>
      <c r="G32" s="1"/>
    </row>
    <row r="33" spans="1:7" ht="15.5" x14ac:dyDescent="0.35">
      <c r="A33" s="1">
        <v>26</v>
      </c>
      <c r="B33" s="1">
        <v>347</v>
      </c>
      <c r="C33" s="3" t="s">
        <v>30</v>
      </c>
      <c r="D33" s="1">
        <v>12</v>
      </c>
      <c r="E33" s="1" t="s">
        <v>57</v>
      </c>
      <c r="F33" s="1"/>
      <c r="G33" s="1"/>
    </row>
    <row r="34" spans="1:7" ht="15.5" x14ac:dyDescent="0.35">
      <c r="A34" s="1">
        <v>26</v>
      </c>
      <c r="B34" s="1">
        <v>347</v>
      </c>
      <c r="C34" s="3" t="s">
        <v>31</v>
      </c>
      <c r="D34" s="1">
        <v>1</v>
      </c>
      <c r="E34" s="1" t="s">
        <v>48</v>
      </c>
      <c r="F34" s="1"/>
      <c r="G34" s="1"/>
    </row>
    <row r="35" spans="1:7" ht="15.5" x14ac:dyDescent="0.35">
      <c r="A35" s="1">
        <v>26</v>
      </c>
      <c r="B35" s="1">
        <v>347</v>
      </c>
      <c r="C35" s="3" t="s">
        <v>58</v>
      </c>
      <c r="D35" s="1">
        <v>1</v>
      </c>
      <c r="E35" s="1" t="s">
        <v>48</v>
      </c>
      <c r="F35" s="1"/>
      <c r="G35" s="1"/>
    </row>
    <row r="36" spans="1:7" ht="15.5" x14ac:dyDescent="0.35">
      <c r="A36" s="1">
        <v>26</v>
      </c>
      <c r="B36" s="1">
        <v>347</v>
      </c>
      <c r="C36" s="3" t="s">
        <v>44</v>
      </c>
      <c r="D36" s="1">
        <v>1</v>
      </c>
      <c r="E36" s="1" t="s">
        <v>48</v>
      </c>
      <c r="F36" s="1"/>
      <c r="G36" s="1"/>
    </row>
    <row r="37" spans="1:7" ht="15.5" x14ac:dyDescent="0.35">
      <c r="A37" s="1">
        <v>23</v>
      </c>
      <c r="B37" s="1">
        <v>95</v>
      </c>
      <c r="C37" s="3" t="s">
        <v>32</v>
      </c>
      <c r="D37" s="1">
        <v>1</v>
      </c>
      <c r="E37" s="1" t="s">
        <v>48</v>
      </c>
      <c r="F37" s="1"/>
      <c r="G37" s="1"/>
    </row>
    <row r="38" spans="1:7" x14ac:dyDescent="0.35">
      <c r="A38" s="1"/>
      <c r="B38" s="1"/>
      <c r="C38" s="1" t="s">
        <v>39</v>
      </c>
      <c r="D38" s="1"/>
      <c r="E38" s="1"/>
      <c r="F38" s="1"/>
      <c r="G38" s="1"/>
    </row>
    <row r="39" spans="1:7" x14ac:dyDescent="0.35">
      <c r="A39" s="1"/>
      <c r="B39" s="1"/>
      <c r="C39" s="1" t="s">
        <v>38</v>
      </c>
      <c r="D39" s="1"/>
      <c r="E39" s="1"/>
      <c r="F39" s="1"/>
      <c r="G39" s="1"/>
    </row>
    <row r="40" spans="1:7" ht="15.5" x14ac:dyDescent="0.35">
      <c r="A40" s="1"/>
      <c r="B40" s="1"/>
      <c r="C40" s="3" t="s">
        <v>40</v>
      </c>
      <c r="D40" s="1"/>
      <c r="E40" s="1"/>
      <c r="F40" s="1"/>
      <c r="G40" s="1"/>
    </row>
    <row r="41" spans="1:7" ht="15.5" x14ac:dyDescent="0.35">
      <c r="A41" s="1"/>
      <c r="B41" s="1"/>
      <c r="C41" s="3" t="s">
        <v>41</v>
      </c>
      <c r="D41" s="1"/>
      <c r="E41" s="1"/>
      <c r="F41" s="1"/>
      <c r="G41" s="1"/>
    </row>
  </sheetData>
  <mergeCells count="3">
    <mergeCell ref="A2:G2"/>
    <mergeCell ref="A3:G3"/>
    <mergeCell ref="A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FAC47-51DF-41EE-A795-E95771C0FC42}">
  <dimension ref="A1:P183"/>
  <sheetViews>
    <sheetView workbookViewId="0">
      <selection activeCell="A6" sqref="A6"/>
    </sheetView>
  </sheetViews>
  <sheetFormatPr baseColWidth="10" defaultRowHeight="14.5" x14ac:dyDescent="0.35"/>
  <cols>
    <col min="1" max="1" width="11.81640625" bestFit="1" customWidth="1"/>
    <col min="2" max="2" width="21.54296875" customWidth="1"/>
    <col min="3" max="3" width="27.81640625" customWidth="1"/>
    <col min="4" max="4" width="22.7265625" bestFit="1" customWidth="1"/>
    <col min="5" max="5" width="13.81640625" customWidth="1"/>
    <col min="6" max="6" width="21.26953125" bestFit="1" customWidth="1"/>
    <col min="7" max="7" width="21.26953125" customWidth="1"/>
    <col min="8" max="8" width="19.1796875" customWidth="1"/>
    <col min="9" max="9" width="13.453125" customWidth="1"/>
    <col min="13" max="13" width="13.81640625" customWidth="1"/>
  </cols>
  <sheetData>
    <row r="1" spans="1:16" x14ac:dyDescent="0.35">
      <c r="I1" t="s">
        <v>63</v>
      </c>
    </row>
    <row r="2" spans="1:16" ht="23.5" x14ac:dyDescent="0.55000000000000004">
      <c r="A2" s="93" t="s">
        <v>60</v>
      </c>
      <c r="B2" s="93"/>
      <c r="C2" s="93"/>
      <c r="D2" s="93"/>
      <c r="E2" s="93"/>
      <c r="F2" s="93"/>
      <c r="G2" s="93"/>
      <c r="H2" s="93"/>
      <c r="N2" t="s">
        <v>68</v>
      </c>
    </row>
    <row r="3" spans="1:16" ht="23.5" x14ac:dyDescent="0.55000000000000004">
      <c r="A3" s="104"/>
      <c r="B3" s="93"/>
      <c r="C3" s="93"/>
      <c r="D3" s="93"/>
      <c r="E3" s="93"/>
      <c r="F3" s="93"/>
      <c r="G3" s="93"/>
      <c r="H3" s="93"/>
      <c r="M3" t="s">
        <v>69</v>
      </c>
      <c r="N3" s="11">
        <v>900000</v>
      </c>
      <c r="O3">
        <f>60200+43500+66700</f>
        <v>170400</v>
      </c>
      <c r="P3" s="16">
        <f>N3-O3</f>
        <v>729600</v>
      </c>
    </row>
    <row r="4" spans="1:16" x14ac:dyDescent="0.35">
      <c r="A4" s="95"/>
      <c r="B4" s="95"/>
      <c r="C4" s="95"/>
      <c r="D4" s="95"/>
      <c r="E4" s="95"/>
      <c r="F4" s="95"/>
      <c r="G4" s="95"/>
      <c r="H4" s="96"/>
      <c r="M4" t="s">
        <v>67</v>
      </c>
      <c r="N4" s="11">
        <v>1200000</v>
      </c>
      <c r="O4" s="11">
        <v>1129351</v>
      </c>
      <c r="P4" s="16">
        <f>N4-O4</f>
        <v>70649</v>
      </c>
    </row>
    <row r="5" spans="1:16" ht="18.5" x14ac:dyDescent="0.45">
      <c r="A5" s="8" t="s">
        <v>61</v>
      </c>
      <c r="B5" s="8" t="s">
        <v>34</v>
      </c>
      <c r="C5" s="8" t="s">
        <v>62</v>
      </c>
      <c r="D5" s="8" t="s">
        <v>2</v>
      </c>
      <c r="E5" s="8" t="s">
        <v>3</v>
      </c>
      <c r="F5" s="8" t="s">
        <v>59</v>
      </c>
      <c r="G5" s="8"/>
      <c r="H5" s="8" t="s">
        <v>4</v>
      </c>
    </row>
    <row r="6" spans="1:16" ht="15.5" x14ac:dyDescent="0.35">
      <c r="A6" s="9"/>
      <c r="B6" s="4"/>
      <c r="C6" s="4"/>
      <c r="D6" s="5"/>
      <c r="E6" s="5"/>
      <c r="F6" s="5"/>
      <c r="G6" s="5"/>
      <c r="H6" s="11"/>
      <c r="I6" s="10"/>
    </row>
    <row r="7" spans="1:16" ht="47.25" customHeight="1" x14ac:dyDescent="0.35">
      <c r="A7" s="9"/>
      <c r="B7" s="1"/>
      <c r="C7" s="1"/>
      <c r="D7" s="5"/>
      <c r="E7" s="5"/>
      <c r="F7" s="5"/>
      <c r="G7" s="5"/>
      <c r="H7" s="11"/>
      <c r="I7" s="10"/>
      <c r="J7" s="10"/>
    </row>
    <row r="8" spans="1:16" ht="15.5" x14ac:dyDescent="0.35">
      <c r="A8" s="9"/>
      <c r="B8" s="1"/>
      <c r="C8" s="1"/>
      <c r="D8" s="5"/>
      <c r="E8" s="1"/>
      <c r="F8" s="1"/>
      <c r="G8" s="1"/>
      <c r="H8" s="11"/>
      <c r="I8" s="13"/>
    </row>
    <row r="9" spans="1:16" ht="15.5" x14ac:dyDescent="0.35">
      <c r="A9" s="9"/>
      <c r="B9" s="1"/>
      <c r="C9" s="1"/>
      <c r="D9" s="5"/>
      <c r="E9" s="12"/>
      <c r="F9" s="1"/>
      <c r="G9" s="1"/>
      <c r="H9" s="11"/>
      <c r="I9" s="14"/>
    </row>
    <row r="10" spans="1:16" ht="15.5" x14ac:dyDescent="0.35">
      <c r="A10" s="9"/>
      <c r="B10" s="4"/>
      <c r="C10" s="4"/>
      <c r="D10" s="5"/>
      <c r="E10" s="5"/>
      <c r="F10" s="5"/>
      <c r="G10" s="5"/>
      <c r="H10" s="11"/>
      <c r="I10" s="10"/>
    </row>
    <row r="11" spans="1:16" ht="45" customHeight="1" x14ac:dyDescent="0.35">
      <c r="A11" s="108"/>
      <c r="B11" s="105"/>
      <c r="C11" s="105"/>
      <c r="D11" s="5"/>
      <c r="E11" s="15"/>
      <c r="F11" s="15"/>
      <c r="G11" s="11"/>
      <c r="H11" s="109"/>
      <c r="I11" s="97"/>
    </row>
    <row r="12" spans="1:16" ht="15.75" customHeight="1" x14ac:dyDescent="0.35">
      <c r="A12" s="106"/>
      <c r="B12" s="106"/>
      <c r="C12" s="106"/>
      <c r="D12" s="3"/>
      <c r="E12" s="1"/>
      <c r="F12" s="1"/>
      <c r="G12" s="11"/>
      <c r="H12" s="110"/>
      <c r="I12" s="97"/>
    </row>
    <row r="13" spans="1:16" ht="15.5" x14ac:dyDescent="0.35">
      <c r="A13" s="106"/>
      <c r="B13" s="106"/>
      <c r="C13" s="106"/>
      <c r="D13" s="3"/>
      <c r="E13" s="1"/>
      <c r="F13" s="1"/>
      <c r="G13" s="11"/>
      <c r="H13" s="110"/>
      <c r="I13" s="97"/>
    </row>
    <row r="14" spans="1:16" ht="15.5" x14ac:dyDescent="0.35">
      <c r="A14" s="107"/>
      <c r="B14" s="107"/>
      <c r="C14" s="107"/>
      <c r="D14" s="3"/>
      <c r="E14" s="1"/>
      <c r="F14" s="1"/>
      <c r="G14" s="11"/>
      <c r="H14" s="111"/>
      <c r="I14" s="98"/>
    </row>
    <row r="15" spans="1:16" ht="15.75" customHeight="1" x14ac:dyDescent="0.35">
      <c r="A15" s="115"/>
      <c r="B15" s="116"/>
      <c r="C15" s="116"/>
      <c r="D15" s="116"/>
      <c r="E15" s="116"/>
      <c r="F15" s="116"/>
      <c r="G15" s="116"/>
      <c r="H15" s="116"/>
      <c r="I15" s="116"/>
      <c r="J15" s="116"/>
      <c r="K15" s="116"/>
    </row>
    <row r="16" spans="1:16" ht="15.75" customHeight="1" x14ac:dyDescent="0.35">
      <c r="A16" s="117" t="s">
        <v>118</v>
      </c>
      <c r="B16" s="118"/>
      <c r="C16" s="118"/>
      <c r="D16" s="118"/>
      <c r="E16" s="118"/>
      <c r="F16" s="118"/>
      <c r="G16" s="118"/>
      <c r="H16" s="118"/>
      <c r="I16" s="118"/>
      <c r="J16" s="118"/>
      <c r="K16" s="26"/>
    </row>
    <row r="17" spans="1:9" ht="18.5" x14ac:dyDescent="0.45">
      <c r="A17" s="8" t="s">
        <v>61</v>
      </c>
      <c r="B17" s="8" t="s">
        <v>34</v>
      </c>
      <c r="C17" s="8" t="s">
        <v>62</v>
      </c>
      <c r="D17" s="8" t="s">
        <v>2</v>
      </c>
      <c r="E17" s="8" t="s">
        <v>3</v>
      </c>
      <c r="F17" s="8" t="s">
        <v>59</v>
      </c>
      <c r="G17" s="8"/>
      <c r="H17" s="8" t="s">
        <v>4</v>
      </c>
      <c r="I17" s="25"/>
    </row>
    <row r="18" spans="1:9" ht="15.5" x14ac:dyDescent="0.35">
      <c r="A18" s="9"/>
      <c r="B18" s="1"/>
      <c r="C18" s="1"/>
      <c r="D18" s="3"/>
      <c r="E18" s="1"/>
      <c r="F18" s="1"/>
      <c r="G18" s="1"/>
      <c r="H18" s="27"/>
    </row>
    <row r="19" spans="1:9" ht="15.75" customHeight="1" x14ac:dyDescent="0.35">
      <c r="A19" s="119"/>
      <c r="B19" s="102"/>
      <c r="C19" s="102"/>
      <c r="D19" s="102"/>
      <c r="E19" s="12"/>
      <c r="F19" s="1"/>
      <c r="G19" s="1"/>
      <c r="H19" s="100"/>
      <c r="I19" s="99"/>
    </row>
    <row r="20" spans="1:9" ht="15.75" customHeight="1" x14ac:dyDescent="0.35">
      <c r="A20" s="103"/>
      <c r="B20" s="103"/>
      <c r="C20" s="103"/>
      <c r="D20" s="103"/>
      <c r="E20" s="12"/>
      <c r="F20" s="1"/>
      <c r="G20" s="1"/>
      <c r="H20" s="101"/>
      <c r="I20" s="99"/>
    </row>
    <row r="21" spans="1:9" ht="15.5" x14ac:dyDescent="0.35">
      <c r="A21" s="114"/>
      <c r="B21" s="112"/>
      <c r="C21" s="112"/>
      <c r="D21" s="3"/>
      <c r="E21" s="1"/>
      <c r="F21" s="1"/>
      <c r="G21" s="1"/>
      <c r="H21" s="100"/>
    </row>
    <row r="22" spans="1:9" ht="15.5" x14ac:dyDescent="0.35">
      <c r="A22" s="113"/>
      <c r="B22" s="113"/>
      <c r="C22" s="113"/>
      <c r="D22" s="3"/>
      <c r="E22" s="1"/>
      <c r="F22" s="1"/>
      <c r="G22" s="1"/>
      <c r="H22" s="101"/>
    </row>
    <row r="23" spans="1:9" ht="15.5" x14ac:dyDescent="0.35">
      <c r="A23" s="9"/>
      <c r="B23" s="1"/>
      <c r="C23" s="1"/>
      <c r="D23" s="3"/>
      <c r="E23" s="1"/>
      <c r="F23" s="1"/>
      <c r="G23" s="1"/>
      <c r="H23" s="27"/>
    </row>
    <row r="24" spans="1:9" ht="15.5" x14ac:dyDescent="0.35">
      <c r="A24" s="9"/>
      <c r="B24" s="1"/>
      <c r="C24" s="1"/>
      <c r="D24" s="3"/>
      <c r="E24" s="1"/>
      <c r="F24" s="1"/>
      <c r="G24" s="1"/>
      <c r="H24" s="27"/>
    </row>
    <row r="25" spans="1:9" ht="15.5" x14ac:dyDescent="0.35">
      <c r="A25" s="114"/>
      <c r="B25" s="112"/>
      <c r="C25" s="112"/>
      <c r="D25" s="3"/>
      <c r="E25" s="7"/>
      <c r="F25" s="1"/>
      <c r="G25" s="1"/>
      <c r="H25" s="100"/>
    </row>
    <row r="26" spans="1:9" ht="15.5" x14ac:dyDescent="0.35">
      <c r="A26" s="125"/>
      <c r="B26" s="125"/>
      <c r="C26" s="125"/>
      <c r="D26" s="3"/>
      <c r="E26" s="1"/>
      <c r="F26" s="1"/>
      <c r="G26" s="1"/>
      <c r="H26" s="120"/>
    </row>
    <row r="27" spans="1:9" ht="15.5" x14ac:dyDescent="0.35">
      <c r="A27" s="113"/>
      <c r="B27" s="113"/>
      <c r="C27" s="113"/>
      <c r="D27" s="3"/>
      <c r="E27" s="1"/>
      <c r="F27" s="1"/>
      <c r="G27" s="1"/>
      <c r="H27" s="101"/>
    </row>
    <row r="28" spans="1:9" ht="15.5" x14ac:dyDescent="0.35">
      <c r="A28" s="123"/>
      <c r="B28" s="121"/>
      <c r="C28" s="121"/>
      <c r="D28" s="3"/>
      <c r="E28" s="1"/>
      <c r="F28" s="1"/>
      <c r="G28" s="1"/>
      <c r="H28" s="109"/>
    </row>
    <row r="29" spans="1:9" ht="15.5" x14ac:dyDescent="0.35">
      <c r="A29" s="124"/>
      <c r="B29" s="122"/>
      <c r="C29" s="122"/>
      <c r="D29" s="3"/>
      <c r="E29" s="1"/>
      <c r="F29" s="1"/>
      <c r="G29" s="1"/>
      <c r="H29" s="111"/>
    </row>
    <row r="30" spans="1:9" ht="15.5" x14ac:dyDescent="0.35">
      <c r="A30" s="9"/>
      <c r="B30" s="1"/>
      <c r="C30" s="1"/>
      <c r="D30" s="3"/>
      <c r="E30" s="1"/>
      <c r="F30" s="1"/>
      <c r="G30" s="1"/>
      <c r="H30" s="27"/>
    </row>
    <row r="31" spans="1:9" ht="15.5" x14ac:dyDescent="0.35">
      <c r="A31" s="9"/>
      <c r="B31" s="1"/>
      <c r="C31" s="1"/>
      <c r="D31" s="3"/>
      <c r="E31" s="7"/>
      <c r="F31" s="1"/>
      <c r="G31" s="1"/>
      <c r="H31" s="27"/>
    </row>
    <row r="32" spans="1:9" ht="15.5" x14ac:dyDescent="0.35">
      <c r="A32" s="9"/>
      <c r="B32" s="1"/>
      <c r="C32" s="1"/>
      <c r="D32" s="3"/>
      <c r="E32" s="1"/>
      <c r="F32" s="1"/>
      <c r="G32" s="1"/>
      <c r="H32" s="27"/>
    </row>
    <row r="33" spans="1:9" ht="15.5" x14ac:dyDescent="0.35">
      <c r="A33" s="9"/>
      <c r="B33" s="1"/>
      <c r="C33" s="1"/>
      <c r="D33" s="3"/>
      <c r="E33" s="1"/>
      <c r="F33" s="1"/>
      <c r="G33" s="1"/>
      <c r="H33" s="27"/>
    </row>
    <row r="34" spans="1:9" ht="15.5" x14ac:dyDescent="0.35">
      <c r="A34" s="9"/>
      <c r="B34" s="1"/>
      <c r="C34" s="1"/>
      <c r="D34" s="3"/>
      <c r="E34" s="1"/>
      <c r="F34" s="1"/>
      <c r="G34" s="1"/>
      <c r="H34" s="27"/>
    </row>
    <row r="35" spans="1:9" ht="15.5" x14ac:dyDescent="0.35">
      <c r="A35" s="9"/>
      <c r="B35" s="1"/>
      <c r="C35" s="1"/>
      <c r="D35" s="3"/>
      <c r="E35" s="1"/>
      <c r="F35" s="1"/>
      <c r="G35" s="1"/>
      <c r="H35" s="27"/>
    </row>
    <row r="36" spans="1:9" ht="15.5" x14ac:dyDescent="0.35">
      <c r="A36" s="9"/>
      <c r="B36" s="1"/>
      <c r="C36" s="1"/>
      <c r="D36" s="3"/>
      <c r="E36" s="1"/>
      <c r="F36" s="1"/>
      <c r="G36" s="1"/>
      <c r="H36" s="27"/>
    </row>
    <row r="37" spans="1:9" x14ac:dyDescent="0.35">
      <c r="A37" s="9"/>
      <c r="B37" s="1"/>
      <c r="C37" s="1"/>
      <c r="D37" s="1"/>
      <c r="E37" s="1"/>
      <c r="F37" s="1"/>
      <c r="G37" s="1"/>
      <c r="H37" s="11"/>
    </row>
    <row r="38" spans="1:9" ht="15.5" x14ac:dyDescent="0.35">
      <c r="A38" s="9"/>
      <c r="B38" s="1"/>
      <c r="C38" s="1"/>
      <c r="D38" s="3"/>
      <c r="E38" s="1"/>
      <c r="F38" s="1"/>
      <c r="G38" s="1"/>
      <c r="H38" s="11"/>
    </row>
    <row r="39" spans="1:9" ht="15.5" x14ac:dyDescent="0.35">
      <c r="A39" s="9"/>
      <c r="B39" s="1"/>
      <c r="C39" s="1"/>
      <c r="D39" s="3"/>
      <c r="E39" s="1"/>
      <c r="F39" s="1"/>
      <c r="G39" s="1"/>
      <c r="H39" s="11"/>
    </row>
    <row r="40" spans="1:9" x14ac:dyDescent="0.35">
      <c r="A40" s="9"/>
      <c r="B40" s="1"/>
      <c r="C40" s="1"/>
      <c r="D40" s="1"/>
      <c r="E40" s="1"/>
      <c r="F40" s="1"/>
      <c r="G40" s="1"/>
      <c r="H40" s="11"/>
    </row>
    <row r="41" spans="1:9" x14ac:dyDescent="0.35">
      <c r="A41" s="9"/>
      <c r="B41" s="1"/>
      <c r="C41" s="1"/>
      <c r="D41" s="1"/>
      <c r="E41" s="1"/>
      <c r="F41" s="1"/>
      <c r="G41" s="1"/>
      <c r="H41" s="11"/>
    </row>
    <row r="42" spans="1:9" ht="15.5" x14ac:dyDescent="0.35">
      <c r="A42" s="9"/>
      <c r="B42" s="1"/>
      <c r="C42" s="1"/>
      <c r="D42" s="3"/>
      <c r="E42" s="1"/>
      <c r="F42" s="1"/>
      <c r="G42" s="1"/>
      <c r="H42" s="11"/>
    </row>
    <row r="43" spans="1:9" ht="15.5" x14ac:dyDescent="0.35">
      <c r="A43" s="9"/>
      <c r="B43" s="1"/>
      <c r="C43" s="1"/>
      <c r="D43" s="3"/>
      <c r="E43" s="1"/>
      <c r="F43" s="1"/>
      <c r="G43" s="1"/>
      <c r="H43" s="11"/>
      <c r="I43" s="16"/>
    </row>
    <row r="44" spans="1:9" x14ac:dyDescent="0.35">
      <c r="A44" s="9"/>
      <c r="B44" s="1"/>
      <c r="C44" s="1"/>
      <c r="D44" s="1"/>
      <c r="E44" s="1"/>
      <c r="F44" s="1"/>
      <c r="G44" s="1"/>
      <c r="H44" s="11"/>
    </row>
    <row r="45" spans="1:9" x14ac:dyDescent="0.35">
      <c r="A45" s="9"/>
      <c r="B45" s="1"/>
      <c r="C45" s="1"/>
      <c r="D45" s="1"/>
      <c r="E45" s="1"/>
      <c r="F45" s="1"/>
      <c r="G45" s="1"/>
      <c r="H45" s="11"/>
    </row>
    <row r="46" spans="1:9" x14ac:dyDescent="0.35">
      <c r="A46" s="9"/>
      <c r="B46" s="1"/>
      <c r="C46" s="1"/>
      <c r="D46" s="1"/>
      <c r="E46" s="1"/>
      <c r="F46" s="1"/>
      <c r="G46" s="1"/>
      <c r="H46" s="11"/>
    </row>
    <row r="47" spans="1:9" x14ac:dyDescent="0.35">
      <c r="A47" s="9"/>
      <c r="B47" s="1"/>
      <c r="C47" s="1"/>
      <c r="D47" s="1"/>
      <c r="E47" s="1"/>
      <c r="F47" s="1"/>
      <c r="G47" s="1"/>
      <c r="H47" s="11"/>
    </row>
    <row r="48" spans="1:9" x14ac:dyDescent="0.35">
      <c r="A48" s="9"/>
      <c r="B48" s="1"/>
      <c r="C48" s="1"/>
      <c r="D48" s="1"/>
      <c r="E48" s="1"/>
      <c r="F48" s="1"/>
      <c r="G48" s="1"/>
      <c r="H48" s="11"/>
    </row>
    <row r="49" spans="1:12" x14ac:dyDescent="0.35">
      <c r="A49" s="9"/>
      <c r="B49" s="1"/>
      <c r="C49" s="1"/>
      <c r="D49" s="1"/>
      <c r="E49" s="1"/>
      <c r="F49" s="1"/>
      <c r="G49" s="1"/>
      <c r="H49" s="11"/>
    </row>
    <row r="50" spans="1:12" x14ac:dyDescent="0.35">
      <c r="A50" s="9"/>
      <c r="B50" s="1"/>
      <c r="C50" s="1"/>
      <c r="D50" s="1"/>
      <c r="E50" s="1"/>
      <c r="F50" s="1"/>
      <c r="G50" s="1"/>
      <c r="H50" s="11"/>
    </row>
    <row r="51" spans="1:12" x14ac:dyDescent="0.35">
      <c r="A51" s="9"/>
      <c r="B51" s="1"/>
      <c r="C51" s="1"/>
      <c r="D51" s="1"/>
      <c r="E51" s="1"/>
      <c r="F51" s="1"/>
      <c r="G51" s="1"/>
      <c r="H51" s="11"/>
    </row>
    <row r="52" spans="1:12" x14ac:dyDescent="0.35">
      <c r="A52" s="9"/>
      <c r="B52" s="1"/>
      <c r="C52" s="1"/>
      <c r="D52" s="1"/>
      <c r="E52" s="1"/>
      <c r="F52" s="1"/>
      <c r="G52" s="1"/>
      <c r="H52" s="11"/>
    </row>
    <row r="53" spans="1:12" x14ac:dyDescent="0.35">
      <c r="A53" s="9"/>
      <c r="B53" s="1"/>
      <c r="C53" s="1"/>
      <c r="D53" s="1"/>
      <c r="E53" s="1"/>
      <c r="F53" s="1"/>
      <c r="G53" s="1"/>
      <c r="H53" s="11"/>
    </row>
    <row r="54" spans="1:12" x14ac:dyDescent="0.35">
      <c r="A54" s="9"/>
      <c r="B54" s="1"/>
      <c r="C54" s="1"/>
      <c r="D54" s="1"/>
      <c r="E54" s="1"/>
      <c r="F54" s="1"/>
      <c r="G54" s="1"/>
      <c r="H54" s="11"/>
    </row>
    <row r="55" spans="1:12" x14ac:dyDescent="0.35">
      <c r="A55" s="9"/>
      <c r="B55" s="1"/>
      <c r="C55" s="1"/>
      <c r="D55" s="1"/>
      <c r="E55" s="1"/>
      <c r="F55" s="1"/>
      <c r="G55" s="1"/>
      <c r="H55" s="11"/>
    </row>
    <row r="56" spans="1:12" x14ac:dyDescent="0.35">
      <c r="A56" s="9"/>
      <c r="B56" s="1"/>
      <c r="C56" s="1"/>
      <c r="D56" s="1"/>
      <c r="E56" s="1"/>
      <c r="F56" s="1"/>
      <c r="G56" s="1"/>
      <c r="H56" s="11"/>
    </row>
    <row r="57" spans="1:12" x14ac:dyDescent="0.35">
      <c r="A57" s="9"/>
      <c r="B57" s="1"/>
      <c r="C57" s="1"/>
      <c r="D57" s="1"/>
      <c r="E57" s="1"/>
      <c r="F57" s="1"/>
      <c r="G57" s="1"/>
      <c r="H57" s="11"/>
    </row>
    <row r="58" spans="1:12" x14ac:dyDescent="0.35">
      <c r="A58" s="9"/>
      <c r="B58" s="1"/>
      <c r="C58" s="1"/>
      <c r="D58" s="1"/>
      <c r="E58" s="1"/>
      <c r="F58" s="1"/>
      <c r="G58" s="1"/>
      <c r="H58" s="11"/>
    </row>
    <row r="59" spans="1:12" x14ac:dyDescent="0.35">
      <c r="A59" s="9"/>
      <c r="B59" s="1"/>
      <c r="C59" s="1"/>
      <c r="D59" s="1"/>
      <c r="E59" s="1"/>
      <c r="F59" s="1"/>
      <c r="G59" s="1"/>
      <c r="H59" s="11"/>
    </row>
    <row r="60" spans="1:12" x14ac:dyDescent="0.35">
      <c r="A60" s="9"/>
      <c r="B60" s="1"/>
      <c r="C60" s="1"/>
      <c r="D60" s="1"/>
      <c r="E60" s="1"/>
      <c r="F60" s="1"/>
      <c r="G60" s="1"/>
      <c r="H60" s="11"/>
    </row>
    <row r="61" spans="1:12" x14ac:dyDescent="0.35">
      <c r="A61" s="9"/>
      <c r="B61" s="1"/>
      <c r="C61" s="1"/>
      <c r="D61" s="1"/>
      <c r="E61" s="1"/>
      <c r="F61" s="1"/>
      <c r="G61" s="1"/>
      <c r="H61" s="11"/>
    </row>
    <row r="62" spans="1:12" x14ac:dyDescent="0.35">
      <c r="A62" s="9"/>
      <c r="B62" s="1"/>
      <c r="C62" s="1"/>
      <c r="D62" s="1"/>
      <c r="E62" s="1"/>
      <c r="F62" s="1"/>
      <c r="G62" s="1"/>
      <c r="H62" s="11"/>
      <c r="J62" s="11"/>
    </row>
    <row r="63" spans="1:12" x14ac:dyDescent="0.35">
      <c r="A63" s="9"/>
      <c r="B63" s="1"/>
      <c r="C63" s="1"/>
      <c r="D63" s="1"/>
      <c r="E63" s="1"/>
      <c r="F63" s="1"/>
      <c r="G63" s="1"/>
      <c r="H63" s="11"/>
      <c r="J63" s="16"/>
    </row>
    <row r="64" spans="1:12" x14ac:dyDescent="0.35">
      <c r="A64" s="9"/>
      <c r="B64" s="1"/>
      <c r="C64" s="1"/>
      <c r="D64" s="1"/>
      <c r="E64" s="1"/>
      <c r="F64" s="1"/>
      <c r="G64" s="1"/>
      <c r="H64" s="11"/>
      <c r="J64" s="16"/>
      <c r="K64">
        <v>3367029</v>
      </c>
      <c r="L64" s="16">
        <f>K64-J64</f>
        <v>3367029</v>
      </c>
    </row>
    <row r="65" spans="1:8" x14ac:dyDescent="0.35">
      <c r="A65" s="9"/>
      <c r="B65" s="1"/>
      <c r="C65" s="1"/>
      <c r="D65" s="1"/>
      <c r="E65" s="1"/>
      <c r="F65" s="1"/>
      <c r="G65" s="1"/>
      <c r="H65" s="11"/>
    </row>
    <row r="66" spans="1:8" x14ac:dyDescent="0.35">
      <c r="A66" s="9"/>
      <c r="B66" s="1"/>
      <c r="C66" s="1"/>
      <c r="D66" s="1"/>
      <c r="E66" s="1"/>
      <c r="F66" s="1"/>
      <c r="G66" s="1"/>
      <c r="H66" s="11"/>
    </row>
    <row r="67" spans="1:8" x14ac:dyDescent="0.35">
      <c r="A67" s="9"/>
      <c r="B67" s="1"/>
      <c r="C67" s="1"/>
      <c r="D67" s="1"/>
      <c r="E67" s="1"/>
      <c r="F67" s="1"/>
      <c r="G67" s="1"/>
      <c r="H67" s="11"/>
    </row>
    <row r="68" spans="1:8" x14ac:dyDescent="0.35">
      <c r="A68" s="9"/>
      <c r="B68" s="1"/>
      <c r="C68" s="1"/>
      <c r="D68" s="1"/>
      <c r="E68" s="1"/>
      <c r="F68" s="1"/>
      <c r="G68" s="1"/>
      <c r="H68" s="11"/>
    </row>
    <row r="69" spans="1:8" x14ac:dyDescent="0.35">
      <c r="A69" s="9"/>
      <c r="B69" s="1"/>
      <c r="C69" s="1"/>
      <c r="D69" s="1"/>
      <c r="E69" s="1"/>
      <c r="F69" s="1"/>
      <c r="G69" s="1"/>
      <c r="H69" s="11"/>
    </row>
    <row r="70" spans="1:8" x14ac:dyDescent="0.35">
      <c r="A70" s="9"/>
      <c r="B70" s="1"/>
      <c r="C70" s="1"/>
      <c r="D70" s="1"/>
      <c r="E70" s="1"/>
      <c r="F70" s="1"/>
      <c r="G70" s="1"/>
      <c r="H70" s="11"/>
    </row>
    <row r="71" spans="1:8" x14ac:dyDescent="0.35">
      <c r="A71" s="9"/>
      <c r="B71" s="1"/>
      <c r="C71" s="1"/>
      <c r="D71" s="1"/>
      <c r="E71" s="1"/>
      <c r="F71" s="1"/>
      <c r="G71" s="1"/>
      <c r="H71" s="11"/>
    </row>
    <row r="72" spans="1:8" x14ac:dyDescent="0.35">
      <c r="A72" s="9"/>
      <c r="B72" s="1"/>
      <c r="C72" s="1"/>
      <c r="D72" s="1"/>
      <c r="E72" s="1"/>
      <c r="F72" s="1"/>
      <c r="G72" s="1"/>
      <c r="H72" s="11"/>
    </row>
    <row r="73" spans="1:8" x14ac:dyDescent="0.35">
      <c r="A73" s="9"/>
      <c r="B73" s="1"/>
      <c r="C73" s="1"/>
      <c r="D73" s="1"/>
      <c r="E73" s="1"/>
      <c r="F73" s="1"/>
      <c r="G73" s="1"/>
      <c r="H73" s="11"/>
    </row>
    <row r="74" spans="1:8" x14ac:dyDescent="0.35">
      <c r="A74" s="9"/>
      <c r="B74" s="1"/>
      <c r="C74" s="1"/>
      <c r="D74" s="1"/>
      <c r="E74" s="1"/>
      <c r="F74" s="1"/>
      <c r="G74" s="1"/>
      <c r="H74" s="11"/>
    </row>
    <row r="75" spans="1:8" x14ac:dyDescent="0.35">
      <c r="A75" s="9"/>
      <c r="B75" s="1"/>
      <c r="C75" s="1"/>
      <c r="D75" s="1"/>
      <c r="E75" s="1"/>
      <c r="F75" s="1"/>
      <c r="G75" s="1"/>
      <c r="H75" s="11"/>
    </row>
    <row r="76" spans="1:8" x14ac:dyDescent="0.35">
      <c r="A76" s="9"/>
      <c r="B76" s="1"/>
      <c r="C76" s="1"/>
      <c r="D76" s="1"/>
      <c r="E76" s="1"/>
      <c r="F76" s="1"/>
      <c r="G76" s="1"/>
      <c r="H76" s="11"/>
    </row>
    <row r="77" spans="1:8" x14ac:dyDescent="0.35">
      <c r="A77" s="9"/>
      <c r="B77" s="1"/>
      <c r="C77" s="1"/>
      <c r="D77" s="1"/>
      <c r="E77" s="1"/>
      <c r="F77" s="1"/>
      <c r="G77" s="1"/>
      <c r="H77" s="11"/>
    </row>
    <row r="78" spans="1:8" x14ac:dyDescent="0.35">
      <c r="A78" s="9"/>
      <c r="B78" s="1"/>
      <c r="C78" s="1"/>
      <c r="D78" s="1"/>
      <c r="E78" s="1"/>
      <c r="F78" s="1"/>
      <c r="G78" s="1"/>
      <c r="H78" s="11"/>
    </row>
    <row r="79" spans="1:8" x14ac:dyDescent="0.35">
      <c r="A79" s="9"/>
      <c r="B79" s="1"/>
      <c r="C79" s="1"/>
      <c r="D79" s="1"/>
      <c r="E79" s="1"/>
      <c r="F79" s="1"/>
      <c r="G79" s="1"/>
      <c r="H79" s="11"/>
    </row>
    <row r="80" spans="1:8" x14ac:dyDescent="0.35">
      <c r="A80" s="9"/>
      <c r="B80" s="1"/>
      <c r="C80" s="1"/>
      <c r="D80" s="1"/>
      <c r="E80" s="1"/>
      <c r="F80" s="1"/>
      <c r="G80" s="1"/>
      <c r="H80" s="11"/>
    </row>
    <row r="81" spans="1:8" x14ac:dyDescent="0.35">
      <c r="A81" s="9"/>
      <c r="B81" s="1"/>
      <c r="C81" s="1"/>
      <c r="D81" s="1"/>
      <c r="E81" s="1"/>
      <c r="F81" s="1"/>
      <c r="G81" s="1"/>
      <c r="H81" s="11"/>
    </row>
    <row r="82" spans="1:8" x14ac:dyDescent="0.35">
      <c r="A82" s="9"/>
      <c r="B82" s="1"/>
      <c r="C82" s="1"/>
      <c r="D82" s="1"/>
      <c r="E82" s="1"/>
      <c r="F82" s="1"/>
      <c r="G82" s="1"/>
      <c r="H82" s="11"/>
    </row>
    <row r="83" spans="1:8" x14ac:dyDescent="0.35">
      <c r="A83" s="9"/>
      <c r="B83" s="1"/>
      <c r="C83" s="1"/>
      <c r="D83" s="1"/>
      <c r="E83" s="1"/>
      <c r="F83" s="1"/>
      <c r="G83" s="1"/>
      <c r="H83" s="11"/>
    </row>
    <row r="84" spans="1:8" x14ac:dyDescent="0.35">
      <c r="A84" s="9"/>
      <c r="B84" s="1"/>
      <c r="C84" s="1"/>
      <c r="D84" s="1"/>
      <c r="E84" s="1"/>
      <c r="F84" s="1"/>
      <c r="G84" s="1"/>
      <c r="H84" s="11"/>
    </row>
    <row r="85" spans="1:8" x14ac:dyDescent="0.35">
      <c r="A85" s="9"/>
      <c r="B85" s="1"/>
      <c r="C85" s="1"/>
      <c r="D85" s="1"/>
      <c r="E85" s="1"/>
      <c r="F85" s="1"/>
      <c r="G85" s="1"/>
      <c r="H85" s="11"/>
    </row>
    <row r="86" spans="1:8" x14ac:dyDescent="0.35">
      <c r="A86" s="9"/>
      <c r="B86" s="1"/>
      <c r="C86" s="1"/>
      <c r="D86" s="1"/>
      <c r="E86" s="1"/>
      <c r="F86" s="1"/>
      <c r="G86" s="1"/>
      <c r="H86" s="11"/>
    </row>
    <row r="87" spans="1:8" x14ac:dyDescent="0.35">
      <c r="A87" s="9"/>
      <c r="B87" s="1"/>
      <c r="C87" s="1"/>
      <c r="D87" s="1"/>
      <c r="E87" s="1"/>
      <c r="F87" s="1"/>
      <c r="G87" s="1"/>
      <c r="H87" s="11"/>
    </row>
    <row r="88" spans="1:8" x14ac:dyDescent="0.35">
      <c r="A88" s="9"/>
      <c r="B88" s="1"/>
      <c r="C88" s="1"/>
      <c r="D88" s="1"/>
      <c r="E88" s="1"/>
      <c r="F88" s="1"/>
      <c r="G88" s="1"/>
      <c r="H88" s="11"/>
    </row>
    <row r="89" spans="1:8" x14ac:dyDescent="0.35">
      <c r="A89" s="9"/>
      <c r="B89" s="1"/>
      <c r="C89" s="1"/>
      <c r="D89" s="1"/>
      <c r="E89" s="1"/>
      <c r="F89" s="1"/>
      <c r="G89" s="1"/>
      <c r="H89" s="11"/>
    </row>
    <row r="90" spans="1:8" x14ac:dyDescent="0.35">
      <c r="A90" s="9"/>
      <c r="B90" s="1"/>
      <c r="C90" s="1"/>
      <c r="D90" s="1"/>
      <c r="E90" s="1"/>
      <c r="F90" s="1"/>
      <c r="G90" s="1"/>
      <c r="H90" s="11"/>
    </row>
    <row r="91" spans="1:8" x14ac:dyDescent="0.35">
      <c r="A91" s="9"/>
      <c r="B91" s="1"/>
      <c r="C91" s="1"/>
      <c r="D91" s="1"/>
      <c r="E91" s="1"/>
      <c r="F91" s="1"/>
      <c r="G91" s="1"/>
      <c r="H91" s="11"/>
    </row>
    <row r="92" spans="1:8" x14ac:dyDescent="0.35">
      <c r="A92" s="9"/>
      <c r="B92" s="1"/>
      <c r="C92" s="1"/>
      <c r="D92" s="1"/>
      <c r="E92" s="1"/>
      <c r="F92" s="1"/>
      <c r="G92" s="1"/>
      <c r="H92" s="11"/>
    </row>
    <row r="93" spans="1:8" x14ac:dyDescent="0.35">
      <c r="A93" s="9"/>
      <c r="B93" s="1"/>
      <c r="C93" s="1"/>
      <c r="D93" s="1"/>
      <c r="E93" s="1"/>
      <c r="F93" s="1"/>
      <c r="G93" s="1"/>
      <c r="H93" s="11"/>
    </row>
    <row r="94" spans="1:8" x14ac:dyDescent="0.35">
      <c r="A94" s="9"/>
      <c r="B94" s="1"/>
      <c r="C94" s="1"/>
      <c r="D94" s="1"/>
      <c r="E94" s="1"/>
      <c r="F94" s="1"/>
      <c r="G94" s="1"/>
      <c r="H94" s="11"/>
    </row>
    <row r="95" spans="1:8" x14ac:dyDescent="0.35">
      <c r="A95" s="9"/>
      <c r="B95" s="1"/>
      <c r="C95" s="1"/>
      <c r="D95" s="1"/>
      <c r="E95" s="1"/>
      <c r="F95" s="1"/>
      <c r="G95" s="1"/>
      <c r="H95" s="11"/>
    </row>
    <row r="96" spans="1:8" x14ac:dyDescent="0.35">
      <c r="A96" s="9"/>
      <c r="B96" s="1"/>
      <c r="C96" s="1"/>
      <c r="D96" s="1"/>
      <c r="E96" s="1"/>
      <c r="F96" s="1"/>
      <c r="G96" s="1"/>
      <c r="H96" s="11"/>
    </row>
    <row r="97" spans="1:8" x14ac:dyDescent="0.35">
      <c r="A97" s="9"/>
      <c r="B97" s="1"/>
      <c r="C97" s="1"/>
      <c r="D97" s="1"/>
      <c r="E97" s="1"/>
      <c r="F97" s="1"/>
      <c r="G97" s="1"/>
      <c r="H97" s="11"/>
    </row>
    <row r="98" spans="1:8" x14ac:dyDescent="0.35">
      <c r="A98" s="9"/>
      <c r="B98" s="1"/>
      <c r="C98" s="1"/>
      <c r="D98" s="1"/>
      <c r="E98" s="1"/>
      <c r="F98" s="1"/>
      <c r="G98" s="1"/>
      <c r="H98" s="11"/>
    </row>
    <row r="99" spans="1:8" x14ac:dyDescent="0.35">
      <c r="A99" s="9"/>
      <c r="B99" s="1"/>
      <c r="C99" s="1"/>
      <c r="D99" s="1"/>
      <c r="E99" s="1"/>
      <c r="F99" s="1"/>
      <c r="G99" s="1"/>
      <c r="H99" s="11"/>
    </row>
    <row r="100" spans="1:8" x14ac:dyDescent="0.35">
      <c r="A100" s="9"/>
      <c r="B100" s="1"/>
      <c r="C100" s="1"/>
      <c r="D100" s="1"/>
      <c r="E100" s="1"/>
      <c r="F100" s="1"/>
      <c r="G100" s="1"/>
      <c r="H100" s="11"/>
    </row>
    <row r="101" spans="1:8" x14ac:dyDescent="0.35">
      <c r="A101" s="9"/>
      <c r="B101" s="1"/>
      <c r="C101" s="1"/>
      <c r="D101" s="1"/>
      <c r="E101" s="1"/>
      <c r="F101" s="1"/>
      <c r="G101" s="1"/>
      <c r="H101" s="11"/>
    </row>
    <row r="102" spans="1:8" x14ac:dyDescent="0.35">
      <c r="A102" s="9"/>
      <c r="B102" s="1"/>
      <c r="C102" s="1"/>
      <c r="D102" s="1"/>
      <c r="E102" s="1"/>
      <c r="F102" s="1"/>
      <c r="G102" s="1"/>
      <c r="H102" s="11"/>
    </row>
    <row r="103" spans="1:8" x14ac:dyDescent="0.35">
      <c r="A103" s="9"/>
      <c r="B103" s="1"/>
      <c r="C103" s="1"/>
      <c r="D103" s="1"/>
      <c r="E103" s="1"/>
      <c r="F103" s="1"/>
      <c r="G103" s="1"/>
      <c r="H103" s="11"/>
    </row>
    <row r="104" spans="1:8" x14ac:dyDescent="0.35">
      <c r="A104" s="9"/>
      <c r="B104" s="1"/>
      <c r="C104" s="1"/>
      <c r="D104" s="1"/>
      <c r="E104" s="1"/>
      <c r="F104" s="1"/>
      <c r="G104" s="1"/>
      <c r="H104" s="11"/>
    </row>
    <row r="105" spans="1:8" x14ac:dyDescent="0.35">
      <c r="A105" s="9"/>
      <c r="B105" s="1"/>
      <c r="C105" s="1"/>
      <c r="D105" s="1"/>
      <c r="E105" s="1"/>
      <c r="F105" s="1"/>
      <c r="G105" s="1"/>
      <c r="H105" s="11"/>
    </row>
    <row r="106" spans="1:8" x14ac:dyDescent="0.35">
      <c r="A106" s="9"/>
      <c r="B106" s="1"/>
      <c r="C106" s="1"/>
      <c r="D106" s="1"/>
      <c r="E106" s="1"/>
      <c r="F106" s="1"/>
      <c r="G106" s="1"/>
      <c r="H106" s="11"/>
    </row>
    <row r="107" spans="1:8" x14ac:dyDescent="0.35">
      <c r="A107" s="9"/>
      <c r="B107" s="1"/>
      <c r="C107" s="1"/>
      <c r="D107" s="1"/>
      <c r="E107" s="1"/>
      <c r="F107" s="1"/>
      <c r="G107" s="1"/>
      <c r="H107" s="11"/>
    </row>
    <row r="108" spans="1:8" x14ac:dyDescent="0.35">
      <c r="A108" s="9"/>
      <c r="B108" s="1"/>
      <c r="C108" s="1"/>
      <c r="D108" s="1"/>
      <c r="E108" s="1"/>
      <c r="F108" s="1"/>
      <c r="G108" s="1"/>
      <c r="H108" s="11"/>
    </row>
    <row r="109" spans="1:8" x14ac:dyDescent="0.35">
      <c r="A109" s="9"/>
      <c r="B109" s="1"/>
      <c r="C109" s="1"/>
      <c r="D109" s="1"/>
      <c r="E109" s="1"/>
      <c r="F109" s="1"/>
      <c r="G109" s="1"/>
      <c r="H109" s="11"/>
    </row>
    <row r="110" spans="1:8" x14ac:dyDescent="0.35">
      <c r="A110" s="9"/>
      <c r="B110" s="1"/>
      <c r="C110" s="1"/>
      <c r="D110" s="1"/>
      <c r="E110" s="1"/>
      <c r="F110" s="1"/>
      <c r="G110" s="1"/>
      <c r="H110" s="11"/>
    </row>
    <row r="111" spans="1:8" x14ac:dyDescent="0.35">
      <c r="A111" s="9"/>
      <c r="B111" s="1"/>
      <c r="C111" s="1"/>
      <c r="D111" s="1"/>
      <c r="E111" s="1"/>
      <c r="F111" s="1"/>
      <c r="G111" s="1"/>
      <c r="H111" s="11"/>
    </row>
    <row r="112" spans="1:8" x14ac:dyDescent="0.35">
      <c r="A112" s="9"/>
      <c r="B112" s="1"/>
      <c r="C112" s="1"/>
      <c r="D112" s="1"/>
      <c r="E112" s="1"/>
      <c r="F112" s="1"/>
      <c r="G112" s="1"/>
      <c r="H112" s="11"/>
    </row>
    <row r="113" spans="1:8" x14ac:dyDescent="0.35">
      <c r="A113" s="9"/>
      <c r="B113" s="1"/>
      <c r="C113" s="1"/>
      <c r="D113" s="1"/>
      <c r="E113" s="1"/>
      <c r="F113" s="1"/>
      <c r="G113" s="1"/>
      <c r="H113" s="11"/>
    </row>
    <row r="114" spans="1:8" x14ac:dyDescent="0.35">
      <c r="A114" s="9"/>
      <c r="B114" s="1"/>
      <c r="C114" s="1"/>
      <c r="D114" s="1"/>
      <c r="E114" s="1"/>
      <c r="F114" s="1"/>
      <c r="G114" s="1"/>
      <c r="H114" s="11"/>
    </row>
    <row r="115" spans="1:8" x14ac:dyDescent="0.35">
      <c r="A115" s="9"/>
      <c r="B115" s="1"/>
      <c r="C115" s="1"/>
      <c r="D115" s="1"/>
      <c r="E115" s="1"/>
      <c r="F115" s="1"/>
      <c r="G115" s="1"/>
      <c r="H115" s="11"/>
    </row>
    <row r="116" spans="1:8" x14ac:dyDescent="0.35">
      <c r="A116" s="9"/>
      <c r="B116" s="1"/>
      <c r="C116" s="1"/>
      <c r="D116" s="1"/>
      <c r="E116" s="1"/>
      <c r="F116" s="1"/>
      <c r="G116" s="1"/>
      <c r="H116" s="11"/>
    </row>
    <row r="117" spans="1:8" x14ac:dyDescent="0.35">
      <c r="A117" s="9"/>
      <c r="B117" s="1"/>
      <c r="C117" s="1"/>
      <c r="D117" s="1"/>
      <c r="E117" s="1"/>
      <c r="F117" s="1"/>
      <c r="G117" s="1"/>
      <c r="H117" s="11"/>
    </row>
    <row r="118" spans="1:8" x14ac:dyDescent="0.35">
      <c r="A118" s="9"/>
      <c r="B118" s="1"/>
      <c r="C118" s="1"/>
      <c r="D118" s="1"/>
      <c r="E118" s="1"/>
      <c r="F118" s="1"/>
      <c r="G118" s="1"/>
      <c r="H118" s="11"/>
    </row>
    <row r="119" spans="1:8" x14ac:dyDescent="0.35">
      <c r="A119" s="9"/>
      <c r="B119" s="1"/>
      <c r="C119" s="1"/>
      <c r="D119" s="1"/>
      <c r="E119" s="1"/>
      <c r="F119" s="1"/>
      <c r="G119" s="1"/>
      <c r="H119" s="11"/>
    </row>
    <row r="120" spans="1:8" x14ac:dyDescent="0.35">
      <c r="A120" s="9"/>
      <c r="B120" s="1"/>
      <c r="C120" s="1"/>
      <c r="D120" s="1"/>
      <c r="E120" s="1"/>
      <c r="F120" s="1"/>
      <c r="G120" s="1"/>
      <c r="H120" s="11"/>
    </row>
    <row r="121" spans="1:8" x14ac:dyDescent="0.35">
      <c r="A121" s="9"/>
      <c r="B121" s="1"/>
      <c r="C121" s="1"/>
      <c r="D121" s="1"/>
      <c r="E121" s="1"/>
      <c r="F121" s="1"/>
      <c r="G121" s="1"/>
      <c r="H121" s="11"/>
    </row>
    <row r="122" spans="1:8" x14ac:dyDescent="0.35">
      <c r="A122" s="9"/>
      <c r="B122" s="1"/>
      <c r="C122" s="1"/>
      <c r="D122" s="1"/>
      <c r="E122" s="1"/>
      <c r="F122" s="1"/>
      <c r="G122" s="1"/>
      <c r="H122" s="11"/>
    </row>
    <row r="123" spans="1:8" x14ac:dyDescent="0.35">
      <c r="A123" s="9"/>
      <c r="B123" s="1"/>
      <c r="C123" s="1"/>
      <c r="D123" s="1"/>
      <c r="E123" s="1"/>
      <c r="F123" s="1"/>
      <c r="G123" s="1"/>
      <c r="H123" s="11"/>
    </row>
    <row r="124" spans="1:8" x14ac:dyDescent="0.35">
      <c r="A124" s="9"/>
      <c r="B124" s="1"/>
      <c r="C124" s="1"/>
      <c r="D124" s="1"/>
      <c r="E124" s="1"/>
      <c r="F124" s="1"/>
      <c r="G124" s="1"/>
      <c r="H124" s="11"/>
    </row>
    <row r="125" spans="1:8" x14ac:dyDescent="0.35">
      <c r="A125" s="9"/>
      <c r="B125" s="1"/>
      <c r="C125" s="1"/>
      <c r="D125" s="1"/>
      <c r="E125" s="1"/>
      <c r="F125" s="1"/>
      <c r="G125" s="1"/>
      <c r="H125" s="11"/>
    </row>
    <row r="126" spans="1:8" x14ac:dyDescent="0.35">
      <c r="A126" s="9"/>
      <c r="B126" s="1"/>
      <c r="C126" s="1"/>
      <c r="D126" s="1"/>
      <c r="E126" s="1"/>
      <c r="F126" s="1"/>
      <c r="G126" s="1"/>
      <c r="H126" s="11"/>
    </row>
    <row r="127" spans="1:8" x14ac:dyDescent="0.35">
      <c r="A127" s="9"/>
      <c r="B127" s="1"/>
      <c r="C127" s="1"/>
      <c r="D127" s="1"/>
      <c r="E127" s="1"/>
      <c r="F127" s="1"/>
      <c r="G127" s="1"/>
      <c r="H127" s="11"/>
    </row>
    <row r="128" spans="1:8" x14ac:dyDescent="0.35">
      <c r="A128" s="9"/>
      <c r="B128" s="1"/>
      <c r="C128" s="1"/>
      <c r="D128" s="1"/>
      <c r="E128" s="1"/>
      <c r="F128" s="1"/>
      <c r="G128" s="1"/>
      <c r="H128" s="11"/>
    </row>
    <row r="129" spans="1:8" x14ac:dyDescent="0.35">
      <c r="A129" s="9"/>
      <c r="B129" s="1"/>
      <c r="C129" s="1"/>
      <c r="D129" s="1"/>
      <c r="E129" s="1"/>
      <c r="F129" s="1"/>
      <c r="G129" s="1"/>
      <c r="H129" s="11"/>
    </row>
    <row r="130" spans="1:8" x14ac:dyDescent="0.35">
      <c r="A130" s="9"/>
      <c r="B130" s="1"/>
      <c r="C130" s="1"/>
      <c r="D130" s="1"/>
      <c r="E130" s="1"/>
      <c r="F130" s="1"/>
      <c r="G130" s="1"/>
      <c r="H130" s="11"/>
    </row>
    <row r="131" spans="1:8" x14ac:dyDescent="0.35">
      <c r="A131" s="9"/>
      <c r="B131" s="1"/>
      <c r="C131" s="1"/>
      <c r="D131" s="1"/>
      <c r="E131" s="1"/>
      <c r="F131" s="1"/>
      <c r="G131" s="1"/>
      <c r="H131" s="11"/>
    </row>
    <row r="132" spans="1:8" x14ac:dyDescent="0.35">
      <c r="A132" s="9"/>
      <c r="B132" s="1"/>
      <c r="C132" s="1"/>
      <c r="D132" s="1"/>
      <c r="E132" s="1"/>
      <c r="F132" s="1"/>
      <c r="G132" s="1"/>
      <c r="H132" s="11"/>
    </row>
    <row r="133" spans="1:8" x14ac:dyDescent="0.35">
      <c r="A133" s="9"/>
      <c r="B133" s="1"/>
      <c r="C133" s="1"/>
      <c r="D133" s="1"/>
      <c r="E133" s="1"/>
      <c r="F133" s="1"/>
      <c r="G133" s="1"/>
      <c r="H133" s="11"/>
    </row>
    <row r="134" spans="1:8" x14ac:dyDescent="0.35">
      <c r="A134" s="9"/>
      <c r="B134" s="1"/>
      <c r="C134" s="1"/>
      <c r="D134" s="1"/>
      <c r="E134" s="1"/>
      <c r="F134" s="1"/>
      <c r="G134" s="1"/>
      <c r="H134" s="11"/>
    </row>
    <row r="135" spans="1:8" x14ac:dyDescent="0.35">
      <c r="A135" s="9"/>
      <c r="B135" s="1"/>
      <c r="C135" s="1"/>
      <c r="D135" s="1"/>
      <c r="E135" s="1"/>
      <c r="F135" s="1"/>
      <c r="G135" s="1"/>
      <c r="H135" s="11"/>
    </row>
    <row r="136" spans="1:8" x14ac:dyDescent="0.35">
      <c r="A136" s="9"/>
      <c r="B136" s="1"/>
      <c r="C136" s="1"/>
      <c r="D136" s="1"/>
      <c r="E136" s="1"/>
      <c r="F136" s="1"/>
      <c r="G136" s="1"/>
      <c r="H136" s="11"/>
    </row>
    <row r="137" spans="1:8" x14ac:dyDescent="0.35">
      <c r="A137" s="9"/>
      <c r="B137" s="1"/>
      <c r="C137" s="1"/>
      <c r="D137" s="1"/>
      <c r="E137" s="1"/>
      <c r="F137" s="1"/>
      <c r="G137" s="1"/>
      <c r="H137" s="11"/>
    </row>
    <row r="138" spans="1:8" x14ac:dyDescent="0.35">
      <c r="A138" s="9"/>
      <c r="B138" s="1"/>
      <c r="C138" s="1"/>
      <c r="D138" s="1"/>
      <c r="E138" s="1"/>
      <c r="F138" s="1"/>
      <c r="G138" s="1"/>
      <c r="H138" s="11"/>
    </row>
    <row r="139" spans="1:8" x14ac:dyDescent="0.35">
      <c r="A139" s="9"/>
      <c r="B139" s="1"/>
      <c r="C139" s="1"/>
      <c r="D139" s="1"/>
      <c r="E139" s="1"/>
      <c r="F139" s="1"/>
      <c r="G139" s="1"/>
      <c r="H139" s="11"/>
    </row>
    <row r="140" spans="1:8" x14ac:dyDescent="0.35">
      <c r="A140" s="9"/>
      <c r="B140" s="1"/>
      <c r="C140" s="1"/>
      <c r="D140" s="1"/>
      <c r="E140" s="1"/>
      <c r="F140" s="1"/>
      <c r="G140" s="1"/>
      <c r="H140" s="11"/>
    </row>
    <row r="141" spans="1:8" x14ac:dyDescent="0.35">
      <c r="A141" s="9"/>
      <c r="B141" s="1"/>
      <c r="C141" s="1"/>
      <c r="D141" s="1"/>
      <c r="E141" s="1"/>
      <c r="F141" s="1"/>
      <c r="G141" s="1"/>
      <c r="H141" s="11"/>
    </row>
    <row r="142" spans="1:8" x14ac:dyDescent="0.35">
      <c r="A142" s="9"/>
      <c r="B142" s="1"/>
      <c r="C142" s="1"/>
      <c r="D142" s="1"/>
      <c r="E142" s="1"/>
      <c r="F142" s="1"/>
      <c r="G142" s="1"/>
      <c r="H142" s="11"/>
    </row>
    <row r="143" spans="1:8" x14ac:dyDescent="0.35">
      <c r="A143" s="9"/>
      <c r="B143" s="1"/>
      <c r="C143" s="1"/>
      <c r="D143" s="1"/>
      <c r="E143" s="1"/>
      <c r="F143" s="1"/>
      <c r="G143" s="1"/>
      <c r="H143" s="11"/>
    </row>
    <row r="144" spans="1:8" x14ac:dyDescent="0.35">
      <c r="A144" s="9"/>
      <c r="B144" s="1"/>
      <c r="C144" s="1"/>
      <c r="D144" s="1"/>
      <c r="E144" s="1"/>
      <c r="F144" s="1"/>
      <c r="G144" s="1"/>
      <c r="H144" s="11"/>
    </row>
    <row r="145" spans="1:8" x14ac:dyDescent="0.35">
      <c r="A145" s="9"/>
      <c r="B145" s="1"/>
      <c r="C145" s="1"/>
      <c r="D145" s="1"/>
      <c r="E145" s="1"/>
      <c r="F145" s="1"/>
      <c r="G145" s="1"/>
      <c r="H145" s="11"/>
    </row>
    <row r="146" spans="1:8" x14ac:dyDescent="0.35">
      <c r="A146" s="9"/>
      <c r="B146" s="1"/>
      <c r="C146" s="1"/>
      <c r="D146" s="1"/>
      <c r="E146" s="1"/>
      <c r="F146" s="1"/>
      <c r="G146" s="1"/>
      <c r="H146" s="11"/>
    </row>
    <row r="147" spans="1:8" x14ac:dyDescent="0.35">
      <c r="A147" s="9"/>
      <c r="B147" s="1"/>
      <c r="C147" s="1"/>
      <c r="D147" s="1"/>
      <c r="E147" s="1"/>
      <c r="F147" s="1"/>
      <c r="G147" s="1"/>
      <c r="H147" s="11"/>
    </row>
    <row r="148" spans="1:8" x14ac:dyDescent="0.35">
      <c r="A148" s="9"/>
      <c r="B148" s="1"/>
      <c r="C148" s="1"/>
      <c r="D148" s="1"/>
      <c r="E148" s="1"/>
      <c r="F148" s="1"/>
      <c r="G148" s="1"/>
      <c r="H148" s="11"/>
    </row>
    <row r="149" spans="1:8" x14ac:dyDescent="0.35">
      <c r="A149" s="9"/>
      <c r="B149" s="1"/>
      <c r="C149" s="1"/>
      <c r="D149" s="1"/>
      <c r="E149" s="1"/>
      <c r="F149" s="1"/>
      <c r="G149" s="1"/>
      <c r="H149" s="11"/>
    </row>
    <row r="150" spans="1:8" x14ac:dyDescent="0.35">
      <c r="A150" s="9"/>
      <c r="B150" s="1"/>
      <c r="C150" s="1"/>
      <c r="D150" s="1"/>
      <c r="E150" s="1"/>
      <c r="F150" s="1"/>
      <c r="G150" s="1"/>
      <c r="H150" s="11"/>
    </row>
    <row r="151" spans="1:8" x14ac:dyDescent="0.35">
      <c r="A151" s="9"/>
      <c r="B151" s="1"/>
      <c r="C151" s="1"/>
      <c r="D151" s="1"/>
      <c r="E151" s="1"/>
      <c r="F151" s="1"/>
      <c r="G151" s="1"/>
      <c r="H151" s="11"/>
    </row>
    <row r="152" spans="1:8" x14ac:dyDescent="0.35">
      <c r="A152" s="9"/>
      <c r="B152" s="1"/>
      <c r="C152" s="1"/>
      <c r="D152" s="1"/>
      <c r="E152" s="1"/>
      <c r="F152" s="1"/>
      <c r="G152" s="1"/>
      <c r="H152" s="11"/>
    </row>
    <row r="153" spans="1:8" x14ac:dyDescent="0.35">
      <c r="A153" s="9"/>
      <c r="B153" s="1"/>
      <c r="C153" s="1"/>
      <c r="D153" s="1"/>
      <c r="E153" s="1"/>
      <c r="F153" s="1"/>
      <c r="G153" s="1"/>
      <c r="H153" s="11"/>
    </row>
    <row r="154" spans="1:8" x14ac:dyDescent="0.35">
      <c r="A154" s="9"/>
      <c r="B154" s="1"/>
      <c r="C154" s="1"/>
      <c r="D154" s="1"/>
      <c r="E154" s="1"/>
      <c r="F154" s="1"/>
      <c r="G154" s="1"/>
      <c r="H154" s="11"/>
    </row>
    <row r="155" spans="1:8" x14ac:dyDescent="0.35">
      <c r="A155" s="9"/>
      <c r="B155" s="1"/>
      <c r="C155" s="1"/>
      <c r="D155" s="1"/>
      <c r="E155" s="1"/>
      <c r="F155" s="1"/>
      <c r="G155" s="1"/>
      <c r="H155" s="11"/>
    </row>
    <row r="156" spans="1:8" x14ac:dyDescent="0.35">
      <c r="A156" s="9"/>
      <c r="B156" s="1"/>
      <c r="C156" s="1"/>
      <c r="D156" s="1"/>
      <c r="E156" s="1"/>
      <c r="F156" s="1"/>
      <c r="G156" s="1"/>
      <c r="H156" s="11"/>
    </row>
    <row r="157" spans="1:8" x14ac:dyDescent="0.35">
      <c r="A157" s="9"/>
      <c r="B157" s="1"/>
      <c r="C157" s="1"/>
      <c r="D157" s="1"/>
      <c r="E157" s="1"/>
      <c r="F157" s="1"/>
      <c r="G157" s="1"/>
      <c r="H157" s="11"/>
    </row>
    <row r="158" spans="1:8" x14ac:dyDescent="0.35">
      <c r="A158" s="9"/>
      <c r="B158" s="1"/>
      <c r="C158" s="1"/>
      <c r="D158" s="1"/>
      <c r="E158" s="1"/>
      <c r="F158" s="1"/>
      <c r="G158" s="1"/>
      <c r="H158" s="11"/>
    </row>
    <row r="159" spans="1:8" x14ac:dyDescent="0.35">
      <c r="A159" s="9"/>
      <c r="B159" s="1"/>
      <c r="C159" s="1"/>
      <c r="D159" s="1"/>
      <c r="E159" s="1"/>
      <c r="F159" s="1"/>
      <c r="G159" s="1"/>
      <c r="H159" s="11"/>
    </row>
    <row r="160" spans="1:8" x14ac:dyDescent="0.35">
      <c r="A160" s="9"/>
      <c r="B160" s="1"/>
      <c r="C160" s="1"/>
      <c r="D160" s="1"/>
      <c r="E160" s="1"/>
      <c r="F160" s="1"/>
      <c r="G160" s="1"/>
      <c r="H160" s="11"/>
    </row>
    <row r="161" spans="1:8" x14ac:dyDescent="0.35">
      <c r="A161" s="9"/>
      <c r="B161" s="1"/>
      <c r="C161" s="1"/>
      <c r="D161" s="1"/>
      <c r="E161" s="1"/>
      <c r="F161" s="1"/>
      <c r="G161" s="1"/>
      <c r="H161" s="11"/>
    </row>
    <row r="162" spans="1:8" x14ac:dyDescent="0.35">
      <c r="A162" s="9"/>
      <c r="B162" s="1"/>
      <c r="C162" s="1"/>
      <c r="D162" s="1"/>
      <c r="E162" s="1"/>
      <c r="F162" s="1"/>
      <c r="G162" s="1"/>
      <c r="H162" s="11"/>
    </row>
    <row r="163" spans="1:8" x14ac:dyDescent="0.35">
      <c r="A163" s="9"/>
      <c r="B163" s="1"/>
      <c r="C163" s="1"/>
      <c r="D163" s="1"/>
      <c r="E163" s="1"/>
      <c r="F163" s="1"/>
      <c r="G163" s="1"/>
      <c r="H163" s="11"/>
    </row>
    <row r="164" spans="1:8" x14ac:dyDescent="0.35">
      <c r="A164" s="9"/>
      <c r="B164" s="1"/>
      <c r="C164" s="1"/>
      <c r="D164" s="1"/>
      <c r="E164" s="1"/>
      <c r="F164" s="1"/>
      <c r="G164" s="1"/>
      <c r="H164" s="11"/>
    </row>
    <row r="165" spans="1:8" x14ac:dyDescent="0.35">
      <c r="A165" s="9"/>
      <c r="B165" s="1"/>
      <c r="C165" s="1"/>
      <c r="D165" s="1"/>
      <c r="E165" s="1"/>
      <c r="F165" s="1"/>
      <c r="G165" s="1"/>
      <c r="H165" s="11"/>
    </row>
    <row r="166" spans="1:8" x14ac:dyDescent="0.35">
      <c r="A166" s="9"/>
      <c r="B166" s="1"/>
      <c r="C166" s="1"/>
      <c r="D166" s="1"/>
      <c r="E166" s="1"/>
      <c r="F166" s="1"/>
      <c r="G166" s="1"/>
      <c r="H166" s="11"/>
    </row>
    <row r="167" spans="1:8" x14ac:dyDescent="0.35">
      <c r="A167" s="9"/>
      <c r="B167" s="1"/>
      <c r="C167" s="1"/>
      <c r="D167" s="1"/>
      <c r="E167" s="1"/>
      <c r="F167" s="1"/>
      <c r="G167" s="1"/>
      <c r="H167" s="11"/>
    </row>
    <row r="168" spans="1:8" x14ac:dyDescent="0.35">
      <c r="A168" s="9"/>
      <c r="B168" s="1"/>
      <c r="C168" s="1"/>
      <c r="D168" s="1"/>
      <c r="E168" s="1"/>
      <c r="F168" s="1"/>
      <c r="G168" s="1"/>
      <c r="H168" s="11"/>
    </row>
    <row r="169" spans="1:8" x14ac:dyDescent="0.35">
      <c r="A169" s="1"/>
      <c r="B169" s="1"/>
      <c r="C169" s="1"/>
      <c r="D169" s="1"/>
      <c r="E169" s="1"/>
      <c r="F169" s="1"/>
      <c r="G169" s="1"/>
      <c r="H169" s="11"/>
    </row>
    <row r="170" spans="1:8" x14ac:dyDescent="0.35">
      <c r="A170" s="1"/>
      <c r="B170" s="1"/>
      <c r="C170" s="1"/>
      <c r="D170" s="1"/>
      <c r="E170" s="1"/>
      <c r="F170" s="1"/>
      <c r="G170" s="1"/>
      <c r="H170" s="11"/>
    </row>
    <row r="171" spans="1:8" x14ac:dyDescent="0.35">
      <c r="A171" s="1"/>
      <c r="B171" s="1"/>
      <c r="C171" s="1"/>
      <c r="D171" s="1"/>
      <c r="E171" s="1"/>
      <c r="F171" s="1"/>
      <c r="G171" s="1"/>
      <c r="H171" s="11"/>
    </row>
    <row r="172" spans="1:8" x14ac:dyDescent="0.35">
      <c r="A172" s="1"/>
      <c r="B172" s="1"/>
      <c r="C172" s="1"/>
      <c r="D172" s="1"/>
      <c r="E172" s="1"/>
      <c r="F172" s="1"/>
      <c r="G172" s="1"/>
      <c r="H172" s="11"/>
    </row>
    <row r="173" spans="1:8" x14ac:dyDescent="0.35">
      <c r="A173" s="1"/>
      <c r="B173" s="1"/>
      <c r="C173" s="1"/>
      <c r="D173" s="1"/>
      <c r="E173" s="1"/>
      <c r="F173" s="1"/>
      <c r="G173" s="1"/>
      <c r="H173" s="11"/>
    </row>
    <row r="174" spans="1:8" x14ac:dyDescent="0.35">
      <c r="A174" s="1"/>
      <c r="B174" s="1"/>
      <c r="C174" s="1"/>
      <c r="D174" s="1"/>
      <c r="E174" s="1"/>
      <c r="F174" s="1"/>
      <c r="G174" s="1"/>
      <c r="H174" s="1"/>
    </row>
    <row r="175" spans="1:8" x14ac:dyDescent="0.35">
      <c r="A175" s="1"/>
      <c r="B175" s="1"/>
      <c r="C175" s="1"/>
      <c r="D175" s="1"/>
      <c r="E175" s="1"/>
      <c r="F175" s="1"/>
      <c r="G175" s="1"/>
      <c r="H175" s="1"/>
    </row>
    <row r="176" spans="1:8" x14ac:dyDescent="0.35">
      <c r="A176" s="1"/>
      <c r="B176" s="1"/>
      <c r="C176" s="1"/>
      <c r="D176" s="1"/>
      <c r="E176" s="1"/>
      <c r="F176" s="1"/>
      <c r="G176" s="1"/>
      <c r="H176" s="1"/>
    </row>
    <row r="177" spans="1:8" x14ac:dyDescent="0.35">
      <c r="A177" s="1"/>
      <c r="B177" s="1"/>
      <c r="C177" s="1"/>
      <c r="D177" s="1"/>
      <c r="E177" s="1"/>
      <c r="F177" s="1"/>
      <c r="G177" s="1"/>
      <c r="H177" s="1"/>
    </row>
    <row r="178" spans="1:8" x14ac:dyDescent="0.35">
      <c r="A178" s="1"/>
      <c r="B178" s="1"/>
      <c r="C178" s="1"/>
      <c r="D178" s="1"/>
      <c r="E178" s="1"/>
      <c r="F178" s="1"/>
      <c r="G178" s="1"/>
      <c r="H178" s="1"/>
    </row>
    <row r="179" spans="1:8" x14ac:dyDescent="0.35">
      <c r="A179" s="1"/>
      <c r="B179" s="1"/>
      <c r="C179" s="1"/>
      <c r="D179" s="1"/>
      <c r="E179" s="1"/>
      <c r="F179" s="1"/>
      <c r="G179" s="1"/>
      <c r="H179" s="1"/>
    </row>
    <row r="180" spans="1:8" x14ac:dyDescent="0.35">
      <c r="A180" s="1"/>
      <c r="B180" s="1"/>
      <c r="C180" s="1"/>
      <c r="D180" s="1"/>
      <c r="E180" s="1"/>
      <c r="F180" s="1"/>
      <c r="G180" s="1"/>
      <c r="H180" s="1"/>
    </row>
    <row r="181" spans="1:8" x14ac:dyDescent="0.35">
      <c r="A181" s="1"/>
      <c r="B181" s="1"/>
      <c r="C181" s="1"/>
      <c r="D181" s="1"/>
      <c r="E181" s="1"/>
      <c r="F181" s="1"/>
      <c r="G181" s="1"/>
      <c r="H181" s="1"/>
    </row>
    <row r="182" spans="1:8" x14ac:dyDescent="0.35">
      <c r="A182" s="1"/>
      <c r="B182" s="1"/>
      <c r="C182" s="1"/>
      <c r="D182" s="1"/>
      <c r="E182" s="1"/>
      <c r="F182" s="1"/>
      <c r="G182" s="1"/>
      <c r="H182" s="1"/>
    </row>
    <row r="183" spans="1:8" x14ac:dyDescent="0.35">
      <c r="A183" s="1"/>
      <c r="B183" s="1"/>
      <c r="C183" s="1"/>
      <c r="D183" s="1"/>
      <c r="E183" s="1"/>
      <c r="F183" s="1"/>
      <c r="G183" s="1"/>
      <c r="H183" s="1"/>
    </row>
  </sheetData>
  <mergeCells count="28">
    <mergeCell ref="H25:H27"/>
    <mergeCell ref="H28:H29"/>
    <mergeCell ref="C28:C29"/>
    <mergeCell ref="B28:B29"/>
    <mergeCell ref="A28:A29"/>
    <mergeCell ref="C25:C27"/>
    <mergeCell ref="B25:B27"/>
    <mergeCell ref="A25:A27"/>
    <mergeCell ref="C21:C22"/>
    <mergeCell ref="B21:B22"/>
    <mergeCell ref="A21:A22"/>
    <mergeCell ref="H21:H22"/>
    <mergeCell ref="A15:K15"/>
    <mergeCell ref="A16:J16"/>
    <mergeCell ref="B19:B20"/>
    <mergeCell ref="A19:A20"/>
    <mergeCell ref="A2:H2"/>
    <mergeCell ref="A3:H3"/>
    <mergeCell ref="A4:H4"/>
    <mergeCell ref="C11:C14"/>
    <mergeCell ref="B11:B14"/>
    <mergeCell ref="A11:A14"/>
    <mergeCell ref="H11:H14"/>
    <mergeCell ref="I11:I14"/>
    <mergeCell ref="I19:I20"/>
    <mergeCell ref="H19:H20"/>
    <mergeCell ref="D19:D20"/>
    <mergeCell ref="C19:C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FF54-D733-4A00-A1AE-B1639D6DBA46}">
  <dimension ref="A1:R138"/>
  <sheetViews>
    <sheetView topLeftCell="A126" zoomScaleNormal="100" workbookViewId="0">
      <selection activeCell="A135" sqref="A135"/>
    </sheetView>
  </sheetViews>
  <sheetFormatPr baseColWidth="10" defaultRowHeight="14.5" x14ac:dyDescent="0.35"/>
  <cols>
    <col min="1" max="1" width="4.08984375" customWidth="1"/>
    <col min="2" max="2" width="31.1796875" bestFit="1" customWidth="1"/>
    <col min="3" max="3" width="10.453125" bestFit="1" customWidth="1"/>
    <col min="4" max="4" width="4.54296875" customWidth="1"/>
    <col min="5" max="5" width="15.1796875" customWidth="1"/>
    <col min="6" max="6" width="13.1796875" bestFit="1" customWidth="1"/>
    <col min="7" max="7" width="13.1796875" customWidth="1"/>
    <col min="8" max="8" width="13.453125" customWidth="1"/>
    <col min="9" max="9" width="13.7265625" customWidth="1"/>
    <col min="10" max="10" width="12.90625" customWidth="1"/>
    <col min="11" max="12" width="11.54296875" bestFit="1" customWidth="1"/>
    <col min="13" max="13" width="18.26953125" bestFit="1" customWidth="1"/>
    <col min="14" max="14" width="16" bestFit="1" customWidth="1"/>
    <col min="15" max="15" width="13.1796875" bestFit="1" customWidth="1"/>
    <col min="17" max="17" width="14.7265625" bestFit="1" customWidth="1"/>
  </cols>
  <sheetData>
    <row r="1" spans="1:17" ht="23.5" x14ac:dyDescent="0.55000000000000004">
      <c r="A1" s="126" t="s">
        <v>166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</row>
    <row r="2" spans="1:17" ht="23.5" x14ac:dyDescent="0.55000000000000004">
      <c r="A2" s="126" t="s">
        <v>167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</row>
    <row r="3" spans="1:17" x14ac:dyDescent="0.3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7" ht="23.5" x14ac:dyDescent="0.55000000000000004">
      <c r="A4" s="126" t="s">
        <v>224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</row>
    <row r="6" spans="1:17" ht="21" x14ac:dyDescent="0.5">
      <c r="A6" s="127" t="s">
        <v>168</v>
      </c>
      <c r="B6" s="129" t="s">
        <v>169</v>
      </c>
      <c r="C6" s="129" t="s">
        <v>170</v>
      </c>
      <c r="D6" s="129" t="s">
        <v>171</v>
      </c>
      <c r="E6" s="130" t="s">
        <v>181</v>
      </c>
      <c r="F6" s="130"/>
      <c r="G6" s="130"/>
      <c r="H6" s="130"/>
      <c r="I6" s="130"/>
      <c r="J6" s="74"/>
      <c r="K6" s="130" t="s">
        <v>182</v>
      </c>
      <c r="L6" s="130"/>
      <c r="M6" s="130"/>
      <c r="N6" s="129" t="s">
        <v>179</v>
      </c>
      <c r="O6" s="129" t="s">
        <v>180</v>
      </c>
    </row>
    <row r="7" spans="1:17" ht="15.5" x14ac:dyDescent="0.35">
      <c r="A7" s="128"/>
      <c r="B7" s="129"/>
      <c r="C7" s="129"/>
      <c r="D7" s="129"/>
      <c r="E7" s="19" t="s">
        <v>172</v>
      </c>
      <c r="F7" s="19" t="s">
        <v>173</v>
      </c>
      <c r="G7" s="19" t="s">
        <v>225</v>
      </c>
      <c r="H7" s="19" t="s">
        <v>174</v>
      </c>
      <c r="I7" s="19" t="s">
        <v>175</v>
      </c>
      <c r="J7" s="44" t="s">
        <v>226</v>
      </c>
      <c r="K7" s="19" t="s">
        <v>176</v>
      </c>
      <c r="L7" s="19" t="s">
        <v>177</v>
      </c>
      <c r="M7" s="19" t="s">
        <v>178</v>
      </c>
      <c r="N7" s="129"/>
      <c r="O7" s="129"/>
    </row>
    <row r="8" spans="1:17" x14ac:dyDescent="0.35">
      <c r="A8" s="1">
        <v>1</v>
      </c>
      <c r="B8" s="1" t="s">
        <v>183</v>
      </c>
      <c r="C8" s="48" t="s">
        <v>188</v>
      </c>
      <c r="D8" s="48">
        <v>15</v>
      </c>
      <c r="E8" s="11">
        <v>5000000</v>
      </c>
      <c r="F8" s="11">
        <v>2500000</v>
      </c>
      <c r="G8" s="11">
        <v>500000</v>
      </c>
      <c r="H8" s="49"/>
      <c r="I8" s="49">
        <f>F8+G8</f>
        <v>3000000</v>
      </c>
      <c r="J8" s="49">
        <v>0.04</v>
      </c>
      <c r="K8" s="11">
        <f>F8*J8</f>
        <v>100000</v>
      </c>
      <c r="L8" s="11">
        <f>F8*J8</f>
        <v>100000</v>
      </c>
      <c r="M8" s="11">
        <f>L8+K8</f>
        <v>200000</v>
      </c>
      <c r="N8" s="11">
        <f>I8-M8</f>
        <v>2800000</v>
      </c>
      <c r="O8" s="11"/>
    </row>
    <row r="9" spans="1:17" x14ac:dyDescent="0.35">
      <c r="A9" s="1">
        <v>2</v>
      </c>
      <c r="B9" s="1" t="s">
        <v>184</v>
      </c>
      <c r="C9" s="48" t="s">
        <v>188</v>
      </c>
      <c r="D9" s="48">
        <v>15</v>
      </c>
      <c r="E9" s="11">
        <v>3150905</v>
      </c>
      <c r="F9" s="11">
        <v>1575453</v>
      </c>
      <c r="G9" s="11"/>
      <c r="H9" s="11">
        <v>124548</v>
      </c>
      <c r="I9" s="49">
        <f>F9+H9</f>
        <v>1700001</v>
      </c>
      <c r="J9" s="49">
        <v>0.04</v>
      </c>
      <c r="K9" s="11">
        <f t="shared" ref="K9:K12" si="0">F9*J9</f>
        <v>63018.12</v>
      </c>
      <c r="L9" s="11">
        <f t="shared" ref="L9:L12" si="1">F9*J9</f>
        <v>63018.12</v>
      </c>
      <c r="M9" s="11">
        <f t="shared" ref="M9:M12" si="2">L9+K9</f>
        <v>126036.24</v>
      </c>
      <c r="N9" s="11">
        <f>I9-M9</f>
        <v>1573964.76</v>
      </c>
      <c r="O9" s="11"/>
    </row>
    <row r="10" spans="1:17" x14ac:dyDescent="0.35">
      <c r="A10" s="1">
        <v>4</v>
      </c>
      <c r="B10" s="1" t="s">
        <v>185</v>
      </c>
      <c r="C10" s="48" t="s">
        <v>188</v>
      </c>
      <c r="D10" s="48">
        <v>15</v>
      </c>
      <c r="E10" s="11">
        <v>1750095</v>
      </c>
      <c r="F10" s="11">
        <v>875453</v>
      </c>
      <c r="G10" s="11">
        <v>150000</v>
      </c>
      <c r="H10" s="11">
        <v>124548</v>
      </c>
      <c r="I10" s="49">
        <f>F10+G10+H10</f>
        <v>1150001</v>
      </c>
      <c r="J10" s="49">
        <v>0.04</v>
      </c>
      <c r="K10" s="11">
        <f t="shared" si="0"/>
        <v>35018.120000000003</v>
      </c>
      <c r="L10" s="11">
        <f t="shared" si="1"/>
        <v>35018.120000000003</v>
      </c>
      <c r="M10" s="11">
        <f t="shared" si="2"/>
        <v>70036.240000000005</v>
      </c>
      <c r="N10" s="11">
        <f>I10-M10</f>
        <v>1079964.76</v>
      </c>
      <c r="O10" s="11">
        <v>150000</v>
      </c>
      <c r="P10" t="s">
        <v>231</v>
      </c>
    </row>
    <row r="11" spans="1:17" x14ac:dyDescent="0.35">
      <c r="A11" s="1">
        <v>5</v>
      </c>
      <c r="B11" s="1" t="s">
        <v>186</v>
      </c>
      <c r="C11" s="48" t="s">
        <v>188</v>
      </c>
      <c r="D11" s="48">
        <v>15</v>
      </c>
      <c r="E11" s="11">
        <v>1750095</v>
      </c>
      <c r="F11" s="11">
        <v>875453</v>
      </c>
      <c r="G11" s="11">
        <v>150000</v>
      </c>
      <c r="H11" s="11">
        <v>124548</v>
      </c>
      <c r="I11" s="49">
        <f>F11+G11+H11</f>
        <v>1150001</v>
      </c>
      <c r="J11" s="49">
        <v>0.04</v>
      </c>
      <c r="K11" s="11">
        <f t="shared" si="0"/>
        <v>35018.120000000003</v>
      </c>
      <c r="L11" s="11">
        <f t="shared" si="1"/>
        <v>35018.120000000003</v>
      </c>
      <c r="M11" s="11">
        <f t="shared" si="2"/>
        <v>70036.240000000005</v>
      </c>
      <c r="N11" s="11">
        <f>I11-M11</f>
        <v>1079964.76</v>
      </c>
      <c r="O11" s="11">
        <v>150000</v>
      </c>
      <c r="P11" t="s">
        <v>231</v>
      </c>
    </row>
    <row r="12" spans="1:17" x14ac:dyDescent="0.35">
      <c r="A12" s="1">
        <v>6</v>
      </c>
      <c r="B12" s="1" t="s">
        <v>187</v>
      </c>
      <c r="C12" s="48" t="s">
        <v>188</v>
      </c>
      <c r="D12" s="48">
        <v>15</v>
      </c>
      <c r="E12" s="11">
        <v>1750095</v>
      </c>
      <c r="F12" s="11">
        <v>875453</v>
      </c>
      <c r="G12" s="49"/>
      <c r="H12" s="11">
        <v>124548</v>
      </c>
      <c r="I12" s="49">
        <f>F12+H12</f>
        <v>1000001</v>
      </c>
      <c r="J12" s="49">
        <v>0.04</v>
      </c>
      <c r="K12" s="11">
        <f t="shared" si="0"/>
        <v>35018.120000000003</v>
      </c>
      <c r="L12" s="11">
        <f t="shared" si="1"/>
        <v>35018.120000000003</v>
      </c>
      <c r="M12" s="11">
        <f t="shared" si="2"/>
        <v>70036.240000000005</v>
      </c>
      <c r="N12" s="11">
        <f>I12-M12</f>
        <v>929964.76</v>
      </c>
      <c r="O12" s="11" t="s">
        <v>227</v>
      </c>
    </row>
    <row r="13" spans="1:17" x14ac:dyDescent="0.35">
      <c r="A13" s="1"/>
      <c r="B13" s="1"/>
      <c r="C13" s="1"/>
      <c r="D13" s="1"/>
      <c r="E13" s="49"/>
      <c r="F13" s="49"/>
      <c r="G13" s="49"/>
      <c r="H13" s="49"/>
      <c r="I13" s="49"/>
      <c r="J13" s="49"/>
      <c r="K13" s="49"/>
      <c r="L13" s="49"/>
      <c r="M13" s="49"/>
      <c r="N13" s="66">
        <f>SUM(N8:N12)</f>
        <v>7463859.0399999991</v>
      </c>
      <c r="O13" s="1"/>
      <c r="Q13" s="50"/>
    </row>
    <row r="14" spans="1:17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7" spans="1:18" x14ac:dyDescent="0.35">
      <c r="N17" s="16"/>
    </row>
    <row r="18" spans="1:18" ht="23.5" x14ac:dyDescent="0.55000000000000004">
      <c r="A18" s="126" t="s">
        <v>166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</row>
    <row r="19" spans="1:18" ht="23.5" x14ac:dyDescent="0.55000000000000004">
      <c r="A19" s="126" t="s">
        <v>167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</row>
    <row r="20" spans="1:18" x14ac:dyDescent="0.3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8" ht="23.5" x14ac:dyDescent="0.55000000000000004">
      <c r="A21" s="126" t="s">
        <v>263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</row>
    <row r="23" spans="1:18" ht="21" x14ac:dyDescent="0.5">
      <c r="A23" s="127" t="s">
        <v>168</v>
      </c>
      <c r="B23" s="129" t="s">
        <v>169</v>
      </c>
      <c r="C23" s="129" t="s">
        <v>170</v>
      </c>
      <c r="D23" s="129" t="s">
        <v>171</v>
      </c>
      <c r="E23" s="130" t="s">
        <v>181</v>
      </c>
      <c r="F23" s="130"/>
      <c r="G23" s="130"/>
      <c r="H23" s="130"/>
      <c r="I23" s="130"/>
      <c r="J23" s="74"/>
      <c r="K23" s="130" t="s">
        <v>182</v>
      </c>
      <c r="L23" s="130"/>
      <c r="M23" s="130"/>
      <c r="N23" s="129" t="s">
        <v>179</v>
      </c>
      <c r="O23" s="129" t="s">
        <v>180</v>
      </c>
    </row>
    <row r="24" spans="1:18" ht="15.5" x14ac:dyDescent="0.35">
      <c r="A24" s="128"/>
      <c r="B24" s="129"/>
      <c r="C24" s="129"/>
      <c r="D24" s="129"/>
      <c r="E24" s="19" t="s">
        <v>172</v>
      </c>
      <c r="F24" s="19" t="s">
        <v>173</v>
      </c>
      <c r="G24" s="19" t="s">
        <v>225</v>
      </c>
      <c r="H24" s="19" t="s">
        <v>174</v>
      </c>
      <c r="I24" s="19" t="s">
        <v>175</v>
      </c>
      <c r="J24" s="44" t="s">
        <v>226</v>
      </c>
      <c r="K24" s="19" t="s">
        <v>176</v>
      </c>
      <c r="L24" s="19" t="s">
        <v>177</v>
      </c>
      <c r="M24" s="19" t="s">
        <v>178</v>
      </c>
      <c r="N24" s="129"/>
      <c r="O24" s="129"/>
    </row>
    <row r="25" spans="1:18" x14ac:dyDescent="0.35">
      <c r="A25" s="1">
        <v>1</v>
      </c>
      <c r="B25" s="1" t="s">
        <v>183</v>
      </c>
      <c r="C25" s="48" t="s">
        <v>188</v>
      </c>
      <c r="D25" s="48">
        <v>15</v>
      </c>
      <c r="E25" s="11">
        <v>5000000</v>
      </c>
      <c r="F25" s="11">
        <v>2500000</v>
      </c>
      <c r="G25" s="11">
        <v>500000</v>
      </c>
      <c r="H25" s="49"/>
      <c r="I25" s="49">
        <f>F25+G25</f>
        <v>3000000</v>
      </c>
      <c r="J25" s="49">
        <v>0.04</v>
      </c>
      <c r="K25" s="11">
        <f>F25*J25</f>
        <v>100000</v>
      </c>
      <c r="L25" s="11">
        <f>F25*J25</f>
        <v>100000</v>
      </c>
      <c r="M25" s="11">
        <f>L25+K25</f>
        <v>200000</v>
      </c>
      <c r="N25" s="11">
        <f>I25-M25</f>
        <v>2800000</v>
      </c>
      <c r="O25" s="11"/>
      <c r="Q25" t="s">
        <v>264</v>
      </c>
    </row>
    <row r="26" spans="1:18" x14ac:dyDescent="0.35">
      <c r="A26" s="1">
        <v>2</v>
      </c>
      <c r="B26" s="1" t="s">
        <v>184</v>
      </c>
      <c r="C26" s="48" t="s">
        <v>188</v>
      </c>
      <c r="D26" s="48">
        <v>15</v>
      </c>
      <c r="E26" s="11">
        <v>3150905</v>
      </c>
      <c r="F26" s="11">
        <v>1575453</v>
      </c>
      <c r="G26" s="11"/>
      <c r="H26" s="11">
        <v>124548</v>
      </c>
      <c r="I26" s="49">
        <f>F26+H26</f>
        <v>1700001</v>
      </c>
      <c r="J26" s="49">
        <v>0.04</v>
      </c>
      <c r="K26" s="11">
        <f t="shared" ref="K26:K29" si="3">F26*J26</f>
        <v>63018.12</v>
      </c>
      <c r="L26" s="11">
        <f t="shared" ref="L26:L29" si="4">F26*J26</f>
        <v>63018.12</v>
      </c>
      <c r="M26" s="11">
        <f t="shared" ref="M26:M29" si="5">L26+K26</f>
        <v>126036.24</v>
      </c>
      <c r="N26" s="11">
        <f>I26-M26</f>
        <v>1573964.76</v>
      </c>
      <c r="O26" s="11"/>
      <c r="Q26" s="11">
        <v>2650000</v>
      </c>
      <c r="R26" t="s">
        <v>265</v>
      </c>
    </row>
    <row r="27" spans="1:18" x14ac:dyDescent="0.35">
      <c r="A27" s="1">
        <v>4</v>
      </c>
      <c r="B27" s="1" t="s">
        <v>185</v>
      </c>
      <c r="C27" s="48" t="s">
        <v>188</v>
      </c>
      <c r="D27" s="48">
        <v>15</v>
      </c>
      <c r="E27" s="11">
        <v>1750095</v>
      </c>
      <c r="F27" s="11">
        <v>875453</v>
      </c>
      <c r="G27" s="11">
        <v>150000</v>
      </c>
      <c r="H27" s="11">
        <v>124548</v>
      </c>
      <c r="I27" s="49">
        <f>F27+G27+H27</f>
        <v>1150001</v>
      </c>
      <c r="J27" s="49">
        <v>0.04</v>
      </c>
      <c r="K27" s="11">
        <f t="shared" si="3"/>
        <v>35018.120000000003</v>
      </c>
      <c r="L27" s="11">
        <f t="shared" si="4"/>
        <v>35018.120000000003</v>
      </c>
      <c r="M27" s="11">
        <f t="shared" si="5"/>
        <v>70036.240000000005</v>
      </c>
      <c r="N27" s="11">
        <f>I27-M27</f>
        <v>1079964.76</v>
      </c>
      <c r="O27" s="11" t="s">
        <v>270</v>
      </c>
      <c r="Q27" s="11">
        <v>2700000</v>
      </c>
      <c r="R27" t="s">
        <v>266</v>
      </c>
    </row>
    <row r="28" spans="1:18" x14ac:dyDescent="0.35">
      <c r="A28" s="1">
        <v>5</v>
      </c>
      <c r="B28" s="1" t="s">
        <v>186</v>
      </c>
      <c r="C28" s="48" t="s">
        <v>188</v>
      </c>
      <c r="D28" s="48">
        <v>15</v>
      </c>
      <c r="E28" s="11">
        <v>1750095</v>
      </c>
      <c r="F28" s="11">
        <v>875453</v>
      </c>
      <c r="G28" s="11">
        <v>150000</v>
      </c>
      <c r="H28" s="11">
        <v>124548</v>
      </c>
      <c r="I28" s="49">
        <f>F28+G28+H28</f>
        <v>1150001</v>
      </c>
      <c r="J28" s="49">
        <v>0.04</v>
      </c>
      <c r="K28" s="11">
        <f t="shared" si="3"/>
        <v>35018.120000000003</v>
      </c>
      <c r="L28" s="11">
        <f t="shared" si="4"/>
        <v>35018.120000000003</v>
      </c>
      <c r="M28" s="11">
        <f t="shared" si="5"/>
        <v>70036.240000000005</v>
      </c>
      <c r="N28" s="11">
        <f>I28-M28</f>
        <v>1079964.76</v>
      </c>
      <c r="O28" s="11">
        <v>150000</v>
      </c>
      <c r="P28" t="s">
        <v>231</v>
      </c>
      <c r="Q28" s="11">
        <v>2100000</v>
      </c>
      <c r="R28" t="s">
        <v>267</v>
      </c>
    </row>
    <row r="29" spans="1:18" x14ac:dyDescent="0.35">
      <c r="A29" s="1">
        <v>6</v>
      </c>
      <c r="B29" s="1" t="s">
        <v>187</v>
      </c>
      <c r="C29" s="48" t="s">
        <v>188</v>
      </c>
      <c r="D29" s="48">
        <v>15</v>
      </c>
      <c r="E29" s="11">
        <v>1750095</v>
      </c>
      <c r="F29" s="11">
        <v>875453</v>
      </c>
      <c r="G29" s="49"/>
      <c r="H29" s="11">
        <v>124548</v>
      </c>
      <c r="I29" s="49">
        <f>F29+H29</f>
        <v>1000001</v>
      </c>
      <c r="J29" s="49">
        <v>0.04</v>
      </c>
      <c r="K29" s="11">
        <f t="shared" si="3"/>
        <v>35018.120000000003</v>
      </c>
      <c r="L29" s="11">
        <f t="shared" si="4"/>
        <v>35018.120000000003</v>
      </c>
      <c r="M29" s="11">
        <f t="shared" si="5"/>
        <v>70036.240000000005</v>
      </c>
      <c r="N29" s="11">
        <f>I29-M29</f>
        <v>929964.76</v>
      </c>
      <c r="O29" s="11"/>
      <c r="Q29" s="11">
        <v>14000</v>
      </c>
      <c r="R29" t="s">
        <v>268</v>
      </c>
    </row>
    <row r="30" spans="1:18" x14ac:dyDescent="0.35">
      <c r="A30" s="1"/>
      <c r="B30" s="1"/>
      <c r="C30" s="1"/>
      <c r="D30" s="1"/>
      <c r="E30" s="49"/>
      <c r="F30" s="49"/>
      <c r="G30" s="49"/>
      <c r="H30" s="49"/>
      <c r="I30" s="49"/>
      <c r="J30" s="49"/>
      <c r="K30" s="49"/>
      <c r="L30" s="49"/>
      <c r="M30" s="49"/>
      <c r="N30" s="66">
        <f>SUM(N25:N29)</f>
        <v>7463859.0399999991</v>
      </c>
      <c r="O30" s="1"/>
      <c r="Q30" s="77">
        <f>SUM(Q26:Q29)</f>
        <v>7464000</v>
      </c>
      <c r="R30" t="s">
        <v>269</v>
      </c>
    </row>
    <row r="31" spans="1:18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8" x14ac:dyDescent="0.35">
      <c r="N32" s="16"/>
    </row>
    <row r="34" spans="1:15" ht="23.5" x14ac:dyDescent="0.55000000000000004">
      <c r="A34" s="126" t="s">
        <v>166</v>
      </c>
      <c r="B34" s="126"/>
      <c r="C34" s="126"/>
      <c r="D34" s="126"/>
      <c r="E34" s="126"/>
      <c r="F34" s="126"/>
      <c r="G34" s="126"/>
      <c r="H34" s="126"/>
      <c r="I34" s="126"/>
      <c r="J34" s="126"/>
      <c r="K34" s="84"/>
      <c r="L34" s="84"/>
      <c r="M34" s="84"/>
      <c r="N34" s="84"/>
      <c r="O34" s="84"/>
    </row>
    <row r="35" spans="1:15" ht="23.5" x14ac:dyDescent="0.55000000000000004">
      <c r="A35" s="126" t="s">
        <v>310</v>
      </c>
      <c r="B35" s="126"/>
      <c r="C35" s="126"/>
      <c r="D35" s="126"/>
      <c r="E35" s="126"/>
      <c r="F35" s="126"/>
      <c r="G35" s="126"/>
      <c r="H35" s="126"/>
      <c r="I35" s="126"/>
      <c r="J35" s="126"/>
      <c r="K35" s="84"/>
      <c r="L35" s="84"/>
      <c r="M35" s="84"/>
      <c r="N35" s="84"/>
      <c r="O35" s="84"/>
    </row>
    <row r="37" spans="1:15" ht="21" x14ac:dyDescent="0.5">
      <c r="A37" s="127" t="s">
        <v>168</v>
      </c>
      <c r="B37" s="129" t="s">
        <v>169</v>
      </c>
      <c r="C37" s="129" t="s">
        <v>61</v>
      </c>
      <c r="D37" s="129" t="s">
        <v>171</v>
      </c>
      <c r="E37" s="130"/>
      <c r="F37" s="130"/>
      <c r="G37" s="130"/>
      <c r="H37" s="130"/>
      <c r="I37" s="130"/>
      <c r="J37" s="85"/>
      <c r="K37" s="131"/>
      <c r="L37" s="132"/>
      <c r="M37" s="132"/>
      <c r="N37" s="133"/>
      <c r="O37" s="133"/>
    </row>
    <row r="38" spans="1:15" ht="15.5" x14ac:dyDescent="0.35">
      <c r="A38" s="128"/>
      <c r="B38" s="129"/>
      <c r="C38" s="129"/>
      <c r="D38" s="129"/>
      <c r="E38" s="19" t="s">
        <v>311</v>
      </c>
      <c r="F38" s="19" t="s">
        <v>174</v>
      </c>
      <c r="G38" s="19" t="s">
        <v>312</v>
      </c>
      <c r="H38" s="19" t="s">
        <v>313</v>
      </c>
      <c r="I38" s="19" t="s">
        <v>314</v>
      </c>
      <c r="J38" s="65" t="s">
        <v>315</v>
      </c>
      <c r="K38" s="70"/>
      <c r="L38" s="24"/>
      <c r="M38" s="24"/>
      <c r="N38" s="133"/>
      <c r="O38" s="133"/>
    </row>
    <row r="39" spans="1:15" x14ac:dyDescent="0.35">
      <c r="A39" s="1">
        <v>1</v>
      </c>
      <c r="B39" s="1" t="s">
        <v>183</v>
      </c>
      <c r="C39" s="83">
        <v>45839</v>
      </c>
      <c r="D39" s="48">
        <v>180</v>
      </c>
      <c r="E39" s="11">
        <v>5000000</v>
      </c>
      <c r="F39" s="11"/>
      <c r="G39" s="11">
        <f>E39+F39</f>
        <v>5000000</v>
      </c>
      <c r="H39" s="11">
        <f>G39*D39/360</f>
        <v>2500000</v>
      </c>
      <c r="I39" s="11">
        <f>G39*D39*0.12/360</f>
        <v>300000</v>
      </c>
      <c r="J39" s="86" t="s">
        <v>316</v>
      </c>
      <c r="K39" s="87"/>
      <c r="L39" s="16"/>
      <c r="M39" s="16"/>
      <c r="N39" s="16"/>
      <c r="O39" s="16"/>
    </row>
    <row r="40" spans="1:15" x14ac:dyDescent="0.35">
      <c r="A40" s="1">
        <v>2</v>
      </c>
      <c r="B40" s="1" t="s">
        <v>184</v>
      </c>
      <c r="C40" s="83">
        <v>45839</v>
      </c>
      <c r="D40" s="48">
        <v>180</v>
      </c>
      <c r="E40" s="11">
        <v>1423500</v>
      </c>
      <c r="F40" s="11">
        <v>200000</v>
      </c>
      <c r="G40" s="11">
        <f t="shared" ref="G40:G43" si="6">E40+F40</f>
        <v>1623500</v>
      </c>
      <c r="H40" s="11">
        <f t="shared" ref="H40:H43" si="7">G40*D40/360</f>
        <v>811750</v>
      </c>
      <c r="I40" s="11">
        <f t="shared" ref="I40:I43" si="8">G40*D40*0.12/360</f>
        <v>97410</v>
      </c>
      <c r="J40" s="86" t="s">
        <v>317</v>
      </c>
      <c r="K40" s="87"/>
      <c r="L40" s="16"/>
      <c r="M40" s="16"/>
      <c r="N40" s="16"/>
      <c r="O40" s="16"/>
    </row>
    <row r="41" spans="1:15" x14ac:dyDescent="0.35">
      <c r="A41" s="1">
        <v>4</v>
      </c>
      <c r="B41" s="1" t="s">
        <v>185</v>
      </c>
      <c r="C41" s="83">
        <v>45870</v>
      </c>
      <c r="D41" s="48">
        <v>150</v>
      </c>
      <c r="E41" s="11">
        <v>1423500</v>
      </c>
      <c r="F41" s="11">
        <v>200000</v>
      </c>
      <c r="G41" s="11">
        <f t="shared" si="6"/>
        <v>1623500</v>
      </c>
      <c r="H41" s="11">
        <f t="shared" si="7"/>
        <v>676458.33333333337</v>
      </c>
      <c r="I41" s="11">
        <f t="shared" si="8"/>
        <v>81175</v>
      </c>
      <c r="J41" s="86" t="s">
        <v>316</v>
      </c>
      <c r="K41" s="87"/>
      <c r="L41" s="16"/>
      <c r="M41" s="16"/>
      <c r="N41" s="16"/>
      <c r="O41" s="16"/>
    </row>
    <row r="42" spans="1:15" x14ac:dyDescent="0.35">
      <c r="A42" s="1">
        <v>5</v>
      </c>
      <c r="B42" s="1" t="s">
        <v>186</v>
      </c>
      <c r="C42" s="83">
        <v>45870</v>
      </c>
      <c r="D42" s="48">
        <v>150</v>
      </c>
      <c r="E42" s="11">
        <v>1423500</v>
      </c>
      <c r="F42" s="11">
        <v>200000</v>
      </c>
      <c r="G42" s="11">
        <f t="shared" si="6"/>
        <v>1623500</v>
      </c>
      <c r="H42" s="11">
        <f t="shared" si="7"/>
        <v>676458.33333333337</v>
      </c>
      <c r="I42" s="11">
        <f t="shared" si="8"/>
        <v>81175</v>
      </c>
      <c r="J42" s="86" t="s">
        <v>317</v>
      </c>
      <c r="K42" s="87"/>
      <c r="L42" s="16"/>
      <c r="M42" s="16"/>
      <c r="N42" s="16"/>
      <c r="O42" s="16"/>
    </row>
    <row r="43" spans="1:15" x14ac:dyDescent="0.35">
      <c r="A43" s="1">
        <v>6</v>
      </c>
      <c r="B43" s="1" t="s">
        <v>187</v>
      </c>
      <c r="C43" s="83">
        <v>45870</v>
      </c>
      <c r="D43" s="48">
        <v>150</v>
      </c>
      <c r="E43" s="11">
        <v>1423500</v>
      </c>
      <c r="F43" s="11">
        <v>200000</v>
      </c>
      <c r="G43" s="11">
        <f t="shared" si="6"/>
        <v>1623500</v>
      </c>
      <c r="H43" s="11">
        <f t="shared" si="7"/>
        <v>676458.33333333337</v>
      </c>
      <c r="I43" s="11">
        <f t="shared" si="8"/>
        <v>81175</v>
      </c>
      <c r="J43" s="86" t="s">
        <v>316</v>
      </c>
      <c r="K43" s="87"/>
      <c r="L43" s="16"/>
      <c r="M43" s="16"/>
      <c r="N43" s="16"/>
      <c r="O43" s="16"/>
    </row>
    <row r="44" spans="1:15" x14ac:dyDescent="0.35">
      <c r="I44" s="77">
        <f>SUM(I39:I43)</f>
        <v>640935</v>
      </c>
    </row>
    <row r="45" spans="1:15" x14ac:dyDescent="0.35">
      <c r="I45" s="77"/>
    </row>
    <row r="47" spans="1:15" ht="23.5" x14ac:dyDescent="0.55000000000000004">
      <c r="A47" s="126" t="s">
        <v>166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</row>
    <row r="48" spans="1:15" ht="23.5" x14ac:dyDescent="0.55000000000000004">
      <c r="A48" s="126" t="s">
        <v>167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</row>
    <row r="49" spans="1:15" x14ac:dyDescent="0.3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</row>
    <row r="50" spans="1:15" ht="23.5" x14ac:dyDescent="0.55000000000000004">
      <c r="A50" s="126" t="s">
        <v>318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</row>
    <row r="52" spans="1:15" ht="21" x14ac:dyDescent="0.5">
      <c r="A52" s="127" t="s">
        <v>168</v>
      </c>
      <c r="B52" s="129" t="s">
        <v>169</v>
      </c>
      <c r="C52" s="129" t="s">
        <v>170</v>
      </c>
      <c r="D52" s="129" t="s">
        <v>171</v>
      </c>
      <c r="E52" s="130" t="s">
        <v>181</v>
      </c>
      <c r="F52" s="130"/>
      <c r="G52" s="130"/>
      <c r="H52" s="130"/>
      <c r="I52" s="130"/>
      <c r="J52" s="74"/>
      <c r="K52" s="130" t="s">
        <v>182</v>
      </c>
      <c r="L52" s="130"/>
      <c r="M52" s="130"/>
      <c r="N52" s="129" t="s">
        <v>179</v>
      </c>
      <c r="O52" s="129" t="s">
        <v>180</v>
      </c>
    </row>
    <row r="53" spans="1:15" ht="15.5" x14ac:dyDescent="0.35">
      <c r="A53" s="128"/>
      <c r="B53" s="129"/>
      <c r="C53" s="129"/>
      <c r="D53" s="129"/>
      <c r="E53" s="19" t="s">
        <v>172</v>
      </c>
      <c r="F53" s="19" t="s">
        <v>173</v>
      </c>
      <c r="G53" s="19" t="s">
        <v>225</v>
      </c>
      <c r="H53" s="19" t="s">
        <v>174</v>
      </c>
      <c r="I53" s="19" t="s">
        <v>175</v>
      </c>
      <c r="J53" s="44" t="s">
        <v>226</v>
      </c>
      <c r="K53" s="19" t="s">
        <v>176</v>
      </c>
      <c r="L53" s="19" t="s">
        <v>177</v>
      </c>
      <c r="M53" s="19" t="s">
        <v>178</v>
      </c>
      <c r="N53" s="129"/>
      <c r="O53" s="129"/>
    </row>
    <row r="54" spans="1:15" x14ac:dyDescent="0.35">
      <c r="A54" s="1">
        <v>1</v>
      </c>
      <c r="B54" s="1" t="s">
        <v>183</v>
      </c>
      <c r="C54" s="48" t="s">
        <v>188</v>
      </c>
      <c r="D54" s="48">
        <v>15</v>
      </c>
      <c r="E54" s="11">
        <v>5000000</v>
      </c>
      <c r="F54" s="11">
        <v>2500000</v>
      </c>
      <c r="G54" s="11">
        <v>500000</v>
      </c>
      <c r="H54" s="49"/>
      <c r="I54" s="49">
        <f>F54+G54</f>
        <v>3000000</v>
      </c>
      <c r="J54" s="49">
        <v>0.04</v>
      </c>
      <c r="K54" s="11">
        <f>F54*J54</f>
        <v>100000</v>
      </c>
      <c r="L54" s="11">
        <f>F54*J54</f>
        <v>100000</v>
      </c>
      <c r="M54" s="11">
        <f>L54+K54</f>
        <v>200000</v>
      </c>
      <c r="N54" s="11">
        <f>I54-M54</f>
        <v>2800000</v>
      </c>
      <c r="O54" s="11"/>
    </row>
    <row r="55" spans="1:15" x14ac:dyDescent="0.35">
      <c r="A55" s="1">
        <v>2</v>
      </c>
      <c r="B55" s="1" t="s">
        <v>184</v>
      </c>
      <c r="C55" s="48" t="s">
        <v>188</v>
      </c>
      <c r="D55" s="48">
        <v>15</v>
      </c>
      <c r="E55" s="11">
        <v>3150905</v>
      </c>
      <c r="F55" s="11">
        <v>1575453</v>
      </c>
      <c r="G55" s="11"/>
      <c r="H55" s="11">
        <v>124548</v>
      </c>
      <c r="I55" s="49">
        <f>F55+H55</f>
        <v>1700001</v>
      </c>
      <c r="J55" s="49">
        <v>0.04</v>
      </c>
      <c r="K55" s="11">
        <f t="shared" ref="K55:K58" si="9">F55*J55</f>
        <v>63018.12</v>
      </c>
      <c r="L55" s="11">
        <f t="shared" ref="L55:L58" si="10">F55*J55</f>
        <v>63018.12</v>
      </c>
      <c r="M55" s="11">
        <f t="shared" ref="M55:M58" si="11">L55+K55</f>
        <v>126036.24</v>
      </c>
      <c r="N55" s="11">
        <f>I55-M55</f>
        <v>1573964.76</v>
      </c>
      <c r="O55" s="11"/>
    </row>
    <row r="56" spans="1:15" x14ac:dyDescent="0.35">
      <c r="A56" s="1">
        <v>4</v>
      </c>
      <c r="B56" s="1" t="s">
        <v>185</v>
      </c>
      <c r="C56" s="48" t="s">
        <v>188</v>
      </c>
      <c r="D56" s="48">
        <v>15</v>
      </c>
      <c r="E56" s="11">
        <v>1750095</v>
      </c>
      <c r="F56" s="11">
        <v>875453</v>
      </c>
      <c r="G56" s="11">
        <v>150000</v>
      </c>
      <c r="H56" s="11">
        <v>124548</v>
      </c>
      <c r="I56" s="49">
        <f>F56+G56+H56</f>
        <v>1150001</v>
      </c>
      <c r="J56" s="49">
        <v>0.04</v>
      </c>
      <c r="K56" s="11">
        <f t="shared" si="9"/>
        <v>35018.120000000003</v>
      </c>
      <c r="L56" s="11">
        <f t="shared" si="10"/>
        <v>35018.120000000003</v>
      </c>
      <c r="M56" s="11">
        <f t="shared" si="11"/>
        <v>70036.240000000005</v>
      </c>
      <c r="N56" s="11">
        <f>I56-M56</f>
        <v>1079964.76</v>
      </c>
      <c r="O56" s="11"/>
    </row>
    <row r="57" spans="1:15" x14ac:dyDescent="0.35">
      <c r="A57" s="1">
        <v>5</v>
      </c>
      <c r="B57" s="1" t="s">
        <v>186</v>
      </c>
      <c r="C57" s="48" t="s">
        <v>188</v>
      </c>
      <c r="D57" s="48">
        <v>15</v>
      </c>
      <c r="E57" s="11">
        <v>1750095</v>
      </c>
      <c r="F57" s="11">
        <v>875453</v>
      </c>
      <c r="G57" s="11">
        <v>150000</v>
      </c>
      <c r="H57" s="11">
        <v>124548</v>
      </c>
      <c r="I57" s="49">
        <f>F57+G57+H57</f>
        <v>1150001</v>
      </c>
      <c r="J57" s="49">
        <v>0.04</v>
      </c>
      <c r="K57" s="11">
        <f t="shared" si="9"/>
        <v>35018.120000000003</v>
      </c>
      <c r="L57" s="11">
        <f t="shared" si="10"/>
        <v>35018.120000000003</v>
      </c>
      <c r="M57" s="11">
        <f t="shared" si="11"/>
        <v>70036.240000000005</v>
      </c>
      <c r="N57" s="11">
        <f>I57-M57</f>
        <v>1079964.76</v>
      </c>
      <c r="O57" s="11"/>
    </row>
    <row r="58" spans="1:15" x14ac:dyDescent="0.35">
      <c r="A58" s="1">
        <v>6</v>
      </c>
      <c r="B58" s="1" t="s">
        <v>187</v>
      </c>
      <c r="C58" s="48" t="s">
        <v>188</v>
      </c>
      <c r="D58" s="48">
        <v>15</v>
      </c>
      <c r="E58" s="11">
        <v>1750095</v>
      </c>
      <c r="F58" s="11">
        <v>875453</v>
      </c>
      <c r="G58" s="49"/>
      <c r="H58" s="11">
        <v>124548</v>
      </c>
      <c r="I58" s="49">
        <f>F58+H58</f>
        <v>1000001</v>
      </c>
      <c r="J58" s="49">
        <v>0.04</v>
      </c>
      <c r="K58" s="11">
        <f t="shared" si="9"/>
        <v>35018.120000000003</v>
      </c>
      <c r="L58" s="11">
        <f t="shared" si="10"/>
        <v>35018.120000000003</v>
      </c>
      <c r="M58" s="11">
        <f t="shared" si="11"/>
        <v>70036.240000000005</v>
      </c>
      <c r="N58" s="11">
        <f>I58-M58</f>
        <v>929964.76</v>
      </c>
      <c r="O58" s="11"/>
    </row>
    <row r="59" spans="1:15" x14ac:dyDescent="0.35">
      <c r="A59" s="1"/>
      <c r="B59" s="1"/>
      <c r="C59" s="1"/>
      <c r="D59" s="1"/>
      <c r="E59" s="49"/>
      <c r="F59" s="49"/>
      <c r="G59" s="49"/>
      <c r="H59" s="49"/>
      <c r="I59" s="49"/>
      <c r="J59" s="49"/>
      <c r="K59" s="49"/>
      <c r="L59" s="49"/>
      <c r="M59" s="49"/>
      <c r="N59" s="66">
        <f>SUM(N54:N58)</f>
        <v>7463859.0399999991</v>
      </c>
      <c r="O59" s="1"/>
    </row>
    <row r="60" spans="1:1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3" spans="1:15" ht="23.5" x14ac:dyDescent="0.55000000000000004">
      <c r="A63" s="126" t="s">
        <v>166</v>
      </c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</row>
    <row r="64" spans="1:15" ht="23.5" x14ac:dyDescent="0.55000000000000004">
      <c r="A64" s="126" t="s">
        <v>167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</row>
    <row r="65" spans="1:18" x14ac:dyDescent="0.3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1:18" ht="23.5" x14ac:dyDescent="0.55000000000000004">
      <c r="A66" s="126" t="s">
        <v>342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</row>
    <row r="68" spans="1:18" ht="21" x14ac:dyDescent="0.5">
      <c r="A68" s="127" t="s">
        <v>168</v>
      </c>
      <c r="B68" s="129" t="s">
        <v>169</v>
      </c>
      <c r="C68" s="129" t="s">
        <v>170</v>
      </c>
      <c r="D68" s="129" t="s">
        <v>171</v>
      </c>
      <c r="E68" s="130" t="s">
        <v>181</v>
      </c>
      <c r="F68" s="130"/>
      <c r="G68" s="130"/>
      <c r="H68" s="130"/>
      <c r="I68" s="130"/>
      <c r="J68" s="74"/>
      <c r="K68" s="130" t="s">
        <v>182</v>
      </c>
      <c r="L68" s="130"/>
      <c r="M68" s="130"/>
      <c r="N68" s="129" t="s">
        <v>179</v>
      </c>
      <c r="O68" s="129" t="s">
        <v>180</v>
      </c>
    </row>
    <row r="69" spans="1:18" ht="15.5" x14ac:dyDescent="0.35">
      <c r="A69" s="128"/>
      <c r="B69" s="129"/>
      <c r="C69" s="129"/>
      <c r="D69" s="129"/>
      <c r="E69" s="19" t="s">
        <v>172</v>
      </c>
      <c r="F69" s="19" t="s">
        <v>173</v>
      </c>
      <c r="G69" s="19" t="s">
        <v>225</v>
      </c>
      <c r="H69" s="19" t="s">
        <v>174</v>
      </c>
      <c r="I69" s="19" t="s">
        <v>175</v>
      </c>
      <c r="J69" s="44" t="s">
        <v>226</v>
      </c>
      <c r="K69" s="19" t="s">
        <v>176</v>
      </c>
      <c r="L69" s="19" t="s">
        <v>177</v>
      </c>
      <c r="M69" s="19" t="s">
        <v>178</v>
      </c>
      <c r="N69" s="129"/>
      <c r="O69" s="129"/>
    </row>
    <row r="70" spans="1:18" x14ac:dyDescent="0.35">
      <c r="A70" s="1">
        <v>1</v>
      </c>
      <c r="B70" s="1" t="s">
        <v>183</v>
      </c>
      <c r="C70" s="48" t="s">
        <v>188</v>
      </c>
      <c r="D70" s="48">
        <v>15</v>
      </c>
      <c r="E70" s="11">
        <v>5000000</v>
      </c>
      <c r="F70" s="11">
        <v>2500000</v>
      </c>
      <c r="G70" s="11">
        <v>500000</v>
      </c>
      <c r="H70" s="49"/>
      <c r="I70" s="49">
        <f>F70+G70</f>
        <v>3000000</v>
      </c>
      <c r="J70" s="49">
        <v>0.04</v>
      </c>
      <c r="K70" s="11">
        <f>F70*J70</f>
        <v>100000</v>
      </c>
      <c r="L70" s="11">
        <f>F70*J70</f>
        <v>100000</v>
      </c>
      <c r="M70" s="11">
        <f>L70+K70</f>
        <v>200000</v>
      </c>
      <c r="N70" s="11">
        <f>I70-M70</f>
        <v>2800000</v>
      </c>
      <c r="O70" s="11"/>
      <c r="R70" s="11"/>
    </row>
    <row r="71" spans="1:18" x14ac:dyDescent="0.35">
      <c r="A71" s="1">
        <v>2</v>
      </c>
      <c r="B71" s="1" t="s">
        <v>184</v>
      </c>
      <c r="C71" s="48" t="s">
        <v>188</v>
      </c>
      <c r="D71" s="48">
        <v>15</v>
      </c>
      <c r="E71" s="11">
        <v>3150905</v>
      </c>
      <c r="F71" s="11">
        <v>1575453</v>
      </c>
      <c r="G71" s="11"/>
      <c r="H71" s="11">
        <v>124548</v>
      </c>
      <c r="I71" s="49">
        <f>F71+H71</f>
        <v>1700001</v>
      </c>
      <c r="J71" s="49">
        <v>0.04</v>
      </c>
      <c r="K71" s="11">
        <f t="shared" ref="K71:K74" si="12">F71*J71</f>
        <v>63018.12</v>
      </c>
      <c r="L71" s="11">
        <f t="shared" ref="L71:L74" si="13">F71*J71</f>
        <v>63018.12</v>
      </c>
      <c r="M71" s="11">
        <f t="shared" ref="M71:M74" si="14">L71+K71</f>
        <v>126036.24</v>
      </c>
      <c r="N71" s="11">
        <f>I71-M71</f>
        <v>1573964.76</v>
      </c>
      <c r="O71" s="11"/>
      <c r="Q71" t="s">
        <v>102</v>
      </c>
      <c r="R71" s="11">
        <v>2700000</v>
      </c>
    </row>
    <row r="72" spans="1:18" x14ac:dyDescent="0.35">
      <c r="A72" s="1">
        <v>4</v>
      </c>
      <c r="B72" s="1" t="s">
        <v>185</v>
      </c>
      <c r="C72" s="48" t="s">
        <v>188</v>
      </c>
      <c r="D72" s="48">
        <v>15</v>
      </c>
      <c r="E72" s="11">
        <v>1750095</v>
      </c>
      <c r="F72" s="11">
        <v>875453</v>
      </c>
      <c r="G72" s="11">
        <v>150000</v>
      </c>
      <c r="H72" s="11">
        <v>124548</v>
      </c>
      <c r="I72" s="49">
        <f>F72+G72+H72</f>
        <v>1150001</v>
      </c>
      <c r="J72" s="49">
        <v>0.04</v>
      </c>
      <c r="K72" s="11">
        <f t="shared" si="12"/>
        <v>35018.120000000003</v>
      </c>
      <c r="L72" s="11">
        <f t="shared" si="13"/>
        <v>35018.120000000003</v>
      </c>
      <c r="M72" s="11">
        <f t="shared" si="14"/>
        <v>70036.240000000005</v>
      </c>
      <c r="N72" s="11">
        <f>I72-M72</f>
        <v>1079964.76</v>
      </c>
      <c r="O72" s="11" t="s">
        <v>345</v>
      </c>
      <c r="Q72" t="s">
        <v>343</v>
      </c>
      <c r="R72" s="11">
        <v>2700000</v>
      </c>
    </row>
    <row r="73" spans="1:18" x14ac:dyDescent="0.35">
      <c r="A73" s="1">
        <v>5</v>
      </c>
      <c r="B73" s="1" t="s">
        <v>186</v>
      </c>
      <c r="C73" s="48" t="s">
        <v>188</v>
      </c>
      <c r="D73" s="48">
        <v>15</v>
      </c>
      <c r="E73" s="11">
        <v>1750095</v>
      </c>
      <c r="F73" s="11">
        <v>875453</v>
      </c>
      <c r="G73" s="11">
        <v>150000</v>
      </c>
      <c r="H73" s="11">
        <v>124548</v>
      </c>
      <c r="I73" s="49">
        <f>F73+G73+H73</f>
        <v>1150001</v>
      </c>
      <c r="J73" s="49">
        <v>0.04</v>
      </c>
      <c r="K73" s="11">
        <f t="shared" si="12"/>
        <v>35018.120000000003</v>
      </c>
      <c r="L73" s="11">
        <f t="shared" si="13"/>
        <v>35018.120000000003</v>
      </c>
      <c r="M73" s="11">
        <f t="shared" si="14"/>
        <v>70036.240000000005</v>
      </c>
      <c r="N73" s="11">
        <f>I73-M73</f>
        <v>1079964.76</v>
      </c>
      <c r="O73" s="11" t="s">
        <v>346</v>
      </c>
      <c r="Q73" t="s">
        <v>344</v>
      </c>
      <c r="R73" s="11">
        <v>2063859</v>
      </c>
    </row>
    <row r="74" spans="1:18" x14ac:dyDescent="0.35">
      <c r="A74" s="1">
        <v>6</v>
      </c>
      <c r="B74" s="1" t="s">
        <v>187</v>
      </c>
      <c r="C74" s="48" t="s">
        <v>188</v>
      </c>
      <c r="D74" s="48">
        <v>15</v>
      </c>
      <c r="E74" s="11">
        <v>1750095</v>
      </c>
      <c r="F74" s="11">
        <v>875453</v>
      </c>
      <c r="G74" s="49"/>
      <c r="H74" s="11">
        <v>124548</v>
      </c>
      <c r="I74" s="49">
        <f>F74+H74</f>
        <v>1000001</v>
      </c>
      <c r="J74" s="49">
        <v>0.04</v>
      </c>
      <c r="K74" s="11">
        <f t="shared" si="12"/>
        <v>35018.120000000003</v>
      </c>
      <c r="L74" s="11">
        <f t="shared" si="13"/>
        <v>35018.120000000003</v>
      </c>
      <c r="M74" s="11">
        <f t="shared" si="14"/>
        <v>70036.240000000005</v>
      </c>
      <c r="N74" s="11">
        <f>I74-M74</f>
        <v>929964.76</v>
      </c>
      <c r="O74" s="11"/>
      <c r="R74" s="77">
        <f>SUM(R71:R73)</f>
        <v>7463859</v>
      </c>
    </row>
    <row r="75" spans="1:18" x14ac:dyDescent="0.35">
      <c r="A75" s="1"/>
      <c r="B75" s="1"/>
      <c r="C75" s="1"/>
      <c r="D75" s="1"/>
      <c r="E75" s="49"/>
      <c r="F75" s="49"/>
      <c r="G75" s="49"/>
      <c r="H75" s="49"/>
      <c r="I75" s="49"/>
      <c r="J75" s="49"/>
      <c r="K75" s="49"/>
      <c r="L75" s="49"/>
      <c r="M75" s="49"/>
      <c r="N75" s="66">
        <f>SUM(N70:N74)</f>
        <v>7463859.0399999991</v>
      </c>
      <c r="O75" s="1"/>
    </row>
    <row r="76" spans="1:18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9" spans="1:18" ht="23.5" x14ac:dyDescent="0.55000000000000004">
      <c r="A79" s="126" t="s">
        <v>166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</row>
    <row r="80" spans="1:18" ht="23.5" x14ac:dyDescent="0.55000000000000004">
      <c r="A80" s="126" t="s">
        <v>167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</row>
    <row r="81" spans="1:18" x14ac:dyDescent="0.3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</row>
    <row r="82" spans="1:18" ht="23.5" x14ac:dyDescent="0.55000000000000004">
      <c r="A82" s="126" t="s">
        <v>373</v>
      </c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</row>
    <row r="84" spans="1:18" ht="21" x14ac:dyDescent="0.5">
      <c r="A84" s="127" t="s">
        <v>168</v>
      </c>
      <c r="B84" s="129" t="s">
        <v>169</v>
      </c>
      <c r="C84" s="129" t="s">
        <v>170</v>
      </c>
      <c r="D84" s="129" t="s">
        <v>171</v>
      </c>
      <c r="E84" s="130" t="s">
        <v>181</v>
      </c>
      <c r="F84" s="130"/>
      <c r="G84" s="130"/>
      <c r="H84" s="130"/>
      <c r="I84" s="130"/>
      <c r="J84" s="74"/>
      <c r="K84" s="130" t="s">
        <v>182</v>
      </c>
      <c r="L84" s="130"/>
      <c r="M84" s="130"/>
      <c r="N84" s="129" t="s">
        <v>179</v>
      </c>
      <c r="O84" s="129" t="s">
        <v>180</v>
      </c>
    </row>
    <row r="85" spans="1:18" ht="15.5" x14ac:dyDescent="0.35">
      <c r="A85" s="128"/>
      <c r="B85" s="129"/>
      <c r="C85" s="129"/>
      <c r="D85" s="129"/>
      <c r="E85" s="19" t="s">
        <v>172</v>
      </c>
      <c r="F85" s="19" t="s">
        <v>173</v>
      </c>
      <c r="G85" s="19" t="s">
        <v>225</v>
      </c>
      <c r="H85" s="19" t="s">
        <v>174</v>
      </c>
      <c r="I85" s="19" t="s">
        <v>175</v>
      </c>
      <c r="J85" s="44" t="s">
        <v>226</v>
      </c>
      <c r="K85" s="19" t="s">
        <v>176</v>
      </c>
      <c r="L85" s="19" t="s">
        <v>177</v>
      </c>
      <c r="M85" s="19" t="s">
        <v>178</v>
      </c>
      <c r="N85" s="129"/>
      <c r="O85" s="129"/>
    </row>
    <row r="86" spans="1:18" x14ac:dyDescent="0.35">
      <c r="A86" s="1">
        <v>1</v>
      </c>
      <c r="B86" s="1" t="s">
        <v>183</v>
      </c>
      <c r="C86" s="48" t="s">
        <v>188</v>
      </c>
      <c r="D86" s="48">
        <v>15</v>
      </c>
      <c r="E86" s="11">
        <v>5000000</v>
      </c>
      <c r="F86" s="11">
        <v>2500000</v>
      </c>
      <c r="G86" s="11">
        <v>500000</v>
      </c>
      <c r="H86" s="49"/>
      <c r="I86" s="49">
        <f>F86+G86</f>
        <v>3000000</v>
      </c>
      <c r="J86" s="49">
        <v>0.04</v>
      </c>
      <c r="K86" s="11">
        <f>F86*J86</f>
        <v>100000</v>
      </c>
      <c r="L86" s="11">
        <f>F86*J86</f>
        <v>100000</v>
      </c>
      <c r="M86" s="11">
        <f>L86+K86</f>
        <v>200000</v>
      </c>
      <c r="N86" s="11">
        <f>I86-M86</f>
        <v>2800000</v>
      </c>
      <c r="O86" s="11"/>
      <c r="Q86" t="s">
        <v>195</v>
      </c>
    </row>
    <row r="87" spans="1:18" x14ac:dyDescent="0.35">
      <c r="A87" s="1">
        <v>2</v>
      </c>
      <c r="B87" s="1" t="s">
        <v>184</v>
      </c>
      <c r="C87" s="48" t="s">
        <v>188</v>
      </c>
      <c r="D87" s="48">
        <v>15</v>
      </c>
      <c r="E87" s="11">
        <v>3150905</v>
      </c>
      <c r="F87" s="11">
        <v>1575453</v>
      </c>
      <c r="G87" s="11"/>
      <c r="H87" s="11">
        <v>124548</v>
      </c>
      <c r="I87" s="49">
        <f>F87+H87</f>
        <v>1700001</v>
      </c>
      <c r="J87" s="49">
        <v>0.04</v>
      </c>
      <c r="K87" s="11">
        <f t="shared" ref="K87:K90" si="15">F87*J87</f>
        <v>63018.12</v>
      </c>
      <c r="L87" s="11">
        <f t="shared" ref="L87:L90" si="16">F87*J87</f>
        <v>63018.12</v>
      </c>
      <c r="M87" s="11">
        <f t="shared" ref="M87:M90" si="17">L87+K87</f>
        <v>126036.24</v>
      </c>
      <c r="N87" s="11">
        <f>I87-M87</f>
        <v>1573964.76</v>
      </c>
      <c r="O87" s="11"/>
      <c r="Q87" s="77">
        <f>N91</f>
        <v>7463859.0399999991</v>
      </c>
    </row>
    <row r="88" spans="1:18" x14ac:dyDescent="0.35">
      <c r="A88" s="1">
        <v>4</v>
      </c>
      <c r="B88" s="1" t="s">
        <v>185</v>
      </c>
      <c r="C88" s="48" t="s">
        <v>188</v>
      </c>
      <c r="D88" s="48">
        <v>15</v>
      </c>
      <c r="E88" s="11">
        <v>1750095</v>
      </c>
      <c r="F88" s="11">
        <v>875453</v>
      </c>
      <c r="G88" s="11">
        <v>150000</v>
      </c>
      <c r="H88" s="11">
        <v>124548</v>
      </c>
      <c r="I88" s="49">
        <f>F88+G88+H88</f>
        <v>1150001</v>
      </c>
      <c r="J88" s="49">
        <v>0.04</v>
      </c>
      <c r="K88" s="11">
        <f t="shared" si="15"/>
        <v>35018.120000000003</v>
      </c>
      <c r="L88" s="11">
        <f t="shared" si="16"/>
        <v>35018.120000000003</v>
      </c>
      <c r="M88" s="11">
        <f t="shared" si="17"/>
        <v>70036.240000000005</v>
      </c>
      <c r="N88" s="11">
        <f>I88-M88</f>
        <v>1079964.76</v>
      </c>
      <c r="O88" s="11"/>
      <c r="Q88" s="16">
        <v>1473000</v>
      </c>
      <c r="R88" t="s">
        <v>374</v>
      </c>
    </row>
    <row r="89" spans="1:18" x14ac:dyDescent="0.35">
      <c r="A89" s="1">
        <v>5</v>
      </c>
      <c r="B89" s="1" t="s">
        <v>186</v>
      </c>
      <c r="C89" s="48" t="s">
        <v>188</v>
      </c>
      <c r="D89" s="48">
        <v>15</v>
      </c>
      <c r="E89" s="11">
        <v>1750095</v>
      </c>
      <c r="F89" s="11">
        <v>875453</v>
      </c>
      <c r="G89" s="11">
        <v>150000</v>
      </c>
      <c r="H89" s="11">
        <v>124548</v>
      </c>
      <c r="I89" s="49">
        <f>F89+G89+H89</f>
        <v>1150001</v>
      </c>
      <c r="J89" s="49">
        <v>0.04</v>
      </c>
      <c r="K89" s="11">
        <f t="shared" si="15"/>
        <v>35018.120000000003</v>
      </c>
      <c r="L89" s="11">
        <f t="shared" si="16"/>
        <v>35018.120000000003</v>
      </c>
      <c r="M89" s="11">
        <f t="shared" si="17"/>
        <v>70036.240000000005</v>
      </c>
      <c r="N89" s="11">
        <f>I89-M89</f>
        <v>1079964.76</v>
      </c>
      <c r="O89" s="11"/>
      <c r="Q89" s="16">
        <v>3200000</v>
      </c>
      <c r="R89" t="s">
        <v>375</v>
      </c>
    </row>
    <row r="90" spans="1:18" x14ac:dyDescent="0.35">
      <c r="A90" s="1">
        <v>6</v>
      </c>
      <c r="B90" s="1" t="s">
        <v>187</v>
      </c>
      <c r="C90" s="48" t="s">
        <v>188</v>
      </c>
      <c r="D90" s="48">
        <v>15</v>
      </c>
      <c r="E90" s="11">
        <v>1750095</v>
      </c>
      <c r="F90" s="11">
        <v>875453</v>
      </c>
      <c r="G90" s="49"/>
      <c r="H90" s="11">
        <v>124548</v>
      </c>
      <c r="I90" s="49">
        <f>F90+H90</f>
        <v>1000001</v>
      </c>
      <c r="J90" s="49">
        <v>0.04</v>
      </c>
      <c r="K90" s="11">
        <f t="shared" si="15"/>
        <v>35018.120000000003</v>
      </c>
      <c r="L90" s="11">
        <f t="shared" si="16"/>
        <v>35018.120000000003</v>
      </c>
      <c r="M90" s="11">
        <f t="shared" si="17"/>
        <v>70036.240000000005</v>
      </c>
      <c r="N90" s="11">
        <f>I90-M90</f>
        <v>929964.76</v>
      </c>
      <c r="O90" s="11"/>
      <c r="Q90" s="16">
        <v>2790859</v>
      </c>
      <c r="R90" t="s">
        <v>376</v>
      </c>
    </row>
    <row r="91" spans="1:18" x14ac:dyDescent="0.35">
      <c r="A91" s="1"/>
      <c r="B91" s="1"/>
      <c r="C91" s="1"/>
      <c r="D91" s="1"/>
      <c r="E91" s="49"/>
      <c r="F91" s="49"/>
      <c r="G91" s="49"/>
      <c r="H91" s="49"/>
      <c r="I91" s="49"/>
      <c r="J91" s="49"/>
      <c r="K91" s="49"/>
      <c r="L91" s="49"/>
      <c r="M91" s="49"/>
      <c r="N91" s="66">
        <f>SUM(N86:N90)</f>
        <v>7463859.0399999991</v>
      </c>
      <c r="O91" s="1"/>
      <c r="Q91" s="77">
        <f>SUM(Q88:Q90)</f>
        <v>7463859</v>
      </c>
    </row>
    <row r="92" spans="1:18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Q92" s="16"/>
    </row>
    <row r="95" spans="1:18" ht="23.5" x14ac:dyDescent="0.55000000000000004">
      <c r="A95" s="126" t="s">
        <v>166</v>
      </c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</row>
    <row r="96" spans="1:18" ht="23.5" x14ac:dyDescent="0.55000000000000004">
      <c r="A96" s="126" t="s">
        <v>167</v>
      </c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</row>
    <row r="97" spans="1:18" x14ac:dyDescent="0.3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</row>
    <row r="98" spans="1:18" ht="23.5" x14ac:dyDescent="0.55000000000000004">
      <c r="A98" s="126" t="s">
        <v>381</v>
      </c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</row>
    <row r="100" spans="1:18" ht="21" x14ac:dyDescent="0.5">
      <c r="A100" s="127" t="s">
        <v>168</v>
      </c>
      <c r="B100" s="129" t="s">
        <v>169</v>
      </c>
      <c r="C100" s="129" t="s">
        <v>170</v>
      </c>
      <c r="D100" s="129" t="s">
        <v>171</v>
      </c>
      <c r="E100" s="130" t="s">
        <v>181</v>
      </c>
      <c r="F100" s="130"/>
      <c r="G100" s="130"/>
      <c r="H100" s="130"/>
      <c r="I100" s="130"/>
      <c r="J100" s="74"/>
      <c r="K100" s="130" t="s">
        <v>182</v>
      </c>
      <c r="L100" s="130"/>
      <c r="M100" s="130"/>
      <c r="N100" s="129" t="s">
        <v>179</v>
      </c>
      <c r="O100" s="129" t="s">
        <v>180</v>
      </c>
    </row>
    <row r="101" spans="1:18" ht="15.5" x14ac:dyDescent="0.35">
      <c r="A101" s="128"/>
      <c r="B101" s="129"/>
      <c r="C101" s="129"/>
      <c r="D101" s="129"/>
      <c r="E101" s="19" t="s">
        <v>172</v>
      </c>
      <c r="F101" s="19" t="s">
        <v>173</v>
      </c>
      <c r="G101" s="19" t="s">
        <v>225</v>
      </c>
      <c r="H101" s="19" t="s">
        <v>174</v>
      </c>
      <c r="I101" s="19" t="s">
        <v>175</v>
      </c>
      <c r="J101" s="44" t="s">
        <v>226</v>
      </c>
      <c r="K101" s="19" t="s">
        <v>176</v>
      </c>
      <c r="L101" s="19" t="s">
        <v>177</v>
      </c>
      <c r="M101" s="19" t="s">
        <v>178</v>
      </c>
      <c r="N101" s="129"/>
      <c r="O101" s="129"/>
    </row>
    <row r="102" spans="1:18" x14ac:dyDescent="0.35">
      <c r="A102" s="1">
        <v>1</v>
      </c>
      <c r="B102" s="1" t="s">
        <v>183</v>
      </c>
      <c r="C102" s="48" t="s">
        <v>188</v>
      </c>
      <c r="D102" s="48">
        <v>15</v>
      </c>
      <c r="E102" s="11">
        <v>5000000</v>
      </c>
      <c r="F102" s="11">
        <v>2500000</v>
      </c>
      <c r="G102" s="11">
        <v>500000</v>
      </c>
      <c r="H102" s="49"/>
      <c r="I102" s="49">
        <f>F102+G102</f>
        <v>3000000</v>
      </c>
      <c r="J102" s="49">
        <v>0.04</v>
      </c>
      <c r="K102" s="11">
        <f>F102*J102</f>
        <v>100000</v>
      </c>
      <c r="L102" s="11">
        <f>F102*J102</f>
        <v>100000</v>
      </c>
      <c r="M102" s="11">
        <f>L102+K102</f>
        <v>200000</v>
      </c>
      <c r="N102" s="11">
        <f>I102-M102</f>
        <v>2800000</v>
      </c>
      <c r="O102" s="11"/>
    </row>
    <row r="103" spans="1:18" x14ac:dyDescent="0.35">
      <c r="A103" s="1">
        <v>2</v>
      </c>
      <c r="B103" s="1" t="s">
        <v>184</v>
      </c>
      <c r="C103" s="48" t="s">
        <v>188</v>
      </c>
      <c r="D103" s="48">
        <v>15</v>
      </c>
      <c r="E103" s="11">
        <v>3150905</v>
      </c>
      <c r="F103" s="11">
        <v>1575453</v>
      </c>
      <c r="G103" s="11"/>
      <c r="H103" s="11">
        <v>124548</v>
      </c>
      <c r="I103" s="49">
        <f>F103+H103</f>
        <v>1700001</v>
      </c>
      <c r="J103" s="49">
        <v>0.04</v>
      </c>
      <c r="K103" s="11">
        <f t="shared" ref="K103:K106" si="18">F103*J103</f>
        <v>63018.12</v>
      </c>
      <c r="L103" s="11">
        <f t="shared" ref="L103:L106" si="19">F103*J103</f>
        <v>63018.12</v>
      </c>
      <c r="M103" s="11">
        <f t="shared" ref="M103:M106" si="20">L103+K103</f>
        <v>126036.24</v>
      </c>
      <c r="N103" s="11">
        <f>I103-M103</f>
        <v>1573964.76</v>
      </c>
      <c r="O103" s="11"/>
      <c r="Q103" s="17" t="s">
        <v>195</v>
      </c>
    </row>
    <row r="104" spans="1:18" x14ac:dyDescent="0.35">
      <c r="A104" s="1">
        <v>4</v>
      </c>
      <c r="B104" s="1" t="s">
        <v>185</v>
      </c>
      <c r="C104" s="48" t="s">
        <v>188</v>
      </c>
      <c r="D104" s="48">
        <v>15</v>
      </c>
      <c r="E104" s="11">
        <v>1750095</v>
      </c>
      <c r="F104" s="11">
        <v>875453</v>
      </c>
      <c r="G104" s="11">
        <v>150000</v>
      </c>
      <c r="H104" s="11">
        <v>124548</v>
      </c>
      <c r="I104" s="49">
        <f>F104+G104+H104</f>
        <v>1150001</v>
      </c>
      <c r="J104" s="49">
        <v>0.04</v>
      </c>
      <c r="K104" s="11">
        <f t="shared" si="18"/>
        <v>35018.120000000003</v>
      </c>
      <c r="L104" s="11">
        <f t="shared" si="19"/>
        <v>35018.120000000003</v>
      </c>
      <c r="M104" s="11">
        <f t="shared" si="20"/>
        <v>70036.240000000005</v>
      </c>
      <c r="N104" s="11">
        <f>I104-M104</f>
        <v>1079964.76</v>
      </c>
      <c r="O104" s="11"/>
      <c r="Q104" s="77">
        <f>N107</f>
        <v>7463859.0399999991</v>
      </c>
    </row>
    <row r="105" spans="1:18" x14ac:dyDescent="0.35">
      <c r="A105" s="1">
        <v>5</v>
      </c>
      <c r="B105" s="1" t="s">
        <v>186</v>
      </c>
      <c r="C105" s="48" t="s">
        <v>188</v>
      </c>
      <c r="D105" s="48">
        <v>15</v>
      </c>
      <c r="E105" s="11">
        <v>1750095</v>
      </c>
      <c r="F105" s="11">
        <v>875453</v>
      </c>
      <c r="G105" s="11">
        <v>150000</v>
      </c>
      <c r="H105" s="11">
        <v>124548</v>
      </c>
      <c r="I105" s="49">
        <f>F105+G105+H105</f>
        <v>1150001</v>
      </c>
      <c r="J105" s="49">
        <v>0.04</v>
      </c>
      <c r="K105" s="11">
        <f t="shared" si="18"/>
        <v>35018.120000000003</v>
      </c>
      <c r="L105" s="11">
        <f t="shared" si="19"/>
        <v>35018.120000000003</v>
      </c>
      <c r="M105" s="11">
        <f t="shared" si="20"/>
        <v>70036.240000000005</v>
      </c>
      <c r="N105" s="11">
        <f>I105-M105</f>
        <v>1079964.76</v>
      </c>
      <c r="O105" s="11"/>
      <c r="Q105" s="34">
        <v>2263900</v>
      </c>
      <c r="R105" t="s">
        <v>343</v>
      </c>
    </row>
    <row r="106" spans="1:18" x14ac:dyDescent="0.35">
      <c r="A106" s="1">
        <v>6</v>
      </c>
      <c r="B106" s="1" t="s">
        <v>187</v>
      </c>
      <c r="C106" s="48" t="s">
        <v>188</v>
      </c>
      <c r="D106" s="48">
        <v>15</v>
      </c>
      <c r="E106" s="11">
        <v>1750095</v>
      </c>
      <c r="F106" s="11">
        <v>875453</v>
      </c>
      <c r="G106" s="49"/>
      <c r="H106" s="11">
        <v>124548</v>
      </c>
      <c r="I106" s="49">
        <f>F106+H106</f>
        <v>1000001</v>
      </c>
      <c r="J106" s="49">
        <v>0.04</v>
      </c>
      <c r="K106" s="11">
        <f t="shared" si="18"/>
        <v>35018.120000000003</v>
      </c>
      <c r="L106" s="11">
        <f t="shared" si="19"/>
        <v>35018.120000000003</v>
      </c>
      <c r="M106" s="11">
        <f t="shared" si="20"/>
        <v>70036.240000000005</v>
      </c>
      <c r="N106" s="11">
        <f>I106-M106</f>
        <v>929964.76</v>
      </c>
      <c r="O106" s="11"/>
      <c r="Q106" s="34">
        <v>1650000</v>
      </c>
      <c r="R106" t="s">
        <v>382</v>
      </c>
    </row>
    <row r="107" spans="1:18" x14ac:dyDescent="0.35">
      <c r="A107" s="1"/>
      <c r="B107" s="1"/>
      <c r="C107" s="1"/>
      <c r="D107" s="1"/>
      <c r="E107" s="49"/>
      <c r="F107" s="49"/>
      <c r="G107" s="49"/>
      <c r="H107" s="49"/>
      <c r="I107" s="49"/>
      <c r="J107" s="49"/>
      <c r="K107" s="49"/>
      <c r="L107" s="49"/>
      <c r="M107" s="49"/>
      <c r="N107" s="66">
        <f>SUM(N102:N106)</f>
        <v>7463859.0399999991</v>
      </c>
      <c r="O107" s="1"/>
      <c r="Q107" s="34">
        <v>3550000</v>
      </c>
      <c r="R107" t="s">
        <v>383</v>
      </c>
    </row>
    <row r="108" spans="1:18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Q108" s="35">
        <f>SUM(Q105:Q107)</f>
        <v>7463900</v>
      </c>
    </row>
    <row r="109" spans="1:18" x14ac:dyDescent="0.35">
      <c r="Q109" s="34"/>
    </row>
    <row r="110" spans="1:18" ht="23.5" x14ac:dyDescent="0.55000000000000004">
      <c r="A110" s="126" t="s">
        <v>166</v>
      </c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Q110" s="34"/>
    </row>
    <row r="111" spans="1:18" ht="23.5" x14ac:dyDescent="0.55000000000000004">
      <c r="A111" s="126" t="s">
        <v>167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</row>
    <row r="112" spans="1:18" x14ac:dyDescent="0.3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</row>
    <row r="113" spans="1:17" ht="23.5" x14ac:dyDescent="0.55000000000000004">
      <c r="A113" s="126" t="s">
        <v>391</v>
      </c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</row>
    <row r="115" spans="1:17" ht="21" x14ac:dyDescent="0.5">
      <c r="A115" s="127" t="s">
        <v>168</v>
      </c>
      <c r="B115" s="129" t="s">
        <v>169</v>
      </c>
      <c r="C115" s="129" t="s">
        <v>170</v>
      </c>
      <c r="D115" s="129" t="s">
        <v>171</v>
      </c>
      <c r="E115" s="130" t="s">
        <v>181</v>
      </c>
      <c r="F115" s="130"/>
      <c r="G115" s="130"/>
      <c r="H115" s="130"/>
      <c r="I115" s="130"/>
      <c r="J115" s="74"/>
      <c r="K115" s="130" t="s">
        <v>182</v>
      </c>
      <c r="L115" s="130"/>
      <c r="M115" s="130"/>
      <c r="N115" s="129" t="s">
        <v>179</v>
      </c>
      <c r="O115" s="129" t="s">
        <v>180</v>
      </c>
    </row>
    <row r="116" spans="1:17" ht="15.5" x14ac:dyDescent="0.35">
      <c r="A116" s="128"/>
      <c r="B116" s="129"/>
      <c r="C116" s="129"/>
      <c r="D116" s="129"/>
      <c r="E116" s="19" t="s">
        <v>172</v>
      </c>
      <c r="F116" s="19" t="s">
        <v>173</v>
      </c>
      <c r="G116" s="19" t="s">
        <v>225</v>
      </c>
      <c r="H116" s="19" t="s">
        <v>174</v>
      </c>
      <c r="I116" s="19" t="s">
        <v>175</v>
      </c>
      <c r="J116" s="44" t="s">
        <v>226</v>
      </c>
      <c r="K116" s="19" t="s">
        <v>176</v>
      </c>
      <c r="L116" s="19" t="s">
        <v>177</v>
      </c>
      <c r="M116" s="19" t="s">
        <v>178</v>
      </c>
      <c r="N116" s="129"/>
      <c r="O116" s="129"/>
    </row>
    <row r="117" spans="1:17" x14ac:dyDescent="0.35">
      <c r="A117" s="1">
        <v>1</v>
      </c>
      <c r="B117" s="1" t="s">
        <v>183</v>
      </c>
      <c r="C117" s="48" t="s">
        <v>188</v>
      </c>
      <c r="D117" s="48">
        <v>15</v>
      </c>
      <c r="E117" s="11">
        <v>5000000</v>
      </c>
      <c r="F117" s="11">
        <v>2500000</v>
      </c>
      <c r="G117" s="11">
        <v>500000</v>
      </c>
      <c r="H117" s="49"/>
      <c r="I117" s="49">
        <f>F117+G117</f>
        <v>3000000</v>
      </c>
      <c r="J117" s="49">
        <v>0.04</v>
      </c>
      <c r="K117" s="11">
        <f>F117*J117</f>
        <v>100000</v>
      </c>
      <c r="L117" s="11">
        <f>F117*J117</f>
        <v>100000</v>
      </c>
      <c r="M117" s="11">
        <f>L117+K117</f>
        <v>200000</v>
      </c>
      <c r="N117" s="11">
        <f>I117-M117</f>
        <v>2800000</v>
      </c>
      <c r="O117" s="11"/>
    </row>
    <row r="118" spans="1:17" x14ac:dyDescent="0.35">
      <c r="A118" s="1">
        <v>2</v>
      </c>
      <c r="B118" s="1" t="s">
        <v>184</v>
      </c>
      <c r="C118" s="48" t="s">
        <v>188</v>
      </c>
      <c r="D118" s="48">
        <v>15</v>
      </c>
      <c r="E118" s="11">
        <v>3150905</v>
      </c>
      <c r="F118" s="11">
        <v>1575453</v>
      </c>
      <c r="G118" s="11"/>
      <c r="H118" s="11">
        <v>124548</v>
      </c>
      <c r="I118" s="49">
        <f>F118+H118</f>
        <v>1700001</v>
      </c>
      <c r="J118" s="49">
        <v>0.04</v>
      </c>
      <c r="K118" s="11">
        <f t="shared" ref="K118:K121" si="21">F118*J118</f>
        <v>63018.12</v>
      </c>
      <c r="L118" s="11">
        <f t="shared" ref="L118:L121" si="22">F118*J118</f>
        <v>63018.12</v>
      </c>
      <c r="M118" s="11">
        <f t="shared" ref="M118:M121" si="23">L118+K118</f>
        <v>126036.24</v>
      </c>
      <c r="N118" s="11">
        <f>I118-M118</f>
        <v>1573964.76</v>
      </c>
      <c r="O118" s="11"/>
    </row>
    <row r="119" spans="1:17" x14ac:dyDescent="0.35">
      <c r="A119" s="1">
        <v>4</v>
      </c>
      <c r="B119" s="1" t="s">
        <v>185</v>
      </c>
      <c r="C119" s="48" t="s">
        <v>188</v>
      </c>
      <c r="D119" s="48">
        <v>15</v>
      </c>
      <c r="E119" s="11">
        <v>1750095</v>
      </c>
      <c r="F119" s="11">
        <v>875453</v>
      </c>
      <c r="G119" s="11">
        <v>150000</v>
      </c>
      <c r="H119" s="11">
        <v>124548</v>
      </c>
      <c r="I119" s="49">
        <f>F119+G119+H119</f>
        <v>1150001</v>
      </c>
      <c r="J119" s="49">
        <v>0.04</v>
      </c>
      <c r="K119" s="11">
        <f t="shared" si="21"/>
        <v>35018.120000000003</v>
      </c>
      <c r="L119" s="11">
        <f t="shared" si="22"/>
        <v>35018.120000000003</v>
      </c>
      <c r="M119" s="11">
        <f t="shared" si="23"/>
        <v>70036.240000000005</v>
      </c>
      <c r="N119" s="11">
        <f>I119-M119</f>
        <v>1079964.76</v>
      </c>
      <c r="O119" s="11">
        <v>150000</v>
      </c>
      <c r="P119" s="16">
        <f>N119-O119</f>
        <v>929964.76</v>
      </c>
      <c r="Q119" t="s">
        <v>392</v>
      </c>
    </row>
    <row r="120" spans="1:17" x14ac:dyDescent="0.35">
      <c r="A120" s="1">
        <v>5</v>
      </c>
      <c r="B120" s="1" t="s">
        <v>186</v>
      </c>
      <c r="C120" s="48" t="s">
        <v>188</v>
      </c>
      <c r="D120" s="48">
        <v>15</v>
      </c>
      <c r="E120" s="11">
        <v>1750095</v>
      </c>
      <c r="F120" s="11">
        <v>875453</v>
      </c>
      <c r="G120" s="11">
        <v>150000</v>
      </c>
      <c r="H120" s="11">
        <v>124548</v>
      </c>
      <c r="I120" s="49">
        <f>F120+G120+H120</f>
        <v>1150001</v>
      </c>
      <c r="J120" s="49">
        <v>0.04</v>
      </c>
      <c r="K120" s="11">
        <f t="shared" si="21"/>
        <v>35018.120000000003</v>
      </c>
      <c r="L120" s="11">
        <f t="shared" si="22"/>
        <v>35018.120000000003</v>
      </c>
      <c r="M120" s="11">
        <f t="shared" si="23"/>
        <v>70036.240000000005</v>
      </c>
      <c r="N120" s="11">
        <f>I120-M120</f>
        <v>1079964.76</v>
      </c>
      <c r="O120" s="11"/>
    </row>
    <row r="121" spans="1:17" x14ac:dyDescent="0.35">
      <c r="A121" s="1">
        <v>6</v>
      </c>
      <c r="B121" s="1" t="s">
        <v>187</v>
      </c>
      <c r="C121" s="48" t="s">
        <v>188</v>
      </c>
      <c r="D121" s="48">
        <v>15</v>
      </c>
      <c r="E121" s="11">
        <v>1750095</v>
      </c>
      <c r="F121" s="11">
        <v>875453</v>
      </c>
      <c r="G121" s="49"/>
      <c r="H121" s="11">
        <v>124548</v>
      </c>
      <c r="I121" s="49">
        <f>F121+H121</f>
        <v>1000001</v>
      </c>
      <c r="J121" s="49">
        <v>0.04</v>
      </c>
      <c r="K121" s="11">
        <f t="shared" si="21"/>
        <v>35018.120000000003</v>
      </c>
      <c r="L121" s="11">
        <f t="shared" si="22"/>
        <v>35018.120000000003</v>
      </c>
      <c r="M121" s="11">
        <f t="shared" si="23"/>
        <v>70036.240000000005</v>
      </c>
      <c r="N121" s="11">
        <f>I121-M121</f>
        <v>929964.76</v>
      </c>
      <c r="O121" s="11"/>
    </row>
    <row r="122" spans="1:17" x14ac:dyDescent="0.35">
      <c r="A122" s="134" t="s">
        <v>4</v>
      </c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6"/>
      <c r="N122" s="66">
        <f>SUM(N117:N121)</f>
        <v>7463859.0399999991</v>
      </c>
      <c r="O122" s="1"/>
    </row>
    <row r="125" spans="1:17" ht="23.5" x14ac:dyDescent="0.55000000000000004">
      <c r="A125" s="126" t="s">
        <v>166</v>
      </c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</row>
    <row r="126" spans="1:17" ht="23.5" x14ac:dyDescent="0.55000000000000004">
      <c r="A126" s="126" t="s">
        <v>167</v>
      </c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</row>
    <row r="127" spans="1:17" x14ac:dyDescent="0.3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</row>
    <row r="128" spans="1:17" ht="23.5" x14ac:dyDescent="0.55000000000000004">
      <c r="A128" s="126" t="s">
        <v>413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</row>
    <row r="130" spans="1:18" ht="21" x14ac:dyDescent="0.5">
      <c r="A130" s="127" t="s">
        <v>168</v>
      </c>
      <c r="B130" s="129" t="s">
        <v>169</v>
      </c>
      <c r="C130" s="129" t="s">
        <v>170</v>
      </c>
      <c r="D130" s="129" t="s">
        <v>171</v>
      </c>
      <c r="E130" s="130" t="s">
        <v>181</v>
      </c>
      <c r="F130" s="130"/>
      <c r="G130" s="130"/>
      <c r="H130" s="130"/>
      <c r="I130" s="130"/>
      <c r="J130" s="74"/>
      <c r="K130" s="130" t="s">
        <v>182</v>
      </c>
      <c r="L130" s="130"/>
      <c r="M130" s="130"/>
      <c r="N130" s="129" t="s">
        <v>179</v>
      </c>
      <c r="O130" s="129" t="s">
        <v>180</v>
      </c>
    </row>
    <row r="131" spans="1:18" ht="15.5" x14ac:dyDescent="0.35">
      <c r="A131" s="128"/>
      <c r="B131" s="129"/>
      <c r="C131" s="129"/>
      <c r="D131" s="129"/>
      <c r="E131" s="19" t="s">
        <v>172</v>
      </c>
      <c r="F131" s="19" t="s">
        <v>173</v>
      </c>
      <c r="G131" s="19" t="s">
        <v>225</v>
      </c>
      <c r="H131" s="19" t="s">
        <v>174</v>
      </c>
      <c r="I131" s="19" t="s">
        <v>175</v>
      </c>
      <c r="J131" s="44" t="s">
        <v>226</v>
      </c>
      <c r="K131" s="19" t="s">
        <v>176</v>
      </c>
      <c r="L131" s="19" t="s">
        <v>177</v>
      </c>
      <c r="M131" s="19" t="s">
        <v>178</v>
      </c>
      <c r="N131" s="129"/>
      <c r="O131" s="129"/>
    </row>
    <row r="132" spans="1:18" x14ac:dyDescent="0.35">
      <c r="A132" s="1">
        <v>1</v>
      </c>
      <c r="B132" s="1" t="s">
        <v>183</v>
      </c>
      <c r="C132" s="48" t="s">
        <v>188</v>
      </c>
      <c r="D132" s="48">
        <v>15</v>
      </c>
      <c r="E132" s="11">
        <v>5000000</v>
      </c>
      <c r="F132" s="11">
        <v>2500000</v>
      </c>
      <c r="G132" s="11">
        <v>500000</v>
      </c>
      <c r="H132" s="49"/>
      <c r="I132" s="49">
        <f>F132+G132</f>
        <v>3000000</v>
      </c>
      <c r="J132" s="49">
        <v>0.04</v>
      </c>
      <c r="K132" s="11">
        <f>F132*J132</f>
        <v>100000</v>
      </c>
      <c r="L132" s="11">
        <f>F132*J132</f>
        <v>100000</v>
      </c>
      <c r="M132" s="11">
        <f>L132+K132</f>
        <v>200000</v>
      </c>
      <c r="N132" s="11">
        <f>I132-M132</f>
        <v>2800000</v>
      </c>
      <c r="O132" s="11"/>
      <c r="Q132" s="17" t="s">
        <v>195</v>
      </c>
    </row>
    <row r="133" spans="1:18" x14ac:dyDescent="0.35">
      <c r="A133" s="1">
        <v>2</v>
      </c>
      <c r="B133" s="1" t="s">
        <v>184</v>
      </c>
      <c r="C133" s="48" t="s">
        <v>188</v>
      </c>
      <c r="D133" s="48">
        <v>15</v>
      </c>
      <c r="E133" s="11">
        <v>3150905</v>
      </c>
      <c r="F133" s="11">
        <v>1575453</v>
      </c>
      <c r="G133" s="11"/>
      <c r="H133" s="11">
        <v>124548</v>
      </c>
      <c r="I133" s="49">
        <f>F133+H133</f>
        <v>1700001</v>
      </c>
      <c r="J133" s="49">
        <v>0.04</v>
      </c>
      <c r="K133" s="11">
        <f t="shared" ref="K133:K136" si="24">F133*J133</f>
        <v>63018.12</v>
      </c>
      <c r="L133" s="11">
        <f t="shared" ref="L133:L136" si="25">F133*J133</f>
        <v>63018.12</v>
      </c>
      <c r="M133" s="11">
        <f t="shared" ref="M133:M136" si="26">L133+K133</f>
        <v>126036.24</v>
      </c>
      <c r="N133" s="11">
        <f>I133-M133</f>
        <v>1573964.76</v>
      </c>
      <c r="O133" s="11"/>
      <c r="Q133" s="77">
        <f>N137</f>
        <v>7463859.0399999991</v>
      </c>
    </row>
    <row r="134" spans="1:18" x14ac:dyDescent="0.35">
      <c r="A134" s="1">
        <v>4</v>
      </c>
      <c r="B134" s="1" t="s">
        <v>185</v>
      </c>
      <c r="C134" s="48" t="s">
        <v>188</v>
      </c>
      <c r="D134" s="48">
        <v>15</v>
      </c>
      <c r="E134" s="11">
        <v>1750095</v>
      </c>
      <c r="F134" s="11">
        <v>875453</v>
      </c>
      <c r="G134" s="11">
        <v>150000</v>
      </c>
      <c r="H134" s="11">
        <v>124548</v>
      </c>
      <c r="I134" s="49">
        <f>F134+G134+H134</f>
        <v>1150001</v>
      </c>
      <c r="J134" s="49">
        <v>0.04</v>
      </c>
      <c r="K134" s="11">
        <f t="shared" si="24"/>
        <v>35018.120000000003</v>
      </c>
      <c r="L134" s="11">
        <f t="shared" si="25"/>
        <v>35018.120000000003</v>
      </c>
      <c r="M134" s="11">
        <f t="shared" si="26"/>
        <v>70036.240000000005</v>
      </c>
      <c r="N134" s="11">
        <f>I134-M134</f>
        <v>1079964.76</v>
      </c>
      <c r="O134" s="11">
        <v>150000</v>
      </c>
      <c r="Q134" s="34">
        <v>3450000</v>
      </c>
      <c r="R134" t="s">
        <v>414</v>
      </c>
    </row>
    <row r="135" spans="1:18" x14ac:dyDescent="0.35">
      <c r="A135" s="1">
        <v>5</v>
      </c>
      <c r="B135" s="1" t="s">
        <v>186</v>
      </c>
      <c r="C135" s="48" t="s">
        <v>188</v>
      </c>
      <c r="D135" s="48">
        <v>15</v>
      </c>
      <c r="E135" s="11">
        <v>1750095</v>
      </c>
      <c r="F135" s="11">
        <v>875453</v>
      </c>
      <c r="G135" s="11">
        <v>150000</v>
      </c>
      <c r="H135" s="11">
        <v>124548</v>
      </c>
      <c r="I135" s="49">
        <f>F135+G135+H135</f>
        <v>1150001</v>
      </c>
      <c r="J135" s="49">
        <v>0.04</v>
      </c>
      <c r="K135" s="11">
        <f t="shared" si="24"/>
        <v>35018.120000000003</v>
      </c>
      <c r="L135" s="11">
        <f t="shared" si="25"/>
        <v>35018.120000000003</v>
      </c>
      <c r="M135" s="11">
        <f t="shared" si="26"/>
        <v>70036.240000000005</v>
      </c>
      <c r="N135" s="11">
        <f>I135-M135</f>
        <v>1079964.76</v>
      </c>
      <c r="O135" s="11"/>
      <c r="Q135" s="34">
        <v>2400000</v>
      </c>
      <c r="R135" t="s">
        <v>415</v>
      </c>
    </row>
    <row r="136" spans="1:18" x14ac:dyDescent="0.35">
      <c r="A136" s="1">
        <v>6</v>
      </c>
      <c r="B136" s="1" t="s">
        <v>187</v>
      </c>
      <c r="C136" s="48" t="s">
        <v>188</v>
      </c>
      <c r="D136" s="48">
        <v>15</v>
      </c>
      <c r="E136" s="11">
        <v>1750095</v>
      </c>
      <c r="F136" s="11">
        <v>875453</v>
      </c>
      <c r="G136" s="49"/>
      <c r="H136" s="11">
        <v>124548</v>
      </c>
      <c r="I136" s="49">
        <f>F136+H136</f>
        <v>1000001</v>
      </c>
      <c r="J136" s="49">
        <v>0.04</v>
      </c>
      <c r="K136" s="11">
        <f t="shared" si="24"/>
        <v>35018.120000000003</v>
      </c>
      <c r="L136" s="11">
        <f t="shared" si="25"/>
        <v>35018.120000000003</v>
      </c>
      <c r="M136" s="11">
        <f t="shared" si="26"/>
        <v>70036.240000000005</v>
      </c>
      <c r="N136" s="11">
        <f>I136-M136</f>
        <v>929964.76</v>
      </c>
      <c r="O136" s="11"/>
      <c r="Q136" s="34">
        <v>1613859</v>
      </c>
      <c r="R136" t="s">
        <v>416</v>
      </c>
    </row>
    <row r="137" spans="1:18" x14ac:dyDescent="0.35">
      <c r="A137" s="134" t="s">
        <v>4</v>
      </c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6"/>
      <c r="N137" s="66">
        <f>SUM(N132:N136)</f>
        <v>7463859.0399999991</v>
      </c>
      <c r="O137" s="1"/>
      <c r="Q137" s="35">
        <f>SUM(Q134:Q136)</f>
        <v>7463859</v>
      </c>
    </row>
    <row r="138" spans="1:18" x14ac:dyDescent="0.35">
      <c r="R138" s="16"/>
    </row>
  </sheetData>
  <mergeCells count="100">
    <mergeCell ref="A137:M137"/>
    <mergeCell ref="A125:O125"/>
    <mergeCell ref="A126:O126"/>
    <mergeCell ref="A128:O128"/>
    <mergeCell ref="A130:A131"/>
    <mergeCell ref="B130:B131"/>
    <mergeCell ref="C130:C131"/>
    <mergeCell ref="D130:D131"/>
    <mergeCell ref="E130:I130"/>
    <mergeCell ref="K130:M130"/>
    <mergeCell ref="N130:N131"/>
    <mergeCell ref="O130:O131"/>
    <mergeCell ref="A122:M122"/>
    <mergeCell ref="A110:O110"/>
    <mergeCell ref="A111:O111"/>
    <mergeCell ref="A113:O113"/>
    <mergeCell ref="A115:A116"/>
    <mergeCell ref="B115:B116"/>
    <mergeCell ref="C115:C116"/>
    <mergeCell ref="D115:D116"/>
    <mergeCell ref="E115:I115"/>
    <mergeCell ref="K115:M115"/>
    <mergeCell ref="N115:N116"/>
    <mergeCell ref="O115:O116"/>
    <mergeCell ref="A18:O18"/>
    <mergeCell ref="A19:O19"/>
    <mergeCell ref="A21:O21"/>
    <mergeCell ref="A23:A24"/>
    <mergeCell ref="B23:B24"/>
    <mergeCell ref="C23:C24"/>
    <mergeCell ref="D23:D24"/>
    <mergeCell ref="E23:I23"/>
    <mergeCell ref="K23:M23"/>
    <mergeCell ref="N23:N24"/>
    <mergeCell ref="O23:O24"/>
    <mergeCell ref="A6:A7"/>
    <mergeCell ref="A1:O1"/>
    <mergeCell ref="A2:O2"/>
    <mergeCell ref="A4:O4"/>
    <mergeCell ref="E6:I6"/>
    <mergeCell ref="K6:M6"/>
    <mergeCell ref="B6:B7"/>
    <mergeCell ref="C6:C7"/>
    <mergeCell ref="D6:D7"/>
    <mergeCell ref="N6:N7"/>
    <mergeCell ref="O6:O7"/>
    <mergeCell ref="K37:M37"/>
    <mergeCell ref="N37:N38"/>
    <mergeCell ref="O37:O38"/>
    <mergeCell ref="A34:J34"/>
    <mergeCell ref="A35:J35"/>
    <mergeCell ref="A37:A38"/>
    <mergeCell ref="B37:B38"/>
    <mergeCell ref="C37:C38"/>
    <mergeCell ref="D37:D38"/>
    <mergeCell ref="E37:I37"/>
    <mergeCell ref="A47:O47"/>
    <mergeCell ref="A48:O48"/>
    <mergeCell ref="A50:O50"/>
    <mergeCell ref="A52:A53"/>
    <mergeCell ref="B52:B53"/>
    <mergeCell ref="C52:C53"/>
    <mergeCell ref="D52:D53"/>
    <mergeCell ref="E52:I52"/>
    <mergeCell ref="K52:M52"/>
    <mergeCell ref="N52:N53"/>
    <mergeCell ref="O52:O53"/>
    <mergeCell ref="A63:O63"/>
    <mergeCell ref="A64:O64"/>
    <mergeCell ref="A66:O66"/>
    <mergeCell ref="A68:A69"/>
    <mergeCell ref="B68:B69"/>
    <mergeCell ref="C68:C69"/>
    <mergeCell ref="D68:D69"/>
    <mergeCell ref="E68:I68"/>
    <mergeCell ref="K68:M68"/>
    <mergeCell ref="N68:N69"/>
    <mergeCell ref="O68:O69"/>
    <mergeCell ref="A79:O79"/>
    <mergeCell ref="A80:O80"/>
    <mergeCell ref="A82:O82"/>
    <mergeCell ref="A84:A85"/>
    <mergeCell ref="B84:B85"/>
    <mergeCell ref="C84:C85"/>
    <mergeCell ref="D84:D85"/>
    <mergeCell ref="E84:I84"/>
    <mergeCell ref="K84:M84"/>
    <mergeCell ref="N84:N85"/>
    <mergeCell ref="O84:O85"/>
    <mergeCell ref="A95:O95"/>
    <mergeCell ref="A96:O96"/>
    <mergeCell ref="A98:O98"/>
    <mergeCell ref="A100:A101"/>
    <mergeCell ref="B100:B101"/>
    <mergeCell ref="C100:C101"/>
    <mergeCell ref="D100:D101"/>
    <mergeCell ref="E100:I100"/>
    <mergeCell ref="K100:M100"/>
    <mergeCell ref="N100:N101"/>
    <mergeCell ref="O100:O10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C111-0E66-41A4-ADFF-E55AE40DE12C}">
  <dimension ref="A2:H21"/>
  <sheetViews>
    <sheetView workbookViewId="0">
      <selection activeCell="H14" sqref="H14"/>
    </sheetView>
  </sheetViews>
  <sheetFormatPr baseColWidth="10" defaultRowHeight="14.5" x14ac:dyDescent="0.35"/>
  <cols>
    <col min="2" max="2" width="12.54296875" bestFit="1" customWidth="1"/>
  </cols>
  <sheetData>
    <row r="2" spans="1:8" x14ac:dyDescent="0.35">
      <c r="A2" t="s">
        <v>204</v>
      </c>
      <c r="B2" s="67">
        <v>300000</v>
      </c>
      <c r="C2" t="s">
        <v>210</v>
      </c>
    </row>
    <row r="3" spans="1:8" x14ac:dyDescent="0.35">
      <c r="A3" t="s">
        <v>205</v>
      </c>
      <c r="B3" s="67">
        <v>460000</v>
      </c>
      <c r="C3" s="67">
        <v>100000</v>
      </c>
      <c r="D3" t="s">
        <v>211</v>
      </c>
    </row>
    <row r="4" spans="1:8" x14ac:dyDescent="0.35">
      <c r="A4" t="s">
        <v>206</v>
      </c>
      <c r="B4" s="67">
        <v>120000</v>
      </c>
      <c r="C4" t="s">
        <v>210</v>
      </c>
    </row>
    <row r="5" spans="1:8" x14ac:dyDescent="0.35">
      <c r="A5" t="s">
        <v>205</v>
      </c>
      <c r="B5" s="67">
        <v>800000</v>
      </c>
      <c r="C5" t="s">
        <v>210</v>
      </c>
    </row>
    <row r="6" spans="1:8" x14ac:dyDescent="0.35">
      <c r="A6" t="s">
        <v>206</v>
      </c>
      <c r="B6" s="67">
        <v>300000</v>
      </c>
      <c r="C6" t="s">
        <v>210</v>
      </c>
    </row>
    <row r="7" spans="1:8" x14ac:dyDescent="0.35">
      <c r="A7" t="s">
        <v>208</v>
      </c>
      <c r="B7" s="67">
        <v>200000</v>
      </c>
      <c r="C7" t="s">
        <v>210</v>
      </c>
    </row>
    <row r="8" spans="1:8" x14ac:dyDescent="0.35">
      <c r="B8" s="67"/>
    </row>
    <row r="9" spans="1:8" x14ac:dyDescent="0.35">
      <c r="A9" s="17" t="s">
        <v>393</v>
      </c>
      <c r="B9" s="67"/>
    </row>
    <row r="10" spans="1:8" x14ac:dyDescent="0.35">
      <c r="A10" t="s">
        <v>206</v>
      </c>
      <c r="B10" s="67">
        <v>280000</v>
      </c>
      <c r="C10" s="92">
        <v>46123</v>
      </c>
    </row>
    <row r="11" spans="1:8" x14ac:dyDescent="0.35">
      <c r="A11" t="s">
        <v>394</v>
      </c>
      <c r="B11" s="67">
        <v>100000</v>
      </c>
    </row>
    <row r="12" spans="1:8" x14ac:dyDescent="0.35">
      <c r="A12" t="s">
        <v>204</v>
      </c>
      <c r="B12" s="67">
        <v>2000000</v>
      </c>
      <c r="C12" s="92">
        <v>46130</v>
      </c>
    </row>
    <row r="13" spans="1:8" x14ac:dyDescent="0.35">
      <c r="A13" t="s">
        <v>405</v>
      </c>
      <c r="B13" s="67">
        <v>400000</v>
      </c>
      <c r="C13" s="92">
        <v>46129</v>
      </c>
      <c r="D13" t="s">
        <v>412</v>
      </c>
      <c r="E13" s="67">
        <v>30000</v>
      </c>
      <c r="F13" s="92">
        <v>46139</v>
      </c>
      <c r="G13" s="92">
        <v>46140</v>
      </c>
      <c r="H13" s="92">
        <v>46141</v>
      </c>
    </row>
    <row r="14" spans="1:8" x14ac:dyDescent="0.35">
      <c r="A14" t="s">
        <v>406</v>
      </c>
      <c r="B14" s="67">
        <v>300000</v>
      </c>
      <c r="C14" s="92">
        <v>46115</v>
      </c>
    </row>
    <row r="15" spans="1:8" x14ac:dyDescent="0.35">
      <c r="B15" s="67"/>
    </row>
    <row r="16" spans="1:8" x14ac:dyDescent="0.35">
      <c r="B16" s="67"/>
    </row>
    <row r="17" spans="2:2" x14ac:dyDescent="0.35">
      <c r="B17" s="67"/>
    </row>
    <row r="18" spans="2:2" x14ac:dyDescent="0.35">
      <c r="B18" s="67"/>
    </row>
    <row r="19" spans="2:2" x14ac:dyDescent="0.35">
      <c r="B19" s="67"/>
    </row>
    <row r="20" spans="2:2" x14ac:dyDescent="0.35">
      <c r="B20" s="67"/>
    </row>
    <row r="21" spans="2:2" x14ac:dyDescent="0.35">
      <c r="B21" s="6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C85E-9B77-4581-B9E6-6671192A287B}">
  <dimension ref="A1:AF202"/>
  <sheetViews>
    <sheetView tabSelected="1" topLeftCell="A81" zoomScale="88" workbookViewId="0">
      <selection activeCell="A91" sqref="A91"/>
    </sheetView>
  </sheetViews>
  <sheetFormatPr baseColWidth="10" defaultColWidth="11.453125" defaultRowHeight="15.5" x14ac:dyDescent="0.35"/>
  <cols>
    <col min="1" max="1" width="11.453125" style="18"/>
    <col min="2" max="2" width="11.453125" style="36"/>
    <col min="3" max="7" width="16.453125" style="18" customWidth="1"/>
    <col min="8" max="8" width="18.7265625" style="18" bestFit="1" customWidth="1"/>
    <col min="9" max="9" width="16.453125" style="18" customWidth="1"/>
    <col min="10" max="10" width="20" style="18" customWidth="1"/>
    <col min="11" max="11" width="14.7265625" style="18" customWidth="1"/>
    <col min="12" max="12" width="23.7265625" style="18" customWidth="1"/>
    <col min="13" max="13" width="18.26953125" style="18" customWidth="1"/>
    <col min="14" max="18" width="16.453125" style="18" customWidth="1"/>
    <col min="19" max="20" width="20.1796875" style="18" customWidth="1"/>
    <col min="21" max="21" width="15.90625" style="18" bestFit="1" customWidth="1"/>
    <col min="22" max="22" width="24" style="18" bestFit="1" customWidth="1"/>
    <col min="23" max="23" width="16.453125" style="18" customWidth="1"/>
    <col min="24" max="24" width="21.7265625" style="18" bestFit="1" customWidth="1"/>
    <col min="25" max="25" width="14.1796875" style="18" bestFit="1" customWidth="1"/>
    <col min="26" max="26" width="11.453125" style="18"/>
    <col min="27" max="27" width="18" style="18" bestFit="1" customWidth="1"/>
    <col min="28" max="28" width="22.1796875" style="18" bestFit="1" customWidth="1"/>
    <col min="29" max="29" width="21.7265625" style="18" bestFit="1" customWidth="1"/>
    <col min="30" max="30" width="22.6328125" style="18" bestFit="1" customWidth="1"/>
    <col min="31" max="32" width="12.81640625" style="18" bestFit="1" customWidth="1"/>
    <col min="33" max="16384" width="11.453125" style="18"/>
  </cols>
  <sheetData>
    <row r="1" spans="1:25" ht="21" x14ac:dyDescent="0.5">
      <c r="B1" s="132" t="s">
        <v>1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</row>
    <row r="2" spans="1:25" ht="21" x14ac:dyDescent="0.5">
      <c r="B2" s="132" t="s">
        <v>273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</row>
    <row r="3" spans="1:25" ht="21" x14ac:dyDescent="0.5">
      <c r="B3" s="132" t="s">
        <v>274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</row>
    <row r="4" spans="1:25" x14ac:dyDescent="0.35">
      <c r="O4" s="70" t="s">
        <v>152</v>
      </c>
      <c r="P4" s="24"/>
      <c r="Q4" s="24"/>
      <c r="R4" s="24"/>
      <c r="S4" s="24"/>
      <c r="T4" s="24"/>
      <c r="U4" s="24"/>
      <c r="V4" s="24"/>
      <c r="W4" s="24"/>
      <c r="X4" s="24"/>
    </row>
    <row r="5" spans="1:25" x14ac:dyDescent="0.35">
      <c r="B5" s="37" t="s">
        <v>150</v>
      </c>
      <c r="C5" s="37" t="s">
        <v>121</v>
      </c>
      <c r="D5" s="37" t="s">
        <v>102</v>
      </c>
      <c r="E5" s="37" t="s">
        <v>103</v>
      </c>
      <c r="F5" s="37" t="s">
        <v>147</v>
      </c>
      <c r="G5" s="37" t="s">
        <v>148</v>
      </c>
      <c r="H5" s="37" t="s">
        <v>149</v>
      </c>
      <c r="I5" s="37" t="s">
        <v>151</v>
      </c>
      <c r="J5" s="37" t="s">
        <v>159</v>
      </c>
      <c r="K5" s="43"/>
      <c r="L5" s="44" t="s">
        <v>160</v>
      </c>
      <c r="M5" s="44" t="s">
        <v>161</v>
      </c>
      <c r="N5" s="44" t="s">
        <v>106</v>
      </c>
      <c r="O5" s="44" t="s">
        <v>102</v>
      </c>
      <c r="P5" s="44" t="s">
        <v>156</v>
      </c>
      <c r="Q5" s="44" t="s">
        <v>106</v>
      </c>
      <c r="R5" s="44" t="s">
        <v>103</v>
      </c>
      <c r="S5" s="44" t="s">
        <v>157</v>
      </c>
      <c r="T5" s="44" t="s">
        <v>106</v>
      </c>
      <c r="U5" s="44" t="s">
        <v>138</v>
      </c>
      <c r="V5" s="44" t="s">
        <v>163</v>
      </c>
      <c r="W5" s="44" t="s">
        <v>148</v>
      </c>
      <c r="X5" s="65" t="s">
        <v>158</v>
      </c>
      <c r="Y5" s="44" t="s">
        <v>106</v>
      </c>
    </row>
    <row r="6" spans="1:25" ht="15.5" customHeight="1" x14ac:dyDescent="0.35">
      <c r="A6" s="139" t="s">
        <v>194</v>
      </c>
      <c r="B6" s="38">
        <v>5</v>
      </c>
      <c r="C6" s="39">
        <v>3645450</v>
      </c>
      <c r="D6" s="39">
        <v>954000</v>
      </c>
      <c r="E6" s="39">
        <v>219800</v>
      </c>
      <c r="F6" s="39"/>
      <c r="G6" s="39">
        <v>684400</v>
      </c>
      <c r="H6" s="39">
        <v>1075450</v>
      </c>
      <c r="I6" s="39">
        <f>C6+D6+E6+G6</f>
        <v>5503650</v>
      </c>
      <c r="J6" s="39">
        <f>C6-H6</f>
        <v>2570000</v>
      </c>
      <c r="K6" s="40"/>
      <c r="L6" s="39">
        <f>J6</f>
        <v>2570000</v>
      </c>
      <c r="M6" s="39"/>
      <c r="N6" s="39"/>
      <c r="O6" s="39">
        <f>D6-P6</f>
        <v>132470</v>
      </c>
      <c r="P6" s="39">
        <f>161750+659780</f>
        <v>821530</v>
      </c>
      <c r="Q6" s="39" t="s">
        <v>220</v>
      </c>
      <c r="R6" s="39">
        <f>E6-S6</f>
        <v>219800</v>
      </c>
      <c r="S6" s="39"/>
      <c r="T6" s="39"/>
      <c r="U6" s="39"/>
      <c r="V6" s="39"/>
      <c r="W6" s="39">
        <f>G6-X6</f>
        <v>684400</v>
      </c>
      <c r="X6" s="56"/>
      <c r="Y6" s="3"/>
    </row>
    <row r="7" spans="1:25" x14ac:dyDescent="0.35">
      <c r="A7" s="139"/>
      <c r="B7" s="38">
        <v>6</v>
      </c>
      <c r="C7" s="39">
        <v>2835650</v>
      </c>
      <c r="D7" s="39">
        <v>845800</v>
      </c>
      <c r="E7" s="39">
        <v>227700</v>
      </c>
      <c r="F7" s="39"/>
      <c r="G7" s="39">
        <v>806400</v>
      </c>
      <c r="H7" s="39">
        <v>585650</v>
      </c>
      <c r="I7" s="39">
        <f t="shared" ref="I7:I11" si="0">C7+D7+E7+G7</f>
        <v>4715550</v>
      </c>
      <c r="J7" s="39">
        <f t="shared" ref="J7:J11" si="1">C7-H7</f>
        <v>2250000</v>
      </c>
      <c r="K7" s="40"/>
      <c r="L7" s="39">
        <f>L6+J7</f>
        <v>4820000</v>
      </c>
      <c r="M7" s="39"/>
      <c r="N7" s="39"/>
      <c r="O7" s="39">
        <f>O6+D7-P7</f>
        <v>763270</v>
      </c>
      <c r="P7" s="39">
        <v>215000</v>
      </c>
      <c r="Q7" s="39" t="s">
        <v>107</v>
      </c>
      <c r="R7" s="39">
        <f>R6+E7-S7</f>
        <v>447500</v>
      </c>
      <c r="S7" s="39"/>
      <c r="T7" s="39"/>
      <c r="U7" s="39"/>
      <c r="V7" s="39"/>
      <c r="W7" s="39">
        <f>W6+G7-X7</f>
        <v>1490800</v>
      </c>
      <c r="X7" s="56"/>
      <c r="Y7" s="3"/>
    </row>
    <row r="8" spans="1:25" x14ac:dyDescent="0.35">
      <c r="A8" s="139"/>
      <c r="B8" s="38">
        <v>7</v>
      </c>
      <c r="C8" s="39">
        <v>5090695</v>
      </c>
      <c r="D8" s="39">
        <v>1032355</v>
      </c>
      <c r="E8" s="39">
        <v>174200</v>
      </c>
      <c r="F8" s="39"/>
      <c r="G8" s="39">
        <v>638600</v>
      </c>
      <c r="H8" s="39">
        <v>790695</v>
      </c>
      <c r="I8" s="39">
        <f t="shared" si="0"/>
        <v>6935850</v>
      </c>
      <c r="J8" s="39">
        <f t="shared" si="1"/>
        <v>4300000</v>
      </c>
      <c r="K8" s="40"/>
      <c r="L8" s="39">
        <f>L7+J8</f>
        <v>9120000</v>
      </c>
      <c r="M8" s="39"/>
      <c r="N8" s="39"/>
      <c r="O8" s="39">
        <f t="shared" ref="O8:O10" si="2">O7+D8-P8</f>
        <v>1545625</v>
      </c>
      <c r="P8" s="39">
        <v>250000</v>
      </c>
      <c r="Q8" s="39" t="s">
        <v>107</v>
      </c>
      <c r="R8" s="39">
        <f>R7+E8-S8</f>
        <v>178700</v>
      </c>
      <c r="S8" s="39">
        <v>443000</v>
      </c>
      <c r="T8" s="39" t="s">
        <v>145</v>
      </c>
      <c r="U8" s="39"/>
      <c r="V8" s="39"/>
      <c r="W8" s="39">
        <f t="shared" ref="W8:W11" si="3">W7+G8-X8</f>
        <v>-57846</v>
      </c>
      <c r="X8" s="56">
        <f>978532+8714+163000+122000+915000</f>
        <v>2187246</v>
      </c>
      <c r="Y8" s="3" t="s">
        <v>66</v>
      </c>
    </row>
    <row r="9" spans="1:25" x14ac:dyDescent="0.35">
      <c r="A9" s="139"/>
      <c r="B9" s="38">
        <v>8</v>
      </c>
      <c r="C9" s="39">
        <v>3755000</v>
      </c>
      <c r="D9" s="39">
        <v>1509600</v>
      </c>
      <c r="E9" s="39">
        <v>218500</v>
      </c>
      <c r="F9" s="39"/>
      <c r="G9" s="39">
        <v>831886</v>
      </c>
      <c r="H9" s="39">
        <v>805000</v>
      </c>
      <c r="I9" s="39">
        <f t="shared" si="0"/>
        <v>6314986</v>
      </c>
      <c r="J9" s="39">
        <f t="shared" si="1"/>
        <v>2950000</v>
      </c>
      <c r="K9" s="40"/>
      <c r="L9" s="39">
        <f>L8+J9</f>
        <v>12070000</v>
      </c>
      <c r="M9" s="39"/>
      <c r="N9" s="39"/>
      <c r="O9" s="39">
        <f t="shared" si="2"/>
        <v>1604225</v>
      </c>
      <c r="P9" s="39">
        <f>72000+109000+336000+52000+60000+300000+22000+500000</f>
        <v>1451000</v>
      </c>
      <c r="Q9" s="39" t="s">
        <v>221</v>
      </c>
      <c r="R9" s="39">
        <f t="shared" ref="R9:R10" si="4">R8+E9-S9</f>
        <v>397200</v>
      </c>
      <c r="S9" s="39"/>
      <c r="T9" s="39"/>
      <c r="U9" s="39"/>
      <c r="V9" s="39"/>
      <c r="W9" s="39">
        <f t="shared" si="3"/>
        <v>774040</v>
      </c>
      <c r="X9" s="56"/>
      <c r="Y9" s="3"/>
    </row>
    <row r="10" spans="1:25" x14ac:dyDescent="0.35">
      <c r="A10" s="139"/>
      <c r="B10" s="38">
        <v>9</v>
      </c>
      <c r="C10" s="39">
        <v>3314500</v>
      </c>
      <c r="D10" s="39">
        <v>864020</v>
      </c>
      <c r="E10" s="39">
        <v>509204</v>
      </c>
      <c r="F10" s="39"/>
      <c r="G10" s="39">
        <v>630051</v>
      </c>
      <c r="H10" s="39">
        <v>764500</v>
      </c>
      <c r="I10" s="39">
        <f t="shared" si="0"/>
        <v>5317775</v>
      </c>
      <c r="J10" s="39">
        <f t="shared" si="1"/>
        <v>2550000</v>
      </c>
      <c r="K10" s="40"/>
      <c r="L10" s="39">
        <f>L9+J10-M9</f>
        <v>14620000</v>
      </c>
      <c r="M10" s="39"/>
      <c r="N10" s="39"/>
      <c r="O10" s="39">
        <f t="shared" si="2"/>
        <v>2308245</v>
      </c>
      <c r="P10" s="39">
        <v>160000</v>
      </c>
      <c r="Q10" s="39" t="s">
        <v>120</v>
      </c>
      <c r="R10" s="39">
        <f t="shared" si="4"/>
        <v>557004</v>
      </c>
      <c r="S10" s="39">
        <v>349400</v>
      </c>
      <c r="T10" s="39" t="s">
        <v>145</v>
      </c>
      <c r="U10" s="39"/>
      <c r="V10" s="39"/>
      <c r="W10" s="39">
        <f t="shared" si="3"/>
        <v>1195069</v>
      </c>
      <c r="X10" s="56">
        <f>190140+832+18050</f>
        <v>209022</v>
      </c>
      <c r="Y10" s="3" t="s">
        <v>292</v>
      </c>
    </row>
    <row r="11" spans="1:25" x14ac:dyDescent="0.35">
      <c r="A11" s="52"/>
      <c r="B11" s="38">
        <v>10</v>
      </c>
      <c r="C11" s="39">
        <v>1933400</v>
      </c>
      <c r="D11" s="39">
        <v>812250</v>
      </c>
      <c r="E11" s="39">
        <v>112750</v>
      </c>
      <c r="F11" s="39"/>
      <c r="G11" s="39">
        <v>1029700</v>
      </c>
      <c r="H11" s="39">
        <v>383400</v>
      </c>
      <c r="I11" s="39">
        <f t="shared" si="0"/>
        <v>3888100</v>
      </c>
      <c r="J11" s="39">
        <f t="shared" si="1"/>
        <v>1550000</v>
      </c>
      <c r="K11" s="40"/>
      <c r="L11" s="39">
        <f t="shared" ref="L11" si="5">L10+J11-M10</f>
        <v>16170000</v>
      </c>
      <c r="M11" s="55"/>
      <c r="N11" s="39"/>
      <c r="O11" s="39">
        <f>O10+D11-P11</f>
        <v>204495</v>
      </c>
      <c r="P11" s="55">
        <f>160000+56000+2700000</f>
        <v>2916000</v>
      </c>
      <c r="Q11" s="39" t="s">
        <v>223</v>
      </c>
      <c r="R11" s="39">
        <f>R10+E11-S11</f>
        <v>669754</v>
      </c>
      <c r="S11" s="39"/>
      <c r="T11" s="54"/>
      <c r="U11" s="39"/>
      <c r="V11" s="39"/>
      <c r="W11" s="39">
        <f t="shared" si="3"/>
        <v>-144671</v>
      </c>
      <c r="X11" s="39">
        <f>2360000+9440</f>
        <v>2369440</v>
      </c>
      <c r="Y11" s="3" t="s">
        <v>203</v>
      </c>
    </row>
    <row r="12" spans="1:25" x14ac:dyDescent="0.35">
      <c r="A12" s="52"/>
      <c r="B12" s="140" t="s">
        <v>214</v>
      </c>
      <c r="C12" s="141"/>
      <c r="D12" s="41">
        <f>SUM(D6:D11)</f>
        <v>6018025</v>
      </c>
      <c r="E12" s="41">
        <f>SUM(E6:E11)</f>
        <v>1462154</v>
      </c>
      <c r="F12" s="39"/>
      <c r="G12" s="41">
        <f>SUM(G6:G11)</f>
        <v>4621037</v>
      </c>
      <c r="H12" s="41">
        <f>SUM(H6:H11)</f>
        <v>4404695</v>
      </c>
      <c r="I12" s="41">
        <f>SUM(I6:I11)</f>
        <v>32675911</v>
      </c>
      <c r="J12" s="41">
        <f>SUM(J6:J11)</f>
        <v>16170000</v>
      </c>
      <c r="K12" s="40"/>
      <c r="L12" s="39"/>
      <c r="M12" s="55"/>
      <c r="N12" s="39"/>
      <c r="O12" s="39"/>
      <c r="P12" s="60">
        <f>SUM(P6:P11)</f>
        <v>5813530</v>
      </c>
      <c r="Q12" s="39"/>
      <c r="R12" s="39"/>
      <c r="S12" s="41">
        <f>SUM(S8:S11)</f>
        <v>792400</v>
      </c>
      <c r="T12" s="54"/>
      <c r="U12" s="39"/>
      <c r="V12" s="39"/>
      <c r="W12" s="39"/>
      <c r="X12" s="41">
        <f>SUM(X6:X11)</f>
        <v>4765708</v>
      </c>
      <c r="Y12" s="3"/>
    </row>
    <row r="13" spans="1:25" x14ac:dyDescent="0.35">
      <c r="A13" s="45"/>
      <c r="B13" s="140" t="s">
        <v>162</v>
      </c>
      <c r="C13" s="141"/>
      <c r="D13" s="141"/>
      <c r="E13" s="141"/>
      <c r="F13" s="141"/>
      <c r="G13" s="141"/>
      <c r="H13" s="141"/>
      <c r="I13" s="141"/>
      <c r="J13" s="142"/>
      <c r="K13" s="40"/>
      <c r="L13" s="137">
        <f>L11</f>
        <v>16170000</v>
      </c>
      <c r="M13" s="145"/>
      <c r="N13" s="39"/>
      <c r="O13" s="137">
        <f>O11</f>
        <v>204495</v>
      </c>
      <c r="P13" s="145"/>
      <c r="Q13" s="41"/>
      <c r="R13" s="137">
        <f>R11</f>
        <v>669754</v>
      </c>
      <c r="S13" s="145"/>
      <c r="T13" s="63"/>
      <c r="U13" s="137">
        <f>U10+U9+U8+U7+U6</f>
        <v>0</v>
      </c>
      <c r="V13" s="145"/>
      <c r="W13" s="137">
        <f>W11</f>
        <v>-144671</v>
      </c>
      <c r="X13" s="138"/>
      <c r="Y13" s="3"/>
    </row>
    <row r="14" spans="1:25" x14ac:dyDescent="0.35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8"/>
    </row>
    <row r="15" spans="1:25" x14ac:dyDescent="0.35">
      <c r="A15" s="45"/>
      <c r="B15" s="37"/>
      <c r="C15" s="37"/>
      <c r="D15" s="37"/>
      <c r="E15" s="37"/>
      <c r="F15" s="37"/>
      <c r="G15" s="37"/>
      <c r="H15" s="37"/>
      <c r="I15" s="37"/>
      <c r="J15" s="37"/>
      <c r="K15" s="40"/>
      <c r="L15" s="68"/>
      <c r="M15" s="63"/>
      <c r="N15" s="39"/>
      <c r="O15" s="63"/>
      <c r="P15" s="69"/>
      <c r="Q15" s="63"/>
      <c r="R15" s="68"/>
      <c r="S15" s="69"/>
      <c r="T15" s="63"/>
      <c r="U15" s="68"/>
      <c r="V15" s="69"/>
      <c r="W15" s="68"/>
      <c r="X15" s="63"/>
      <c r="Y15" s="3"/>
    </row>
    <row r="16" spans="1:25" x14ac:dyDescent="0.35">
      <c r="A16" s="45"/>
      <c r="B16" s="37" t="s">
        <v>150</v>
      </c>
      <c r="C16" s="37" t="s">
        <v>121</v>
      </c>
      <c r="D16" s="37" t="s">
        <v>102</v>
      </c>
      <c r="E16" s="37" t="s">
        <v>103</v>
      </c>
      <c r="F16" s="37" t="s">
        <v>147</v>
      </c>
      <c r="G16" s="37" t="s">
        <v>148</v>
      </c>
      <c r="H16" s="37" t="s">
        <v>149</v>
      </c>
      <c r="I16" s="37" t="s">
        <v>151</v>
      </c>
      <c r="J16" s="37" t="s">
        <v>159</v>
      </c>
      <c r="K16" s="40"/>
      <c r="L16" s="44" t="s">
        <v>160</v>
      </c>
      <c r="M16" s="65" t="s">
        <v>161</v>
      </c>
      <c r="N16" s="71" t="s">
        <v>106</v>
      </c>
      <c r="O16" s="62" t="s">
        <v>102</v>
      </c>
      <c r="P16" s="44" t="s">
        <v>156</v>
      </c>
      <c r="Q16" s="44"/>
      <c r="R16" s="44" t="s">
        <v>103</v>
      </c>
      <c r="S16" s="44" t="s">
        <v>157</v>
      </c>
      <c r="T16" s="44"/>
      <c r="U16" s="44" t="s">
        <v>138</v>
      </c>
      <c r="V16" s="44" t="s">
        <v>163</v>
      </c>
      <c r="W16" s="44" t="s">
        <v>148</v>
      </c>
      <c r="X16" s="65" t="s">
        <v>158</v>
      </c>
      <c r="Y16" s="3"/>
    </row>
    <row r="17" spans="1:25" x14ac:dyDescent="0.35">
      <c r="A17" s="139" t="s">
        <v>126</v>
      </c>
      <c r="B17" s="38" t="s">
        <v>228</v>
      </c>
      <c r="C17" s="39"/>
      <c r="D17" s="39"/>
      <c r="E17" s="39"/>
      <c r="F17" s="39"/>
      <c r="G17" s="39"/>
      <c r="H17" s="39"/>
      <c r="I17" s="39">
        <f>C17+D17+E17+G17</f>
        <v>0</v>
      </c>
      <c r="J17" s="39">
        <f>C17-H17</f>
        <v>0</v>
      </c>
      <c r="K17" s="40"/>
      <c r="L17" s="39">
        <f>J17</f>
        <v>0</v>
      </c>
      <c r="M17" s="56"/>
      <c r="N17" s="39"/>
      <c r="O17" s="55">
        <f>O13</f>
        <v>204495</v>
      </c>
      <c r="P17" s="39"/>
      <c r="Q17" s="39"/>
      <c r="R17" s="39">
        <f>E17-S17</f>
        <v>0</v>
      </c>
      <c r="S17" s="39"/>
      <c r="T17" s="39"/>
      <c r="U17" s="39">
        <f>U13</f>
        <v>0</v>
      </c>
      <c r="V17" s="39"/>
      <c r="W17" s="39">
        <f>G17-X17</f>
        <v>0</v>
      </c>
      <c r="X17" s="56"/>
      <c r="Y17" s="3"/>
    </row>
    <row r="18" spans="1:25" x14ac:dyDescent="0.35">
      <c r="A18" s="139"/>
      <c r="B18" s="38">
        <v>13</v>
      </c>
      <c r="C18" s="39">
        <v>3905000</v>
      </c>
      <c r="D18" s="39">
        <v>1215700</v>
      </c>
      <c r="E18" s="39">
        <v>499500</v>
      </c>
      <c r="F18" s="39"/>
      <c r="G18" s="39">
        <v>1372400</v>
      </c>
      <c r="H18" s="39">
        <v>705000</v>
      </c>
      <c r="I18" s="39">
        <f>C18+D18+E18+G18</f>
        <v>6992600</v>
      </c>
      <c r="J18" s="39">
        <f t="shared" ref="J18:J22" si="6">C18-H18</f>
        <v>3200000</v>
      </c>
      <c r="K18" s="40"/>
      <c r="L18" s="39">
        <f>L17+J18</f>
        <v>3200000</v>
      </c>
      <c r="M18" s="56"/>
      <c r="N18" s="39"/>
      <c r="O18" s="55">
        <f>O17+D18</f>
        <v>1420195</v>
      </c>
      <c r="P18" s="39">
        <f>1600+245000+980+339000+1356+58700+234+270000+1080+45000+180+400000</f>
        <v>1363130</v>
      </c>
      <c r="Q18" s="39" t="s">
        <v>229</v>
      </c>
      <c r="R18" s="39">
        <f>R17+E18</f>
        <v>499500</v>
      </c>
      <c r="S18" s="39"/>
      <c r="T18" s="39"/>
      <c r="U18" s="39">
        <f>U17+F18</f>
        <v>0</v>
      </c>
      <c r="V18" s="39"/>
      <c r="W18" s="39">
        <f>W17+G18-X18</f>
        <v>-1163000</v>
      </c>
      <c r="X18" s="56">
        <v>2535400</v>
      </c>
      <c r="Y18" s="3" t="s">
        <v>295</v>
      </c>
    </row>
    <row r="19" spans="1:25" x14ac:dyDescent="0.35">
      <c r="A19" s="139"/>
      <c r="B19" s="38">
        <v>14</v>
      </c>
      <c r="C19" s="39">
        <v>3915400</v>
      </c>
      <c r="D19" s="39">
        <v>1399000</v>
      </c>
      <c r="E19" s="39">
        <v>258000</v>
      </c>
      <c r="F19" s="39"/>
      <c r="G19" s="39">
        <v>921000</v>
      </c>
      <c r="H19" s="39">
        <v>665400</v>
      </c>
      <c r="I19" s="39">
        <f t="shared" ref="I19:I22" si="7">C19+D19+E19+G19</f>
        <v>6493400</v>
      </c>
      <c r="J19" s="39">
        <f t="shared" si="6"/>
        <v>3250000</v>
      </c>
      <c r="K19" s="40"/>
      <c r="L19" s="39">
        <f>L18+J19-M19</f>
        <v>6450000</v>
      </c>
      <c r="M19" s="56"/>
      <c r="N19" s="39"/>
      <c r="O19" s="55">
        <f>O18+D19-P19</f>
        <v>2297115</v>
      </c>
      <c r="P19" s="39">
        <f>400000+1600+120000+480</f>
        <v>522080</v>
      </c>
      <c r="Q19" s="39" t="s">
        <v>230</v>
      </c>
      <c r="R19" s="39">
        <f>R18+E19</f>
        <v>757500</v>
      </c>
      <c r="S19" s="39">
        <v>225200</v>
      </c>
      <c r="T19" s="39" t="s">
        <v>145</v>
      </c>
      <c r="U19" s="39">
        <f>U18+F19</f>
        <v>0</v>
      </c>
      <c r="V19" s="39"/>
      <c r="W19" s="39">
        <f>W18+G19-X19</f>
        <v>-242000</v>
      </c>
      <c r="X19" s="56"/>
      <c r="Y19" s="3"/>
    </row>
    <row r="20" spans="1:25" x14ac:dyDescent="0.35">
      <c r="A20" s="139"/>
      <c r="B20" s="38">
        <v>15</v>
      </c>
      <c r="C20" s="39">
        <v>3946800</v>
      </c>
      <c r="D20" s="39">
        <v>1170308</v>
      </c>
      <c r="E20" s="39">
        <v>474000</v>
      </c>
      <c r="F20" s="39"/>
      <c r="G20" s="39">
        <v>623000</v>
      </c>
      <c r="H20" s="39">
        <v>896800</v>
      </c>
      <c r="I20" s="39">
        <f t="shared" si="7"/>
        <v>6214108</v>
      </c>
      <c r="J20" s="39">
        <f t="shared" si="6"/>
        <v>3050000</v>
      </c>
      <c r="K20" s="40"/>
      <c r="L20" s="39">
        <f>L19+J20-M20</f>
        <v>2036000</v>
      </c>
      <c r="M20" s="56">
        <v>7464000</v>
      </c>
      <c r="N20" s="39" t="s">
        <v>195</v>
      </c>
      <c r="O20" s="55">
        <f>O19+D20-P20</f>
        <v>3067423</v>
      </c>
      <c r="P20" s="39">
        <v>400000</v>
      </c>
      <c r="Q20" s="39" t="s">
        <v>107</v>
      </c>
      <c r="R20" s="39">
        <f>R19+E20</f>
        <v>1231500</v>
      </c>
      <c r="S20" s="39"/>
      <c r="T20" s="39"/>
      <c r="U20" s="39">
        <f>U19+F20</f>
        <v>0</v>
      </c>
      <c r="V20" s="39"/>
      <c r="W20" s="39">
        <f>W19+G20</f>
        <v>381000</v>
      </c>
      <c r="X20" s="56"/>
      <c r="Y20" s="3"/>
    </row>
    <row r="21" spans="1:25" x14ac:dyDescent="0.35">
      <c r="A21" s="139"/>
      <c r="B21" s="38">
        <v>16</v>
      </c>
      <c r="C21" s="39">
        <v>3853000</v>
      </c>
      <c r="D21" s="39">
        <v>1374900</v>
      </c>
      <c r="E21" s="39">
        <v>325500</v>
      </c>
      <c r="F21" s="39"/>
      <c r="G21" s="39">
        <v>1211000</v>
      </c>
      <c r="H21" s="39">
        <v>700000</v>
      </c>
      <c r="I21" s="39">
        <f t="shared" si="7"/>
        <v>6764400</v>
      </c>
      <c r="J21" s="39">
        <f t="shared" si="6"/>
        <v>3153000</v>
      </c>
      <c r="K21" s="40"/>
      <c r="L21" s="39">
        <f>L20+J21-M21</f>
        <v>5189000</v>
      </c>
      <c r="M21" s="56"/>
      <c r="N21" s="39"/>
      <c r="O21" s="55">
        <f>O20+D21-P21</f>
        <v>4442323</v>
      </c>
      <c r="P21" s="39"/>
      <c r="Q21" s="39"/>
      <c r="R21" s="39">
        <f>R20+E21</f>
        <v>1557000</v>
      </c>
      <c r="S21" s="39">
        <v>347300</v>
      </c>
      <c r="T21" s="39" t="s">
        <v>145</v>
      </c>
      <c r="U21" s="39">
        <f>U20+F21</f>
        <v>0</v>
      </c>
      <c r="V21" s="39"/>
      <c r="W21" s="39">
        <f>W20+G21-X21</f>
        <v>639000</v>
      </c>
      <c r="X21" s="56">
        <f>473000+80000+400000</f>
        <v>953000</v>
      </c>
      <c r="Y21" s="3" t="s">
        <v>234</v>
      </c>
    </row>
    <row r="22" spans="1:25" x14ac:dyDescent="0.35">
      <c r="A22" s="139"/>
      <c r="B22" s="38">
        <v>17</v>
      </c>
      <c r="C22" s="39">
        <v>2401400</v>
      </c>
      <c r="D22" s="39">
        <v>865500</v>
      </c>
      <c r="E22" s="39">
        <v>185000</v>
      </c>
      <c r="F22" s="39"/>
      <c r="G22" s="39">
        <v>518000</v>
      </c>
      <c r="H22" s="39">
        <v>531400</v>
      </c>
      <c r="I22" s="39">
        <f t="shared" si="7"/>
        <v>3969900</v>
      </c>
      <c r="J22" s="39">
        <f t="shared" si="6"/>
        <v>1870000</v>
      </c>
      <c r="K22" s="40"/>
      <c r="L22" s="39">
        <f>L21+J22</f>
        <v>7059000</v>
      </c>
      <c r="M22" s="56"/>
      <c r="N22" s="39"/>
      <c r="O22" s="55">
        <f>O21+D22-P22</f>
        <v>5307823</v>
      </c>
      <c r="P22" s="39"/>
      <c r="Q22" s="39"/>
      <c r="R22" s="39">
        <f>R21+E22</f>
        <v>1742000</v>
      </c>
      <c r="S22" s="39"/>
      <c r="T22" s="39"/>
      <c r="U22" s="39">
        <f>U21+F22</f>
        <v>0</v>
      </c>
      <c r="V22" s="39"/>
      <c r="W22" s="39">
        <f>W21+G22-X22</f>
        <v>-1553800</v>
      </c>
      <c r="X22" s="56">
        <f>2700000+10800</f>
        <v>2710800</v>
      </c>
      <c r="Y22" s="3"/>
    </row>
    <row r="23" spans="1:25" x14ac:dyDescent="0.35">
      <c r="A23" s="52"/>
      <c r="B23" s="53"/>
      <c r="C23" s="54"/>
      <c r="D23" s="58">
        <f>SUM(D18:D22)</f>
        <v>6025408</v>
      </c>
      <c r="E23" s="58">
        <f>SUM(E18:E22)</f>
        <v>1742000</v>
      </c>
      <c r="F23" s="54"/>
      <c r="G23" s="58">
        <f>SUM(G18:G22)</f>
        <v>4645400</v>
      </c>
      <c r="H23" s="58">
        <f>SUM(H18:H22)</f>
        <v>3498600</v>
      </c>
      <c r="I23" s="58">
        <f>SUM(I17:I22)</f>
        <v>30434408</v>
      </c>
      <c r="J23" s="60">
        <f>SUM(J17:J22)</f>
        <v>14523000</v>
      </c>
      <c r="K23" s="40"/>
      <c r="L23" s="56"/>
      <c r="M23" s="58">
        <f>SUM(M17:M22)</f>
        <v>7464000</v>
      </c>
      <c r="N23" s="39"/>
      <c r="O23" s="54"/>
      <c r="P23" s="60">
        <f>SUM(P18:P22)</f>
        <v>2285210</v>
      </c>
      <c r="Q23" s="54"/>
      <c r="R23" s="56"/>
      <c r="S23" s="60">
        <f>SUM(S19:S21)</f>
        <v>572500</v>
      </c>
      <c r="T23" s="54"/>
      <c r="U23" s="56"/>
      <c r="V23" s="55"/>
      <c r="W23" s="56"/>
      <c r="X23" s="58">
        <f>SUM(X17:X22)</f>
        <v>6199200</v>
      </c>
      <c r="Y23" s="3"/>
    </row>
    <row r="24" spans="1:25" x14ac:dyDescent="0.35">
      <c r="B24" s="140" t="s">
        <v>164</v>
      </c>
      <c r="C24" s="141"/>
      <c r="D24" s="141"/>
      <c r="E24" s="141"/>
      <c r="F24" s="141"/>
      <c r="G24" s="141"/>
      <c r="H24" s="141"/>
      <c r="I24" s="141"/>
      <c r="J24" s="142"/>
      <c r="K24" s="40"/>
      <c r="L24" s="137">
        <f>L22</f>
        <v>7059000</v>
      </c>
      <c r="M24" s="138"/>
      <c r="N24" s="39"/>
      <c r="O24" s="138">
        <f>O22</f>
        <v>5307823</v>
      </c>
      <c r="P24" s="145"/>
      <c r="Q24" s="63"/>
      <c r="R24" s="137">
        <f>R22</f>
        <v>1742000</v>
      </c>
      <c r="S24" s="145"/>
      <c r="T24" s="63"/>
      <c r="U24" s="137">
        <f>U22</f>
        <v>0</v>
      </c>
      <c r="V24" s="145"/>
      <c r="W24" s="137">
        <f>W22</f>
        <v>-1553800</v>
      </c>
      <c r="X24" s="138"/>
      <c r="Y24" s="3"/>
    </row>
    <row r="25" spans="1:25" x14ac:dyDescent="0.35">
      <c r="B25" s="37"/>
      <c r="C25" s="37"/>
      <c r="D25" s="37"/>
      <c r="E25" s="37"/>
      <c r="F25" s="37"/>
      <c r="G25" s="37"/>
      <c r="H25" s="37"/>
      <c r="I25" s="37"/>
      <c r="J25" s="37"/>
      <c r="K25" s="40"/>
      <c r="L25" s="68"/>
      <c r="M25" s="63"/>
      <c r="N25" s="39"/>
      <c r="O25" s="63"/>
      <c r="P25" s="69"/>
      <c r="Q25" s="63"/>
      <c r="R25" s="68"/>
      <c r="S25" s="69"/>
      <c r="T25" s="63"/>
      <c r="U25" s="68"/>
      <c r="V25" s="69"/>
      <c r="W25" s="68"/>
      <c r="X25" s="63"/>
      <c r="Y25" s="3"/>
    </row>
    <row r="26" spans="1:25" x14ac:dyDescent="0.35">
      <c r="B26" s="37"/>
      <c r="C26" s="37"/>
      <c r="D26" s="37"/>
      <c r="E26" s="37"/>
      <c r="F26" s="37"/>
      <c r="G26" s="37"/>
      <c r="H26" s="37"/>
      <c r="I26" s="37"/>
      <c r="J26" s="37"/>
      <c r="K26" s="40"/>
      <c r="L26" s="68"/>
      <c r="M26" s="63"/>
      <c r="N26" s="39"/>
      <c r="O26" s="63"/>
      <c r="P26" s="69"/>
      <c r="Q26" s="63"/>
      <c r="R26" s="68"/>
      <c r="S26" s="69"/>
      <c r="T26" s="63"/>
      <c r="U26" s="68"/>
      <c r="V26" s="69"/>
      <c r="W26" s="68"/>
      <c r="X26" s="63"/>
      <c r="Y26" s="3"/>
    </row>
    <row r="27" spans="1:25" x14ac:dyDescent="0.35">
      <c r="B27" s="47" t="s">
        <v>150</v>
      </c>
      <c r="C27" s="37" t="s">
        <v>121</v>
      </c>
      <c r="D27" s="37" t="s">
        <v>102</v>
      </c>
      <c r="E27" s="37" t="s">
        <v>103</v>
      </c>
      <c r="F27" s="37" t="s">
        <v>147</v>
      </c>
      <c r="G27" s="37" t="s">
        <v>148</v>
      </c>
      <c r="H27" s="37" t="s">
        <v>149</v>
      </c>
      <c r="I27" s="37" t="s">
        <v>151</v>
      </c>
      <c r="J27" s="37" t="s">
        <v>159</v>
      </c>
      <c r="K27" s="40"/>
      <c r="L27" s="44" t="s">
        <v>160</v>
      </c>
      <c r="M27" s="65" t="s">
        <v>161</v>
      </c>
      <c r="N27" s="39"/>
      <c r="O27" s="62" t="s">
        <v>102</v>
      </c>
      <c r="P27" s="44" t="s">
        <v>156</v>
      </c>
      <c r="Q27" s="44"/>
      <c r="R27" s="44" t="s">
        <v>103</v>
      </c>
      <c r="S27" s="44" t="s">
        <v>157</v>
      </c>
      <c r="T27" s="44"/>
      <c r="U27" s="44" t="s">
        <v>138</v>
      </c>
      <c r="V27" s="44" t="s">
        <v>163</v>
      </c>
      <c r="W27" s="44" t="s">
        <v>148</v>
      </c>
      <c r="X27" s="65" t="s">
        <v>158</v>
      </c>
      <c r="Y27" s="3"/>
    </row>
    <row r="28" spans="1:25" x14ac:dyDescent="0.35">
      <c r="A28" s="139" t="s">
        <v>143</v>
      </c>
      <c r="B28" s="38">
        <v>19</v>
      </c>
      <c r="C28" s="39">
        <v>3803500</v>
      </c>
      <c r="D28" s="39">
        <v>1078750</v>
      </c>
      <c r="E28" s="39">
        <v>172000</v>
      </c>
      <c r="F28" s="39"/>
      <c r="G28" s="39">
        <v>1050500</v>
      </c>
      <c r="H28" s="39">
        <v>803500</v>
      </c>
      <c r="I28" s="39">
        <f>C28+D28+E28+F28+G28</f>
        <v>6104750</v>
      </c>
      <c r="J28" s="39">
        <f>C28-H28</f>
        <v>3000000</v>
      </c>
      <c r="K28" s="40"/>
      <c r="L28" s="39">
        <f>J28</f>
        <v>3000000</v>
      </c>
      <c r="M28" s="56">
        <v>3000000</v>
      </c>
      <c r="N28" s="39" t="s">
        <v>291</v>
      </c>
      <c r="O28" s="55">
        <f>D28</f>
        <v>1078750</v>
      </c>
      <c r="P28" s="39">
        <f>4000+83700+334+490000+1960+299000+17600+140000+2291930</f>
        <v>3328524</v>
      </c>
      <c r="Q28" s="39" t="s">
        <v>298</v>
      </c>
      <c r="R28" s="39">
        <f>R24+E28</f>
        <v>1914000</v>
      </c>
      <c r="S28" s="39"/>
      <c r="T28" s="39"/>
      <c r="U28" s="39">
        <f>U24+F28</f>
        <v>0</v>
      </c>
      <c r="V28" s="39"/>
      <c r="W28" s="39">
        <f>W24+G28-X28</f>
        <v>-5777299</v>
      </c>
      <c r="X28" s="56">
        <f>7488+4400+1100000+888112+511+7488+4400+1100000+2161600</f>
        <v>5273999</v>
      </c>
      <c r="Y28" s="39" t="s">
        <v>296</v>
      </c>
    </row>
    <row r="29" spans="1:25" x14ac:dyDescent="0.35">
      <c r="A29" s="139"/>
      <c r="B29" s="38">
        <v>20</v>
      </c>
      <c r="C29" s="39">
        <v>4215222</v>
      </c>
      <c r="D29" s="39">
        <v>1417900</v>
      </c>
      <c r="E29" s="39">
        <v>614000</v>
      </c>
      <c r="F29" s="39"/>
      <c r="G29" s="39">
        <v>720000</v>
      </c>
      <c r="H29" s="39">
        <v>1005222</v>
      </c>
      <c r="I29" s="39">
        <f t="shared" ref="I29:I43" si="8">C29+D29+E29+F29+G29</f>
        <v>6967122</v>
      </c>
      <c r="J29" s="39">
        <f t="shared" ref="J29:J43" si="9">C29-H29</f>
        <v>3210000</v>
      </c>
      <c r="K29" s="40"/>
      <c r="L29" s="39">
        <f>L28+J29</f>
        <v>6210000</v>
      </c>
      <c r="M29" s="56"/>
      <c r="N29" s="39"/>
      <c r="O29" s="55">
        <f>O28+D29</f>
        <v>2496650</v>
      </c>
      <c r="P29" s="39">
        <f>154581+618+527000+2108</f>
        <v>684307</v>
      </c>
      <c r="Q29" s="39" t="s">
        <v>236</v>
      </c>
      <c r="R29" s="39">
        <f>R28+E29</f>
        <v>2528000</v>
      </c>
      <c r="S29" s="39"/>
      <c r="T29" s="39"/>
      <c r="U29" s="39"/>
      <c r="V29" s="39"/>
      <c r="W29" s="39">
        <f>W28+G29-X29</f>
        <v>-5057299</v>
      </c>
      <c r="X29" s="56"/>
      <c r="Y29" s="3"/>
    </row>
    <row r="30" spans="1:25" x14ac:dyDescent="0.35">
      <c r="A30" s="139"/>
      <c r="B30" s="38">
        <v>21</v>
      </c>
      <c r="C30" s="39">
        <v>3975000</v>
      </c>
      <c r="D30" s="39">
        <v>1375675</v>
      </c>
      <c r="E30" s="39">
        <v>332000</v>
      </c>
      <c r="F30" s="39"/>
      <c r="G30" s="39">
        <v>920000</v>
      </c>
      <c r="H30" s="39">
        <v>975000</v>
      </c>
      <c r="I30" s="39">
        <f t="shared" si="8"/>
        <v>6602675</v>
      </c>
      <c r="J30" s="39">
        <f t="shared" si="9"/>
        <v>3000000</v>
      </c>
      <c r="K30" s="40"/>
      <c r="L30" s="39">
        <f>L29+J30</f>
        <v>9210000</v>
      </c>
      <c r="M30" s="56"/>
      <c r="N30" s="39"/>
      <c r="O30" s="55">
        <f>O29+D30-P30</f>
        <v>3795526</v>
      </c>
      <c r="P30" s="39">
        <f>1600+74900+299</f>
        <v>76799</v>
      </c>
      <c r="Q30" s="39" t="s">
        <v>237</v>
      </c>
      <c r="R30" s="39">
        <f>R29+E30</f>
        <v>2860000</v>
      </c>
      <c r="S30" s="39"/>
      <c r="T30" s="39"/>
      <c r="U30" s="39"/>
      <c r="V30" s="39"/>
      <c r="W30" s="39">
        <f>W29+G30-X30</f>
        <v>-4137299</v>
      </c>
      <c r="X30" s="56"/>
      <c r="Y30" s="3"/>
    </row>
    <row r="31" spans="1:25" x14ac:dyDescent="0.35">
      <c r="A31" s="139"/>
      <c r="B31" s="38">
        <v>22</v>
      </c>
      <c r="C31" s="39">
        <v>3052000</v>
      </c>
      <c r="D31" s="39">
        <v>1183000</v>
      </c>
      <c r="E31" s="39">
        <v>315100</v>
      </c>
      <c r="F31" s="39"/>
      <c r="G31" s="39">
        <v>820000</v>
      </c>
      <c r="H31" s="39">
        <v>752000</v>
      </c>
      <c r="I31" s="39">
        <f t="shared" si="8"/>
        <v>5370100</v>
      </c>
      <c r="J31" s="39">
        <f t="shared" si="9"/>
        <v>2300000</v>
      </c>
      <c r="K31" s="40"/>
      <c r="L31" s="39">
        <f>L30+J31</f>
        <v>11510000</v>
      </c>
      <c r="M31" s="56"/>
      <c r="N31" s="39"/>
      <c r="O31" s="55">
        <f>O30+D31-P31</f>
        <v>4101207</v>
      </c>
      <c r="P31" s="39">
        <f>1550+188400+633+420000+1680+250000+1000+14000+56</f>
        <v>877319</v>
      </c>
      <c r="Q31" s="39" t="s">
        <v>238</v>
      </c>
      <c r="R31" s="39">
        <f>R30+E31</f>
        <v>3175100</v>
      </c>
      <c r="S31" s="39"/>
      <c r="T31" s="39"/>
      <c r="U31" s="39"/>
      <c r="V31" s="39"/>
      <c r="W31" s="39">
        <f>W30+G31-X31</f>
        <v>-4356336</v>
      </c>
      <c r="X31" s="56">
        <f>4139+1034898</f>
        <v>1039037</v>
      </c>
      <c r="Y31" s="3" t="s">
        <v>239</v>
      </c>
    </row>
    <row r="32" spans="1:25" x14ac:dyDescent="0.35">
      <c r="A32" s="139"/>
      <c r="B32" s="38">
        <v>23</v>
      </c>
      <c r="C32" s="39">
        <v>3233200</v>
      </c>
      <c r="D32" s="39">
        <v>920000</v>
      </c>
      <c r="E32" s="39">
        <v>290300</v>
      </c>
      <c r="F32" s="39"/>
      <c r="G32" s="39">
        <v>790000</v>
      </c>
      <c r="H32" s="39">
        <v>983200</v>
      </c>
      <c r="I32" s="39">
        <f t="shared" si="8"/>
        <v>5233500</v>
      </c>
      <c r="J32" s="39">
        <f t="shared" si="9"/>
        <v>2250000</v>
      </c>
      <c r="K32" s="40"/>
      <c r="L32" s="39">
        <f>L31+J32</f>
        <v>13760000</v>
      </c>
      <c r="M32" s="56"/>
      <c r="N32" s="39"/>
      <c r="O32" s="55">
        <f>O31+D32</f>
        <v>5021207</v>
      </c>
      <c r="P32" s="39">
        <f>1440+145000+1440+136000</f>
        <v>283880</v>
      </c>
      <c r="Q32" s="39" t="s">
        <v>297</v>
      </c>
      <c r="R32" s="39">
        <f>R31+E32</f>
        <v>3465400</v>
      </c>
      <c r="S32" s="39"/>
      <c r="T32" s="39"/>
      <c r="U32" s="39"/>
      <c r="V32" s="39"/>
      <c r="W32" s="39">
        <f>W31+G32-X32</f>
        <v>-3628250</v>
      </c>
      <c r="X32" s="56">
        <f>246+61668</f>
        <v>61914</v>
      </c>
      <c r="Y32" s="3" t="s">
        <v>240</v>
      </c>
    </row>
    <row r="33" spans="1:31" x14ac:dyDescent="0.35">
      <c r="A33" s="52"/>
      <c r="B33" s="38">
        <v>24</v>
      </c>
      <c r="C33" s="39">
        <v>2378000</v>
      </c>
      <c r="D33" s="39">
        <v>266500</v>
      </c>
      <c r="E33" s="39">
        <v>72000</v>
      </c>
      <c r="F33" s="39"/>
      <c r="G33" s="39">
        <v>910000</v>
      </c>
      <c r="H33" s="39">
        <v>478000</v>
      </c>
      <c r="I33" s="39">
        <f t="shared" si="8"/>
        <v>3626500</v>
      </c>
      <c r="J33" s="39">
        <f t="shared" si="9"/>
        <v>1900000</v>
      </c>
      <c r="K33" s="40"/>
      <c r="L33" s="39">
        <f>L32+J33</f>
        <v>15660000</v>
      </c>
      <c r="M33" s="54"/>
      <c r="N33" s="39"/>
      <c r="O33" s="54"/>
      <c r="P33" s="60">
        <f>SUM(P28:P32)</f>
        <v>5250829</v>
      </c>
      <c r="Q33" s="54"/>
      <c r="R33" s="56"/>
      <c r="S33" s="55"/>
      <c r="T33" s="54"/>
      <c r="U33" s="39"/>
      <c r="V33" s="39"/>
      <c r="W33" s="39">
        <f>W32+G33-X33</f>
        <v>-5429050</v>
      </c>
      <c r="X33" s="39">
        <f>2700000+10800</f>
        <v>2710800</v>
      </c>
      <c r="Y33" s="3" t="s">
        <v>241</v>
      </c>
    </row>
    <row r="34" spans="1:31" x14ac:dyDescent="0.35">
      <c r="A34" s="52"/>
      <c r="B34" s="53"/>
      <c r="C34" s="54"/>
      <c r="D34" s="58">
        <f>SUM(D28:D33)</f>
        <v>6241825</v>
      </c>
      <c r="E34" s="58">
        <f>SUM(E28:E33)</f>
        <v>1795400</v>
      </c>
      <c r="F34" s="54"/>
      <c r="G34" s="58">
        <f>SUM(G28:G33)</f>
        <v>5210500</v>
      </c>
      <c r="H34" s="58">
        <f>SUM(H28:H33)</f>
        <v>4996922</v>
      </c>
      <c r="I34" s="58">
        <f>SUM(I28:I33)</f>
        <v>33904647</v>
      </c>
      <c r="J34" s="60">
        <f>SUM(J28:J33)</f>
        <v>15660000</v>
      </c>
      <c r="K34" s="40"/>
      <c r="L34" s="56"/>
      <c r="M34" s="54"/>
      <c r="N34" s="39"/>
      <c r="O34" s="54"/>
      <c r="P34" s="55"/>
      <c r="Q34" s="54"/>
      <c r="R34" s="56"/>
      <c r="S34" s="55"/>
      <c r="T34" s="54"/>
      <c r="U34" s="56"/>
      <c r="V34" s="55"/>
      <c r="W34" s="56"/>
      <c r="X34" s="58">
        <f>SUM(X28:X33)</f>
        <v>9085750</v>
      </c>
      <c r="Y34" s="3"/>
    </row>
    <row r="35" spans="1:31" x14ac:dyDescent="0.35">
      <c r="A35" s="51"/>
      <c r="B35" s="140" t="s">
        <v>189</v>
      </c>
      <c r="C35" s="141"/>
      <c r="D35" s="141"/>
      <c r="E35" s="141"/>
      <c r="F35" s="141"/>
      <c r="G35" s="141"/>
      <c r="H35" s="141"/>
      <c r="I35" s="141"/>
      <c r="J35" s="142"/>
      <c r="K35" s="40"/>
      <c r="L35" s="137">
        <f>L33</f>
        <v>15660000</v>
      </c>
      <c r="M35" s="138"/>
      <c r="N35" s="39"/>
      <c r="O35" s="138">
        <f>O32</f>
        <v>5021207</v>
      </c>
      <c r="P35" s="145"/>
      <c r="Q35" s="63"/>
      <c r="R35" s="137">
        <f>R32</f>
        <v>3465400</v>
      </c>
      <c r="S35" s="145"/>
      <c r="T35" s="63"/>
      <c r="U35" s="137">
        <f>U28</f>
        <v>0</v>
      </c>
      <c r="V35" s="145"/>
      <c r="W35" s="137">
        <f>W32</f>
        <v>-3628250</v>
      </c>
      <c r="X35" s="138"/>
      <c r="Y35" s="3"/>
    </row>
    <row r="36" spans="1:31" x14ac:dyDescent="0.35">
      <c r="A36" s="51"/>
      <c r="B36" s="37"/>
      <c r="C36" s="37"/>
      <c r="D36" s="37"/>
      <c r="E36" s="37"/>
      <c r="F36" s="37"/>
      <c r="G36" s="37"/>
      <c r="H36" s="37"/>
      <c r="I36" s="37"/>
      <c r="J36" s="37"/>
      <c r="K36" s="40"/>
      <c r="L36" s="68"/>
      <c r="M36" s="63"/>
      <c r="N36" s="39"/>
      <c r="O36" s="63"/>
      <c r="P36" s="69"/>
      <c r="Q36" s="63"/>
      <c r="R36" s="68"/>
      <c r="S36" s="69"/>
      <c r="T36" s="63"/>
      <c r="U36" s="68"/>
      <c r="V36" s="69"/>
      <c r="W36" s="68"/>
      <c r="X36" s="63"/>
      <c r="Y36" s="3"/>
    </row>
    <row r="37" spans="1:31" x14ac:dyDescent="0.35">
      <c r="A37" s="51"/>
      <c r="B37" s="47" t="s">
        <v>150</v>
      </c>
      <c r="C37" s="37" t="s">
        <v>121</v>
      </c>
      <c r="D37" s="37" t="s">
        <v>102</v>
      </c>
      <c r="E37" s="37" t="s">
        <v>103</v>
      </c>
      <c r="F37" s="37" t="s">
        <v>147</v>
      </c>
      <c r="G37" s="37" t="s">
        <v>148</v>
      </c>
      <c r="H37" s="37" t="s">
        <v>149</v>
      </c>
      <c r="I37" s="37" t="s">
        <v>151</v>
      </c>
      <c r="J37" s="37" t="s">
        <v>159</v>
      </c>
      <c r="K37" s="40"/>
      <c r="L37" s="44" t="s">
        <v>160</v>
      </c>
      <c r="M37" s="65" t="s">
        <v>161</v>
      </c>
      <c r="N37" s="39"/>
      <c r="O37" s="62" t="s">
        <v>102</v>
      </c>
      <c r="P37" s="44" t="s">
        <v>156</v>
      </c>
      <c r="Q37" s="44"/>
      <c r="R37" s="44" t="s">
        <v>103</v>
      </c>
      <c r="S37" s="44" t="s">
        <v>157</v>
      </c>
      <c r="T37" s="44"/>
      <c r="U37" s="44" t="s">
        <v>138</v>
      </c>
      <c r="V37" s="44" t="s">
        <v>163</v>
      </c>
      <c r="W37" s="44" t="s">
        <v>148</v>
      </c>
      <c r="X37" s="65" t="s">
        <v>158</v>
      </c>
      <c r="Y37" s="3"/>
    </row>
    <row r="38" spans="1:31" x14ac:dyDescent="0.35">
      <c r="A38" s="139" t="s">
        <v>144</v>
      </c>
      <c r="B38" s="38">
        <v>26</v>
      </c>
      <c r="C38" s="39">
        <v>3996200</v>
      </c>
      <c r="D38" s="39">
        <v>1203100</v>
      </c>
      <c r="E38" s="39">
        <v>178000</v>
      </c>
      <c r="F38" s="39"/>
      <c r="G38" s="39">
        <v>877500</v>
      </c>
      <c r="H38" s="39">
        <v>1046200</v>
      </c>
      <c r="I38" s="39">
        <f t="shared" si="8"/>
        <v>6254800</v>
      </c>
      <c r="J38" s="39">
        <f t="shared" si="9"/>
        <v>2950000</v>
      </c>
      <c r="K38" s="40"/>
      <c r="L38" s="39">
        <f t="shared" ref="L38" si="10">C38-H38</f>
        <v>2950000</v>
      </c>
      <c r="M38" s="56">
        <v>1500000</v>
      </c>
      <c r="N38" s="39" t="s">
        <v>253</v>
      </c>
      <c r="O38" s="55">
        <f>O35+D38</f>
        <v>6224307</v>
      </c>
      <c r="P38" s="39">
        <f>434000+2550000</f>
        <v>2984000</v>
      </c>
      <c r="Q38" s="39" t="s">
        <v>299</v>
      </c>
      <c r="R38" s="39">
        <f>R35+E38</f>
        <v>3643400</v>
      </c>
      <c r="S38" s="39">
        <f>367530+87200+45270</f>
        <v>500000</v>
      </c>
      <c r="T38" s="39" t="s">
        <v>165</v>
      </c>
      <c r="U38" s="39"/>
      <c r="V38" s="39"/>
      <c r="W38" s="39">
        <f>W35+G38-X38</f>
        <v>-4658350</v>
      </c>
      <c r="X38" s="56">
        <f>850000+7600+1050000</f>
        <v>1907600</v>
      </c>
      <c r="Y38" s="3" t="s">
        <v>250</v>
      </c>
    </row>
    <row r="39" spans="1:31" x14ac:dyDescent="0.35">
      <c r="A39" s="139"/>
      <c r="B39" s="38">
        <v>27</v>
      </c>
      <c r="C39" s="39">
        <v>3239000</v>
      </c>
      <c r="D39" s="39">
        <v>950000</v>
      </c>
      <c r="E39" s="39">
        <v>299000</v>
      </c>
      <c r="F39" s="39"/>
      <c r="G39" s="39">
        <v>1097800</v>
      </c>
      <c r="H39" s="39">
        <v>589000</v>
      </c>
      <c r="I39" s="39">
        <f t="shared" si="8"/>
        <v>5585800</v>
      </c>
      <c r="J39" s="39">
        <f t="shared" si="9"/>
        <v>2650000</v>
      </c>
      <c r="K39" s="40"/>
      <c r="L39" s="39">
        <f>L38+J39-M39</f>
        <v>3450000</v>
      </c>
      <c r="M39" s="56">
        <v>2150000</v>
      </c>
      <c r="N39" s="39" t="s">
        <v>123</v>
      </c>
      <c r="O39" s="55">
        <f>O38+D39-P39</f>
        <v>5709459</v>
      </c>
      <c r="P39" s="39">
        <f>312000+1248+400000+1600+750000</f>
        <v>1464848</v>
      </c>
      <c r="Q39" s="39" t="s">
        <v>293</v>
      </c>
      <c r="R39" s="39">
        <f>R38+E39</f>
        <v>3942400</v>
      </c>
      <c r="S39" s="39"/>
      <c r="T39" s="39"/>
      <c r="U39" s="39"/>
      <c r="V39" s="39"/>
      <c r="W39" s="39">
        <f>W38+G39-X39</f>
        <v>-3560550</v>
      </c>
      <c r="X39" s="56"/>
      <c r="Y39" s="3"/>
    </row>
    <row r="40" spans="1:31" x14ac:dyDescent="0.35">
      <c r="A40" s="139"/>
      <c r="B40" s="38">
        <v>28</v>
      </c>
      <c r="C40" s="39">
        <v>3295000</v>
      </c>
      <c r="D40" s="39">
        <v>1505000</v>
      </c>
      <c r="E40" s="39">
        <v>471000</v>
      </c>
      <c r="F40" s="39"/>
      <c r="G40" s="39">
        <v>1084500</v>
      </c>
      <c r="H40" s="39">
        <v>595000</v>
      </c>
      <c r="I40" s="39">
        <f t="shared" si="8"/>
        <v>6355500</v>
      </c>
      <c r="J40" s="39">
        <f t="shared" si="9"/>
        <v>2700000</v>
      </c>
      <c r="K40" s="40"/>
      <c r="L40" s="39">
        <f>L39+J40</f>
        <v>6150000</v>
      </c>
      <c r="M40" s="56"/>
      <c r="N40" s="39"/>
      <c r="O40" s="55">
        <f>O39+D40-P40</f>
        <v>7039398</v>
      </c>
      <c r="P40" s="39">
        <f>9000+165400+661</f>
        <v>175061</v>
      </c>
      <c r="Q40" s="39" t="s">
        <v>257</v>
      </c>
      <c r="R40" s="39">
        <f>R39+E40-S40</f>
        <v>4413400</v>
      </c>
      <c r="S40" s="39"/>
      <c r="T40" s="39"/>
      <c r="U40" s="39"/>
      <c r="V40" s="39"/>
      <c r="W40" s="39">
        <f>W39+G40-X40</f>
        <v>-2476050</v>
      </c>
      <c r="X40" s="56"/>
      <c r="Y40" s="3"/>
    </row>
    <row r="41" spans="1:31" x14ac:dyDescent="0.35">
      <c r="A41" s="139"/>
      <c r="B41" s="38">
        <v>29</v>
      </c>
      <c r="C41" s="39">
        <v>3243400</v>
      </c>
      <c r="D41" s="39">
        <v>1595000</v>
      </c>
      <c r="E41" s="39">
        <v>273500</v>
      </c>
      <c r="F41" s="39"/>
      <c r="G41" s="39">
        <v>1271000</v>
      </c>
      <c r="H41" s="39">
        <v>643400</v>
      </c>
      <c r="I41" s="39">
        <f t="shared" si="8"/>
        <v>6382900</v>
      </c>
      <c r="J41" s="39">
        <f t="shared" si="9"/>
        <v>2600000</v>
      </c>
      <c r="K41" s="40"/>
      <c r="L41" s="39">
        <f>L40+J41</f>
        <v>8750000</v>
      </c>
      <c r="M41" s="56"/>
      <c r="N41" s="39"/>
      <c r="O41" s="55">
        <f>O40+D41</f>
        <v>8634398</v>
      </c>
      <c r="P41" s="56">
        <f>11500+46+8000+32+2244+150540+602+561080</f>
        <v>734044</v>
      </c>
      <c r="Q41" s="39" t="s">
        <v>260</v>
      </c>
      <c r="R41" s="39">
        <f>R40+E41</f>
        <v>4686900</v>
      </c>
      <c r="S41" s="39"/>
      <c r="T41" s="39"/>
      <c r="U41" s="39"/>
      <c r="V41" s="39"/>
      <c r="W41" s="39">
        <f>W40+G41</f>
        <v>-1205050</v>
      </c>
      <c r="X41" s="56"/>
      <c r="Y41" s="3"/>
    </row>
    <row r="42" spans="1:31" x14ac:dyDescent="0.35">
      <c r="A42" s="139"/>
      <c r="B42" s="38">
        <v>30</v>
      </c>
      <c r="C42" s="39">
        <v>3480000</v>
      </c>
      <c r="D42" s="39">
        <v>1443800</v>
      </c>
      <c r="E42" s="39">
        <v>200500</v>
      </c>
      <c r="F42" s="39"/>
      <c r="G42" s="39">
        <v>1225000</v>
      </c>
      <c r="H42" s="39">
        <v>930000</v>
      </c>
      <c r="I42" s="39">
        <f t="shared" si="8"/>
        <v>6349300</v>
      </c>
      <c r="J42" s="39">
        <f t="shared" si="9"/>
        <v>2550000</v>
      </c>
      <c r="K42" s="40"/>
      <c r="L42" s="39">
        <f>L41+J42</f>
        <v>11300000</v>
      </c>
      <c r="M42" s="56">
        <v>2550000</v>
      </c>
      <c r="N42" s="39" t="s">
        <v>350</v>
      </c>
      <c r="O42" s="55">
        <f>O41+D42</f>
        <v>10078198</v>
      </c>
      <c r="P42" s="39">
        <f>17000+68+349150+1396+400000+1600+179700</f>
        <v>948914</v>
      </c>
      <c r="Q42" s="39" t="s">
        <v>262</v>
      </c>
      <c r="R42" s="39">
        <f>R41+E42</f>
        <v>4887400</v>
      </c>
      <c r="S42" s="39"/>
      <c r="T42" s="39"/>
      <c r="U42" s="39"/>
      <c r="V42" s="39"/>
      <c r="W42" s="39">
        <f>W41+G42-X42</f>
        <v>19950</v>
      </c>
      <c r="X42" s="56"/>
      <c r="Y42" s="3"/>
    </row>
    <row r="43" spans="1:31" x14ac:dyDescent="0.35">
      <c r="B43" s="38">
        <v>31</v>
      </c>
      <c r="C43" s="39">
        <v>2290000</v>
      </c>
      <c r="D43" s="39">
        <v>819500</v>
      </c>
      <c r="E43" s="39">
        <v>521000</v>
      </c>
      <c r="F43" s="39"/>
      <c r="G43" s="39">
        <v>730000</v>
      </c>
      <c r="H43" s="39">
        <v>590000</v>
      </c>
      <c r="I43" s="39">
        <f t="shared" si="8"/>
        <v>4360500</v>
      </c>
      <c r="J43" s="39">
        <f t="shared" si="9"/>
        <v>1700000</v>
      </c>
      <c r="K43" s="40"/>
      <c r="L43" s="39">
        <f>L42+J43-M43</f>
        <v>4336000</v>
      </c>
      <c r="M43" s="56">
        <f>7464000+1200000</f>
        <v>8664000</v>
      </c>
      <c r="N43" s="39" t="s">
        <v>351</v>
      </c>
      <c r="O43" s="55">
        <f>O42+D43</f>
        <v>10897698</v>
      </c>
      <c r="P43" s="39">
        <f>2000000+8000</f>
        <v>2008000</v>
      </c>
      <c r="Q43" s="39" t="s">
        <v>271</v>
      </c>
      <c r="R43" s="39">
        <f>R42+E43</f>
        <v>5408400</v>
      </c>
      <c r="S43" s="39"/>
      <c r="T43" s="39"/>
      <c r="U43" s="39"/>
      <c r="V43" s="39"/>
      <c r="W43" s="39">
        <f>W42+G43-X43</f>
        <v>-2577050</v>
      </c>
      <c r="X43" s="56">
        <f>2700000+10800+616200</f>
        <v>3327000</v>
      </c>
      <c r="Y43" s="3" t="s">
        <v>300</v>
      </c>
    </row>
    <row r="44" spans="1:31" x14ac:dyDescent="0.35">
      <c r="B44" s="53"/>
      <c r="C44" s="54"/>
      <c r="D44" s="58">
        <f>SUM(D38:D43)</f>
        <v>7516400</v>
      </c>
      <c r="E44" s="58">
        <f>SUM(E38:E43)</f>
        <v>1943000</v>
      </c>
      <c r="F44" s="54"/>
      <c r="G44" s="58">
        <f>SUM(G38:G43)</f>
        <v>6285800</v>
      </c>
      <c r="H44" s="58">
        <f>SUM(H38:H43)</f>
        <v>4393600</v>
      </c>
      <c r="I44" s="58">
        <f>SUM(I38:I43)</f>
        <v>35288800</v>
      </c>
      <c r="J44" s="60">
        <f>SUM(J38:J43)</f>
        <v>15150000</v>
      </c>
      <c r="K44" s="40"/>
      <c r="L44" s="56"/>
      <c r="M44" s="58">
        <f>SUM(M38:M43)</f>
        <v>14864000</v>
      </c>
      <c r="N44" s="39"/>
      <c r="O44" s="54"/>
      <c r="P44" s="60">
        <f>SUM(P38:P43)</f>
        <v>8314867</v>
      </c>
      <c r="Q44" s="54"/>
      <c r="R44" s="56"/>
      <c r="S44" s="60">
        <f>SUM(S38:S43)</f>
        <v>500000</v>
      </c>
      <c r="T44" s="55"/>
      <c r="U44" s="39"/>
      <c r="V44" s="39"/>
      <c r="W44" s="56"/>
      <c r="X44" s="58">
        <f>SUM(X38:X43)</f>
        <v>5234600</v>
      </c>
      <c r="Y44" s="3"/>
      <c r="AA44" s="18" t="s">
        <v>289</v>
      </c>
      <c r="AE44" s="40"/>
    </row>
    <row r="45" spans="1:31" x14ac:dyDescent="0.35">
      <c r="B45" s="140" t="s">
        <v>193</v>
      </c>
      <c r="C45" s="141"/>
      <c r="D45" s="141"/>
      <c r="E45" s="141"/>
      <c r="F45" s="141"/>
      <c r="G45" s="141"/>
      <c r="H45" s="141"/>
      <c r="I45" s="141"/>
      <c r="J45" s="142"/>
      <c r="L45" s="137">
        <f>L43</f>
        <v>4336000</v>
      </c>
      <c r="M45" s="138"/>
      <c r="N45" s="3"/>
      <c r="O45" s="138">
        <f>O43-P43</f>
        <v>8889698</v>
      </c>
      <c r="P45" s="142"/>
      <c r="Q45" s="61"/>
      <c r="R45" s="137">
        <f>R43-S43</f>
        <v>5408400</v>
      </c>
      <c r="S45" s="142"/>
      <c r="T45" s="62"/>
      <c r="U45" s="3"/>
      <c r="V45" s="3"/>
      <c r="W45" s="137">
        <f>W43</f>
        <v>-2577050</v>
      </c>
      <c r="X45" s="141"/>
      <c r="Y45" s="3"/>
      <c r="AA45" s="46">
        <f>I47</f>
        <v>132303766</v>
      </c>
    </row>
    <row r="46" spans="1:31" x14ac:dyDescent="0.35">
      <c r="B46" s="140" t="s">
        <v>215</v>
      </c>
      <c r="C46" s="141"/>
      <c r="D46" s="141"/>
      <c r="E46" s="141"/>
      <c r="F46" s="141"/>
      <c r="G46" s="141"/>
      <c r="H46" s="141"/>
      <c r="I46" s="141"/>
      <c r="J46" s="142"/>
      <c r="L46" s="137"/>
      <c r="M46" s="141"/>
      <c r="N46" s="3"/>
      <c r="O46" s="146"/>
      <c r="P46" s="144"/>
      <c r="Q46" s="64"/>
      <c r="R46" s="137"/>
      <c r="S46" s="142"/>
      <c r="T46" s="62"/>
      <c r="U46" s="3"/>
      <c r="V46" s="3"/>
      <c r="W46" s="137"/>
      <c r="X46" s="138"/>
      <c r="Y46" s="3"/>
      <c r="AA46" s="18" t="s">
        <v>287</v>
      </c>
      <c r="AB46" s="18" t="s">
        <v>288</v>
      </c>
      <c r="AC46" s="18" t="s">
        <v>290</v>
      </c>
    </row>
    <row r="47" spans="1:31" x14ac:dyDescent="0.35">
      <c r="D47" s="46">
        <f>D44+D34+D23+D12</f>
        <v>25801658</v>
      </c>
      <c r="E47" s="46">
        <f>E44+E34+E23+E12</f>
        <v>6942554</v>
      </c>
      <c r="G47" s="46">
        <f>G44+G34+G23+G12</f>
        <v>20762737</v>
      </c>
      <c r="H47" s="46">
        <f>H44+H34+H23+H12</f>
        <v>17293817</v>
      </c>
      <c r="I47" s="46">
        <f>I44+I34+I23+I12</f>
        <v>132303766</v>
      </c>
      <c r="J47" s="80">
        <f>J44+J34+J23+J12</f>
        <v>61503000</v>
      </c>
      <c r="K47" s="40"/>
      <c r="L47" s="41">
        <f>L45+L35+L24+L13</f>
        <v>43225000</v>
      </c>
      <c r="M47" s="81">
        <f>M44+M23</f>
        <v>22328000</v>
      </c>
      <c r="N47" s="3"/>
      <c r="O47" s="57"/>
      <c r="P47" s="41">
        <f>P44+P33+P23+P12</f>
        <v>21664436</v>
      </c>
      <c r="Q47" s="3"/>
      <c r="R47" s="3"/>
      <c r="S47" s="41">
        <f>S44+S23+S12</f>
        <v>1864900</v>
      </c>
      <c r="T47" s="3"/>
      <c r="U47" s="3"/>
      <c r="V47" s="3"/>
      <c r="W47" s="3"/>
      <c r="X47" s="81">
        <f>X44+X34+X23+X12</f>
        <v>25285258</v>
      </c>
      <c r="Y47" s="3"/>
      <c r="AA47" s="46">
        <f>X47+P47+S47</f>
        <v>48814594</v>
      </c>
      <c r="AB47" s="46">
        <f>M47+H47</f>
        <v>39621817</v>
      </c>
      <c r="AC47" s="46">
        <f>L47</f>
        <v>43225000</v>
      </c>
    </row>
    <row r="48" spans="1:31" x14ac:dyDescent="0.35">
      <c r="D48" s="46"/>
      <c r="E48" s="46"/>
      <c r="G48" s="46"/>
      <c r="H48" s="46"/>
      <c r="I48" s="46"/>
      <c r="J48" s="46"/>
      <c r="K48" s="40"/>
      <c r="L48" s="40"/>
      <c r="M48" s="46"/>
      <c r="P48" s="46"/>
      <c r="S48" s="46"/>
      <c r="X48" s="46"/>
      <c r="AA48" s="46">
        <f>AA47+AB47+AC47</f>
        <v>131661411</v>
      </c>
      <c r="AB48" s="46"/>
    </row>
    <row r="49" spans="1:28" x14ac:dyDescent="0.35">
      <c r="D49" s="46">
        <f>D47+E47+G47</f>
        <v>53506949</v>
      </c>
      <c r="E49" s="46">
        <f>P47+X47</f>
        <v>46949694</v>
      </c>
      <c r="F49" s="40">
        <f>D49-E49</f>
        <v>6557255</v>
      </c>
      <c r="G49" s="46"/>
      <c r="H49" s="46"/>
      <c r="I49" s="46">
        <f>D47+E47+G47+J47+H47</f>
        <v>132303766</v>
      </c>
      <c r="J49" s="46"/>
      <c r="K49" s="40"/>
      <c r="L49" s="40"/>
      <c r="M49" s="46"/>
      <c r="P49" s="46"/>
      <c r="S49" s="46"/>
      <c r="X49" s="46"/>
      <c r="AA49" s="46">
        <f>AA45-AA48</f>
        <v>642355</v>
      </c>
      <c r="AB49" s="46"/>
    </row>
    <row r="50" spans="1:28" ht="21" x14ac:dyDescent="0.5">
      <c r="B50" s="132" t="s">
        <v>1</v>
      </c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AA50" s="40"/>
    </row>
    <row r="51" spans="1:28" ht="21" x14ac:dyDescent="0.5">
      <c r="B51" s="132" t="s">
        <v>273</v>
      </c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</row>
    <row r="52" spans="1:28" ht="21" x14ac:dyDescent="0.5">
      <c r="B52" s="132" t="s">
        <v>275</v>
      </c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</row>
    <row r="53" spans="1:28" x14ac:dyDescent="0.35">
      <c r="O53" s="70" t="s">
        <v>152</v>
      </c>
      <c r="P53" s="24"/>
      <c r="Q53" s="24"/>
      <c r="R53" s="24"/>
      <c r="S53" s="24"/>
      <c r="T53" s="24"/>
      <c r="U53" s="24"/>
      <c r="V53" s="24"/>
      <c r="W53" s="24"/>
      <c r="X53" s="24"/>
    </row>
    <row r="54" spans="1:28" x14ac:dyDescent="0.35">
      <c r="A54" s="45"/>
      <c r="B54" s="37" t="s">
        <v>150</v>
      </c>
      <c r="C54" s="37" t="s">
        <v>121</v>
      </c>
      <c r="D54" s="37" t="s">
        <v>102</v>
      </c>
      <c r="E54" s="37" t="s">
        <v>103</v>
      </c>
      <c r="F54" s="37" t="s">
        <v>147</v>
      </c>
      <c r="G54" s="37" t="s">
        <v>148</v>
      </c>
      <c r="H54" s="37" t="s">
        <v>149</v>
      </c>
      <c r="I54" s="37" t="s">
        <v>151</v>
      </c>
      <c r="J54" s="37" t="s">
        <v>159</v>
      </c>
      <c r="L54" s="44" t="s">
        <v>160</v>
      </c>
      <c r="M54" s="65" t="s">
        <v>161</v>
      </c>
      <c r="N54" s="3"/>
      <c r="O54" s="62" t="s">
        <v>102</v>
      </c>
      <c r="P54" s="44" t="s">
        <v>156</v>
      </c>
      <c r="Q54" s="44" t="s">
        <v>106</v>
      </c>
      <c r="R54" s="44" t="s">
        <v>103</v>
      </c>
      <c r="S54" s="44" t="s">
        <v>157</v>
      </c>
      <c r="T54" s="44" t="s">
        <v>106</v>
      </c>
      <c r="U54" s="44" t="s">
        <v>138</v>
      </c>
      <c r="V54" s="44" t="s">
        <v>163</v>
      </c>
      <c r="W54" s="44" t="s">
        <v>148</v>
      </c>
      <c r="X54" s="65" t="s">
        <v>158</v>
      </c>
      <c r="Y54" s="3"/>
    </row>
    <row r="55" spans="1:28" x14ac:dyDescent="0.35">
      <c r="A55" s="139" t="s">
        <v>194</v>
      </c>
      <c r="B55" s="38">
        <v>2</v>
      </c>
      <c r="C55" s="39">
        <f>1900000+H55</f>
        <v>3130500</v>
      </c>
      <c r="D55" s="39">
        <v>1682000</v>
      </c>
      <c r="E55" s="39">
        <v>218500</v>
      </c>
      <c r="F55" s="39"/>
      <c r="G55" s="39">
        <v>893000</v>
      </c>
      <c r="H55" s="39">
        <v>1230500</v>
      </c>
      <c r="I55" s="39">
        <f>C55+D55+E55+G55</f>
        <v>5924000</v>
      </c>
      <c r="J55" s="39">
        <f>C55-H55</f>
        <v>1900000</v>
      </c>
      <c r="L55" s="39">
        <f>J55-M55</f>
        <v>0</v>
      </c>
      <c r="M55" s="39">
        <v>1900000</v>
      </c>
      <c r="N55" s="3" t="s">
        <v>123</v>
      </c>
      <c r="O55" s="55">
        <f>D55-P55</f>
        <v>147335</v>
      </c>
      <c r="P55" s="39">
        <f>13250+53+13000+52+999010+186400+322900</f>
        <v>1534665</v>
      </c>
      <c r="Q55" s="39" t="s">
        <v>322</v>
      </c>
      <c r="R55" s="39">
        <f>E55-S55</f>
        <v>218500</v>
      </c>
      <c r="S55" s="3"/>
      <c r="T55" s="3"/>
      <c r="U55" s="3"/>
      <c r="V55" s="3"/>
      <c r="W55" s="39">
        <f>G55-X55</f>
        <v>0</v>
      </c>
      <c r="X55" s="56">
        <v>893000</v>
      </c>
      <c r="Y55" s="3" t="s">
        <v>294</v>
      </c>
    </row>
    <row r="56" spans="1:28" x14ac:dyDescent="0.35">
      <c r="A56" s="139"/>
      <c r="B56" s="38">
        <v>3</v>
      </c>
      <c r="C56" s="39">
        <f>2550000+H56</f>
        <v>3340000</v>
      </c>
      <c r="D56" s="39">
        <v>594250</v>
      </c>
      <c r="E56" s="20">
        <v>768250</v>
      </c>
      <c r="F56" s="39"/>
      <c r="G56" s="39">
        <v>1248000</v>
      </c>
      <c r="H56" s="20">
        <v>790000</v>
      </c>
      <c r="I56" s="39">
        <f>C56+D56+E56+G56</f>
        <v>5950500</v>
      </c>
      <c r="J56" s="39">
        <f t="shared" ref="J56:J60" si="11">C56-H56</f>
        <v>2550000</v>
      </c>
      <c r="L56" s="39">
        <f>L55+J56-M56</f>
        <v>2550000</v>
      </c>
      <c r="M56" s="39"/>
      <c r="N56" s="3"/>
      <c r="O56" s="55">
        <f>O55+D56-P56</f>
        <v>-163915</v>
      </c>
      <c r="P56" s="39">
        <f>900000+3600+400+1500</f>
        <v>905500</v>
      </c>
      <c r="Q56" s="39" t="s">
        <v>276</v>
      </c>
      <c r="R56" s="39">
        <f>R55+E56</f>
        <v>986750</v>
      </c>
      <c r="S56" s="3"/>
      <c r="T56" s="3"/>
      <c r="U56" s="3"/>
      <c r="V56" s="3"/>
      <c r="W56" s="39">
        <f>W55+G56-X56</f>
        <v>1248000</v>
      </c>
      <c r="X56" s="56"/>
      <c r="Y56" s="3"/>
    </row>
    <row r="57" spans="1:28" x14ac:dyDescent="0.35">
      <c r="A57" s="139"/>
      <c r="B57" s="38">
        <v>4</v>
      </c>
      <c r="C57" s="39">
        <f>3250000+H57</f>
        <v>4132352</v>
      </c>
      <c r="D57" s="39">
        <v>920000</v>
      </c>
      <c r="E57" s="39">
        <v>512500</v>
      </c>
      <c r="F57" s="39"/>
      <c r="G57" s="39">
        <v>1065000</v>
      </c>
      <c r="H57" s="39">
        <v>882352</v>
      </c>
      <c r="I57" s="39">
        <f t="shared" ref="I57:I60" si="12">C57+D57+E57+G57</f>
        <v>6629852</v>
      </c>
      <c r="J57" s="39">
        <f t="shared" si="11"/>
        <v>3250000</v>
      </c>
      <c r="L57" s="39">
        <f>L56+J57-M57</f>
        <v>5800000</v>
      </c>
      <c r="M57" s="39"/>
      <c r="N57" s="3"/>
      <c r="O57" s="55">
        <f>O56+D57-P57</f>
        <v>-284568</v>
      </c>
      <c r="P57" s="39">
        <f>15000+60+855500+3422+171+166500</f>
        <v>1040653</v>
      </c>
      <c r="Q57" s="39" t="s">
        <v>279</v>
      </c>
      <c r="R57" s="39">
        <f>R56+E57</f>
        <v>1499250</v>
      </c>
      <c r="S57" s="3"/>
      <c r="T57" s="3"/>
      <c r="U57" s="3"/>
      <c r="V57" s="3"/>
      <c r="W57" s="39">
        <f>W56+G57-X57</f>
        <v>2313000</v>
      </c>
      <c r="X57" s="56"/>
      <c r="Y57" s="3"/>
    </row>
    <row r="58" spans="1:28" x14ac:dyDescent="0.35">
      <c r="A58" s="139"/>
      <c r="B58" s="38">
        <v>5</v>
      </c>
      <c r="C58" s="39">
        <f>1850000+H58</f>
        <v>2387000</v>
      </c>
      <c r="D58" s="39">
        <v>641500</v>
      </c>
      <c r="E58" s="39">
        <v>209000</v>
      </c>
      <c r="F58" s="39"/>
      <c r="G58" s="39">
        <v>707000</v>
      </c>
      <c r="H58" s="39">
        <v>537000</v>
      </c>
      <c r="I58" s="39">
        <f t="shared" si="12"/>
        <v>3944500</v>
      </c>
      <c r="J58" s="39">
        <f t="shared" si="11"/>
        <v>1850000</v>
      </c>
      <c r="L58" s="39">
        <f>L57+J58-M58</f>
        <v>7650000</v>
      </c>
      <c r="M58" s="39"/>
      <c r="N58" s="3"/>
      <c r="O58" s="55">
        <f>O57+D58-P58</f>
        <v>-371852</v>
      </c>
      <c r="P58" s="39">
        <f>15000+60+250000+1000+324+3200+81200+378000</f>
        <v>728784</v>
      </c>
      <c r="Q58" s="39" t="s">
        <v>283</v>
      </c>
      <c r="R58" s="39">
        <f>R57+E58</f>
        <v>1708250</v>
      </c>
      <c r="S58" s="3"/>
      <c r="T58" s="3"/>
      <c r="U58" s="3"/>
      <c r="V58" s="3"/>
      <c r="W58" s="39">
        <f>W57+G58-X58</f>
        <v>309200</v>
      </c>
      <c r="X58" s="56">
        <f>2700000+10800</f>
        <v>2710800</v>
      </c>
      <c r="Y58" s="3" t="s">
        <v>352</v>
      </c>
    </row>
    <row r="59" spans="1:28" x14ac:dyDescent="0.35">
      <c r="A59" s="139"/>
      <c r="B59" s="38">
        <v>6</v>
      </c>
      <c r="C59" s="39">
        <f>1850000+H59</f>
        <v>2849500</v>
      </c>
      <c r="D59" s="39">
        <v>1709000</v>
      </c>
      <c r="E59" s="39">
        <v>472500</v>
      </c>
      <c r="F59" s="39"/>
      <c r="G59" s="39">
        <v>1220500</v>
      </c>
      <c r="H59" s="39">
        <v>999500</v>
      </c>
      <c r="I59" s="39">
        <f t="shared" si="12"/>
        <v>6251500</v>
      </c>
      <c r="J59" s="39">
        <f t="shared" si="11"/>
        <v>1850000</v>
      </c>
      <c r="L59" s="39">
        <f>L58+J59-M58</f>
        <v>9500000</v>
      </c>
      <c r="M59" s="39"/>
      <c r="N59" s="3"/>
      <c r="O59" s="55">
        <f>O58+D59-P59</f>
        <v>919992</v>
      </c>
      <c r="P59" s="39">
        <f>19000+76+464+299700+1198+96718</f>
        <v>417156</v>
      </c>
      <c r="Q59" s="39" t="s">
        <v>284</v>
      </c>
      <c r="R59" s="39">
        <f>R58+E59</f>
        <v>2180750</v>
      </c>
      <c r="S59" s="3"/>
      <c r="T59" s="3"/>
      <c r="U59" s="3"/>
      <c r="V59" s="3"/>
      <c r="W59" s="39">
        <f>W58+G59-X59</f>
        <v>1316310</v>
      </c>
      <c r="X59" s="56">
        <f>212540+850</f>
        <v>213390</v>
      </c>
      <c r="Y59" s="3" t="s">
        <v>119</v>
      </c>
    </row>
    <row r="60" spans="1:28" x14ac:dyDescent="0.35">
      <c r="A60" s="139"/>
      <c r="B60" s="38">
        <v>7</v>
      </c>
      <c r="C60" s="39">
        <v>1920000</v>
      </c>
      <c r="D60" s="39">
        <v>1274500</v>
      </c>
      <c r="E60" s="39">
        <v>165500</v>
      </c>
      <c r="F60" s="39"/>
      <c r="G60" s="39">
        <v>933500</v>
      </c>
      <c r="H60" s="39">
        <v>448750</v>
      </c>
      <c r="I60" s="39">
        <f t="shared" si="12"/>
        <v>4293500</v>
      </c>
      <c r="J60" s="39">
        <f t="shared" si="11"/>
        <v>1471250</v>
      </c>
      <c r="L60" s="39">
        <f>L59+J60-M59</f>
        <v>10971250</v>
      </c>
      <c r="M60" s="39"/>
      <c r="N60" s="3"/>
      <c r="O60" s="55">
        <f>O59+D60-P60</f>
        <v>1989676</v>
      </c>
      <c r="P60" s="39">
        <f>204000+816</f>
        <v>204816</v>
      </c>
      <c r="Q60" s="39" t="s">
        <v>276</v>
      </c>
      <c r="R60" s="39">
        <f>R59+E60-S60</f>
        <v>2346250</v>
      </c>
      <c r="S60" s="39"/>
      <c r="T60" s="39"/>
      <c r="U60" s="3"/>
      <c r="V60" s="3"/>
      <c r="W60" s="39">
        <f>W59+G60-X60</f>
        <v>2249810</v>
      </c>
      <c r="X60" s="56"/>
      <c r="Y60" s="3"/>
    </row>
    <row r="61" spans="1:28" x14ac:dyDescent="0.35">
      <c r="A61" s="52"/>
      <c r="B61" s="53"/>
      <c r="C61" s="54"/>
      <c r="D61" s="54"/>
      <c r="E61" s="54"/>
      <c r="F61" s="54"/>
      <c r="G61" s="54"/>
      <c r="H61" s="58">
        <f>SUM(H55:H60)</f>
        <v>4888102</v>
      </c>
      <c r="I61" s="58">
        <f>I60+I59+I58+I57+I56+I55</f>
        <v>32993852</v>
      </c>
      <c r="J61" s="60">
        <f>SUM(J55:J60)</f>
        <v>12871250</v>
      </c>
      <c r="L61" s="56"/>
      <c r="M61" s="58">
        <f>SUM(M55:M60)</f>
        <v>1900000</v>
      </c>
      <c r="N61" s="3"/>
      <c r="O61" s="54"/>
      <c r="P61" s="60">
        <f>SUM(P55:P60)</f>
        <v>4831574</v>
      </c>
      <c r="Q61" s="58"/>
      <c r="R61" s="56"/>
      <c r="S61" s="55"/>
      <c r="T61" s="55"/>
      <c r="U61" s="3"/>
      <c r="V61" s="3"/>
      <c r="W61" s="56"/>
      <c r="X61" s="58">
        <f>SUM(X55:X60)</f>
        <v>3817190</v>
      </c>
      <c r="Y61" s="3"/>
    </row>
    <row r="62" spans="1:28" x14ac:dyDescent="0.35">
      <c r="B62" s="140" t="s">
        <v>162</v>
      </c>
      <c r="C62" s="141"/>
      <c r="D62" s="141"/>
      <c r="E62" s="141"/>
      <c r="F62" s="141"/>
      <c r="G62" s="141"/>
      <c r="H62" s="141"/>
      <c r="I62" s="141"/>
      <c r="J62" s="142"/>
      <c r="L62" s="137">
        <f>L60</f>
        <v>10971250</v>
      </c>
      <c r="M62" s="141"/>
      <c r="N62" s="3"/>
      <c r="O62" s="138">
        <f>O60</f>
        <v>1989676</v>
      </c>
      <c r="P62" s="142"/>
      <c r="Q62" s="61"/>
      <c r="R62" s="137">
        <f>R60</f>
        <v>2346250</v>
      </c>
      <c r="S62" s="142"/>
      <c r="T62" s="62"/>
      <c r="U62" s="3"/>
      <c r="V62" s="3"/>
      <c r="W62" s="137">
        <f>W60</f>
        <v>2249810</v>
      </c>
      <c r="X62" s="138"/>
      <c r="Y62" s="39"/>
    </row>
    <row r="63" spans="1:28" x14ac:dyDescent="0.35">
      <c r="I63" s="40"/>
      <c r="J63" s="42"/>
      <c r="L63" s="3"/>
      <c r="M63" s="59"/>
      <c r="N63" s="3"/>
      <c r="O63" s="57"/>
      <c r="P63" s="39"/>
      <c r="Q63" s="39"/>
      <c r="R63" s="3"/>
      <c r="S63" s="3"/>
      <c r="T63" s="3"/>
      <c r="U63" s="3"/>
      <c r="V63" s="3"/>
      <c r="W63" s="3"/>
      <c r="X63" s="59"/>
      <c r="Y63" s="39"/>
      <c r="Z63" s="40"/>
    </row>
    <row r="64" spans="1:28" x14ac:dyDescent="0.35">
      <c r="A64" s="45"/>
      <c r="B64" s="37" t="s">
        <v>150</v>
      </c>
      <c r="C64" s="37" t="s">
        <v>121</v>
      </c>
      <c r="D64" s="37" t="s">
        <v>102</v>
      </c>
      <c r="E64" s="37" t="s">
        <v>103</v>
      </c>
      <c r="F64" s="37" t="s">
        <v>147</v>
      </c>
      <c r="G64" s="37" t="s">
        <v>148</v>
      </c>
      <c r="H64" s="37" t="s">
        <v>149</v>
      </c>
      <c r="I64" s="37" t="s">
        <v>151</v>
      </c>
      <c r="J64" s="37" t="s">
        <v>159</v>
      </c>
      <c r="L64" s="44" t="s">
        <v>160</v>
      </c>
      <c r="M64" s="65" t="s">
        <v>161</v>
      </c>
      <c r="N64" s="3"/>
      <c r="O64" s="62" t="s">
        <v>102</v>
      </c>
      <c r="P64" s="44" t="s">
        <v>156</v>
      </c>
      <c r="Q64" s="44"/>
      <c r="R64" s="44" t="s">
        <v>103</v>
      </c>
      <c r="S64" s="44" t="s">
        <v>157</v>
      </c>
      <c r="T64" s="44"/>
      <c r="U64" s="44" t="s">
        <v>138</v>
      </c>
      <c r="V64" s="44" t="s">
        <v>163</v>
      </c>
      <c r="W64" s="44" t="s">
        <v>148</v>
      </c>
      <c r="X64" s="65" t="s">
        <v>158</v>
      </c>
      <c r="Y64" s="3"/>
    </row>
    <row r="65" spans="1:25" x14ac:dyDescent="0.35">
      <c r="A65" s="139" t="s">
        <v>126</v>
      </c>
      <c r="B65" s="38">
        <v>9</v>
      </c>
      <c r="C65" s="39">
        <f>2870000+H65</f>
        <v>3794000</v>
      </c>
      <c r="D65" s="39">
        <v>1139500</v>
      </c>
      <c r="E65" s="39">
        <v>356500</v>
      </c>
      <c r="F65" s="39"/>
      <c r="G65" s="39">
        <v>970000</v>
      </c>
      <c r="H65" s="39">
        <v>924000</v>
      </c>
      <c r="I65" s="39">
        <f>C65+D65+E65+G65</f>
        <v>6260000</v>
      </c>
      <c r="J65" s="39">
        <f>C65-H65</f>
        <v>2870000</v>
      </c>
      <c r="L65" s="39">
        <f>J65-M65</f>
        <v>2370000</v>
      </c>
      <c r="M65" s="56">
        <v>500000</v>
      </c>
      <c r="N65" s="3"/>
      <c r="O65" s="55">
        <f>O62+D65-P65</f>
        <v>1017170</v>
      </c>
      <c r="P65" s="39">
        <f>97600+390+81200+464052+1300000+5200+163564</f>
        <v>2112006</v>
      </c>
      <c r="Q65" s="39" t="s">
        <v>321</v>
      </c>
      <c r="R65" s="39">
        <f>E65</f>
        <v>356500</v>
      </c>
      <c r="S65" s="3"/>
      <c r="T65" s="3"/>
      <c r="U65" s="3"/>
      <c r="V65" s="3"/>
      <c r="W65" s="39">
        <f>W62+G65-X65</f>
        <v>509010</v>
      </c>
      <c r="X65" s="56">
        <f>2700000+10800</f>
        <v>2710800</v>
      </c>
      <c r="Y65" s="3" t="s">
        <v>353</v>
      </c>
    </row>
    <row r="66" spans="1:25" x14ac:dyDescent="0.35">
      <c r="A66" s="139"/>
      <c r="B66" s="38">
        <v>10</v>
      </c>
      <c r="C66" s="39">
        <f>2800000+H66</f>
        <v>3920000</v>
      </c>
      <c r="D66" s="20">
        <v>1624000</v>
      </c>
      <c r="E66" s="20">
        <v>423500</v>
      </c>
      <c r="F66" s="39"/>
      <c r="G66" s="39">
        <v>772500</v>
      </c>
      <c r="H66" s="20">
        <v>1120000</v>
      </c>
      <c r="I66" s="39">
        <f>C66+D66+E66+G66</f>
        <v>6740000</v>
      </c>
      <c r="J66" s="39">
        <f t="shared" ref="J66:J70" si="13">C66-H66</f>
        <v>2800000</v>
      </c>
      <c r="L66" s="39">
        <f>L65+J66-M66</f>
        <v>2300000</v>
      </c>
      <c r="M66" s="39">
        <v>2870000</v>
      </c>
      <c r="N66" s="3" t="s">
        <v>123</v>
      </c>
      <c r="O66" s="55">
        <f>O65+D66-P66</f>
        <v>1596658</v>
      </c>
      <c r="P66" s="39">
        <f>415000+250000+378000+1512</f>
        <v>1044512</v>
      </c>
      <c r="Q66" s="39" t="s">
        <v>303</v>
      </c>
      <c r="R66" s="39"/>
      <c r="S66" s="3"/>
      <c r="T66" s="3"/>
      <c r="U66" s="3"/>
      <c r="V66" s="3"/>
      <c r="W66" s="39">
        <f>W65+G6-X674</f>
        <v>1193410</v>
      </c>
      <c r="X66" s="56"/>
      <c r="Y66" s="3"/>
    </row>
    <row r="67" spans="1:25" x14ac:dyDescent="0.35">
      <c r="A67" s="139"/>
      <c r="B67" s="38">
        <v>11</v>
      </c>
      <c r="C67" s="39">
        <f>2900000+H67</f>
        <v>3740000</v>
      </c>
      <c r="D67" s="39">
        <v>1170500</v>
      </c>
      <c r="E67" s="39">
        <v>285500</v>
      </c>
      <c r="F67" s="39"/>
      <c r="G67" s="39">
        <v>566000</v>
      </c>
      <c r="H67" s="39">
        <v>840000</v>
      </c>
      <c r="I67" s="39">
        <f t="shared" ref="I67:I70" si="14">C67+D67+E67+G67</f>
        <v>5762000</v>
      </c>
      <c r="J67" s="39">
        <f t="shared" si="13"/>
        <v>2900000</v>
      </c>
      <c r="L67" s="39">
        <f>L66+J67-M67</f>
        <v>5200000</v>
      </c>
      <c r="M67" s="56"/>
      <c r="N67" s="3"/>
      <c r="O67" s="55">
        <f>O66+D67-P67</f>
        <v>1438666</v>
      </c>
      <c r="P67" s="39">
        <f>1000000+4000+323200+1292</f>
        <v>1328492</v>
      </c>
      <c r="Q67" s="39" t="s">
        <v>304</v>
      </c>
      <c r="R67" s="39">
        <f>R66+E67</f>
        <v>285500</v>
      </c>
      <c r="S67" s="3"/>
      <c r="T67" s="3"/>
      <c r="U67" s="3"/>
      <c r="V67" s="3"/>
      <c r="W67" s="39">
        <f>W66+G67-X67</f>
        <v>9410</v>
      </c>
      <c r="X67" s="56">
        <v>1750000</v>
      </c>
      <c r="Y67" s="3" t="s">
        <v>123</v>
      </c>
    </row>
    <row r="68" spans="1:25" x14ac:dyDescent="0.35">
      <c r="A68" s="139"/>
      <c r="B68" s="38">
        <v>12</v>
      </c>
      <c r="C68" s="39">
        <f>2660000+H68</f>
        <v>3505000</v>
      </c>
      <c r="D68" s="20">
        <v>1301715</v>
      </c>
      <c r="E68" s="20">
        <v>230500</v>
      </c>
      <c r="F68" s="39"/>
      <c r="G68" s="39">
        <v>1296500</v>
      </c>
      <c r="H68" s="20">
        <v>845000</v>
      </c>
      <c r="I68" s="39">
        <f t="shared" si="14"/>
        <v>6333715</v>
      </c>
      <c r="J68" s="39">
        <f t="shared" si="13"/>
        <v>2660000</v>
      </c>
      <c r="L68" s="39">
        <f>L67+J68-M68</f>
        <v>7860000</v>
      </c>
      <c r="M68" s="56"/>
      <c r="N68" s="3"/>
      <c r="O68" s="55">
        <f>O67+D68-P68</f>
        <v>2286079</v>
      </c>
      <c r="P68" s="39">
        <f>9000+36+93600+374+1292+350000</f>
        <v>454302</v>
      </c>
      <c r="Q68" s="39" t="s">
        <v>305</v>
      </c>
      <c r="R68" s="39">
        <f>R67+E68</f>
        <v>516000</v>
      </c>
      <c r="S68" s="3"/>
      <c r="T68" s="3"/>
      <c r="U68" s="3"/>
      <c r="V68" s="3"/>
      <c r="W68" s="39">
        <f>W67+G68-X69</f>
        <v>1287860</v>
      </c>
    </row>
    <row r="69" spans="1:25" x14ac:dyDescent="0.35">
      <c r="A69" s="139"/>
      <c r="B69" s="38">
        <v>13</v>
      </c>
      <c r="C69" s="39">
        <f>2600000+H69</f>
        <v>3692000</v>
      </c>
      <c r="D69" s="20">
        <v>1460000</v>
      </c>
      <c r="E69" s="20">
        <v>319500</v>
      </c>
      <c r="F69" s="39"/>
      <c r="G69" s="39">
        <v>1126500</v>
      </c>
      <c r="H69" s="20">
        <v>1092000</v>
      </c>
      <c r="I69" s="39">
        <f t="shared" si="14"/>
        <v>6598000</v>
      </c>
      <c r="J69" s="39">
        <f t="shared" si="13"/>
        <v>2600000</v>
      </c>
      <c r="L69" s="39">
        <f t="shared" ref="L69:L70" si="15">L68+J69-M69</f>
        <v>10460000</v>
      </c>
      <c r="M69" s="59"/>
      <c r="N69" s="3"/>
      <c r="O69" s="55">
        <f>O68+D69-P69</f>
        <v>3628569</v>
      </c>
      <c r="P69" s="39">
        <f>102510+15000</f>
        <v>117510</v>
      </c>
      <c r="Q69" s="39" t="s">
        <v>323</v>
      </c>
      <c r="R69" s="39">
        <f>R68+E69-S69</f>
        <v>835500</v>
      </c>
      <c r="S69" s="3"/>
      <c r="T69" s="3"/>
      <c r="U69" s="3"/>
      <c r="V69" s="3"/>
      <c r="W69" s="39">
        <f>W68+G69-X68</f>
        <v>2414360</v>
      </c>
      <c r="X69" s="56">
        <v>18050</v>
      </c>
      <c r="Y69" s="3" t="s">
        <v>306</v>
      </c>
    </row>
    <row r="70" spans="1:25" x14ac:dyDescent="0.35">
      <c r="A70" s="139"/>
      <c r="B70" s="38">
        <v>14</v>
      </c>
      <c r="C70" s="39">
        <f>1750000+H70</f>
        <v>2245000</v>
      </c>
      <c r="D70" s="20">
        <v>760000</v>
      </c>
      <c r="E70" s="20">
        <v>275000</v>
      </c>
      <c r="F70" s="39"/>
      <c r="G70" s="39">
        <v>585500</v>
      </c>
      <c r="H70" s="20">
        <v>495000</v>
      </c>
      <c r="I70" s="39">
        <f t="shared" si="14"/>
        <v>3865500</v>
      </c>
      <c r="J70" s="39">
        <f t="shared" si="13"/>
        <v>1750000</v>
      </c>
      <c r="L70" s="39">
        <f t="shared" si="15"/>
        <v>12210000</v>
      </c>
      <c r="M70" s="59"/>
      <c r="N70" s="3"/>
      <c r="O70" s="55">
        <f>O69+D70-P70</f>
        <v>861537</v>
      </c>
      <c r="P70" s="39">
        <f>5000+1000000+4000+1500000+6000+308000+1232+700000+2800</f>
        <v>3527032</v>
      </c>
      <c r="Q70" s="39" t="s">
        <v>324</v>
      </c>
      <c r="R70" s="39">
        <f>R69+E70-S70</f>
        <v>1110500</v>
      </c>
      <c r="S70" s="39"/>
      <c r="T70" s="39"/>
      <c r="U70" s="3"/>
      <c r="V70" s="3"/>
      <c r="W70" s="39">
        <f>W69+G70-X70</f>
        <v>989060</v>
      </c>
      <c r="X70" s="56">
        <f>10800+2000000</f>
        <v>2010800</v>
      </c>
      <c r="Y70" s="3" t="s">
        <v>319</v>
      </c>
    </row>
    <row r="71" spans="1:25" x14ac:dyDescent="0.35">
      <c r="A71" s="52"/>
      <c r="B71" s="53"/>
      <c r="C71" s="54"/>
      <c r="D71" s="54"/>
      <c r="E71" s="54"/>
      <c r="F71" s="54"/>
      <c r="G71" s="54"/>
      <c r="H71" s="58">
        <f>SUM(H65:H70)</f>
        <v>5316000</v>
      </c>
      <c r="I71" s="58">
        <f>SUM(I65:I70)</f>
        <v>35559215</v>
      </c>
      <c r="J71" s="60">
        <f>SUM(J65:J70)</f>
        <v>15580000</v>
      </c>
      <c r="L71" s="56"/>
      <c r="M71" s="58">
        <f>SUM(M65:M70)</f>
        <v>3370000</v>
      </c>
      <c r="N71" s="3"/>
      <c r="O71" s="54"/>
      <c r="P71" s="60">
        <f>SUM(P65:P70)</f>
        <v>8583854</v>
      </c>
      <c r="Q71" s="58"/>
      <c r="R71" s="56"/>
      <c r="S71" s="55"/>
      <c r="T71" s="55"/>
      <c r="U71" s="3"/>
      <c r="V71" s="3"/>
      <c r="W71" s="56"/>
      <c r="X71" s="58">
        <f>SUM(X65:X70)</f>
        <v>6489650</v>
      </c>
      <c r="Y71" s="3"/>
    </row>
    <row r="72" spans="1:25" x14ac:dyDescent="0.35">
      <c r="B72" s="140" t="s">
        <v>164</v>
      </c>
      <c r="C72" s="141"/>
      <c r="D72" s="141"/>
      <c r="E72" s="141"/>
      <c r="F72" s="141"/>
      <c r="G72" s="141"/>
      <c r="H72" s="141"/>
      <c r="I72" s="141"/>
      <c r="J72" s="142"/>
      <c r="L72" s="137">
        <f>L70</f>
        <v>12210000</v>
      </c>
      <c r="M72" s="141"/>
      <c r="N72" s="3"/>
      <c r="O72" s="138">
        <f>O70</f>
        <v>861537</v>
      </c>
      <c r="P72" s="142"/>
      <c r="Q72" s="61"/>
      <c r="R72" s="137">
        <f>R70</f>
        <v>1110500</v>
      </c>
      <c r="S72" s="142"/>
      <c r="T72" s="62"/>
      <c r="U72" s="3"/>
      <c r="V72" s="3"/>
      <c r="W72" s="137">
        <f>W70</f>
        <v>989060</v>
      </c>
      <c r="X72" s="138"/>
      <c r="Y72" s="3"/>
    </row>
    <row r="73" spans="1:25" x14ac:dyDescent="0.35">
      <c r="J73" s="42"/>
      <c r="L73" s="3"/>
      <c r="M73" s="59"/>
      <c r="N73" s="3"/>
      <c r="O73" s="57"/>
      <c r="P73" s="3"/>
      <c r="Q73" s="3"/>
      <c r="R73" s="3"/>
      <c r="S73" s="3"/>
      <c r="T73" s="3"/>
      <c r="U73" s="3"/>
      <c r="V73" s="3"/>
      <c r="W73" s="3"/>
      <c r="X73" s="59"/>
      <c r="Y73" s="3"/>
    </row>
    <row r="74" spans="1:25" x14ac:dyDescent="0.35">
      <c r="A74" s="45"/>
      <c r="B74" s="37" t="s">
        <v>150</v>
      </c>
      <c r="C74" s="37" t="s">
        <v>121</v>
      </c>
      <c r="D74" s="37" t="s">
        <v>102</v>
      </c>
      <c r="E74" s="37" t="s">
        <v>103</v>
      </c>
      <c r="F74" s="37" t="s">
        <v>147</v>
      </c>
      <c r="G74" s="37" t="s">
        <v>148</v>
      </c>
      <c r="H74" s="37" t="s">
        <v>149</v>
      </c>
      <c r="I74" s="37" t="s">
        <v>151</v>
      </c>
      <c r="J74" s="37" t="s">
        <v>159</v>
      </c>
      <c r="L74" s="44" t="s">
        <v>160</v>
      </c>
      <c r="M74" s="65" t="s">
        <v>161</v>
      </c>
      <c r="N74" s="3"/>
      <c r="O74" s="62" t="s">
        <v>102</v>
      </c>
      <c r="P74" s="44" t="s">
        <v>156</v>
      </c>
      <c r="Q74" s="44"/>
      <c r="R74" s="44" t="s">
        <v>103</v>
      </c>
      <c r="S74" s="44" t="s">
        <v>157</v>
      </c>
      <c r="T74" s="44"/>
      <c r="U74" s="44" t="s">
        <v>138</v>
      </c>
      <c r="V74" s="44" t="s">
        <v>163</v>
      </c>
      <c r="W74" s="44" t="s">
        <v>148</v>
      </c>
      <c r="X74" s="65" t="s">
        <v>158</v>
      </c>
      <c r="Y74" s="3"/>
    </row>
    <row r="75" spans="1:25" x14ac:dyDescent="0.35">
      <c r="A75" s="139" t="s">
        <v>143</v>
      </c>
      <c r="B75" s="38">
        <v>16</v>
      </c>
      <c r="C75" s="39">
        <f>3150000+H75</f>
        <v>4074400</v>
      </c>
      <c r="D75" s="20">
        <v>1066000</v>
      </c>
      <c r="E75" s="20">
        <v>464000</v>
      </c>
      <c r="F75" s="39"/>
      <c r="G75" s="39">
        <v>903500</v>
      </c>
      <c r="H75" s="20">
        <v>924400</v>
      </c>
      <c r="I75" s="39">
        <f>C75+D75+E75+G75</f>
        <v>6507900</v>
      </c>
      <c r="J75" s="39">
        <f>C75-H75</f>
        <v>3150000</v>
      </c>
      <c r="L75" s="39">
        <f>J75-M75</f>
        <v>2750000</v>
      </c>
      <c r="M75" s="56">
        <v>400000</v>
      </c>
      <c r="N75" s="3"/>
      <c r="O75" s="55">
        <f>O72+D75-P75</f>
        <v>895717</v>
      </c>
      <c r="P75" s="39">
        <f>8000+1400+420000+1680+510000+2040+88700</f>
        <v>1031820</v>
      </c>
      <c r="Q75" s="39" t="s">
        <v>330</v>
      </c>
      <c r="R75" s="39">
        <f>R72+E75-S75</f>
        <v>1574500</v>
      </c>
      <c r="S75" s="3"/>
      <c r="T75" s="3"/>
      <c r="U75" s="3"/>
      <c r="V75" s="3"/>
      <c r="W75" s="39">
        <f>W72+G75-X75</f>
        <v>561760</v>
      </c>
      <c r="X75" s="56">
        <f>800000+163000+364600+3200</f>
        <v>1330800</v>
      </c>
      <c r="Y75" s="3" t="s">
        <v>329</v>
      </c>
    </row>
    <row r="76" spans="1:25" x14ac:dyDescent="0.35">
      <c r="A76" s="139"/>
      <c r="B76" s="38">
        <v>17</v>
      </c>
      <c r="C76" s="39">
        <f>2350000+H76</f>
        <v>3195000</v>
      </c>
      <c r="D76" s="20">
        <v>1047000</v>
      </c>
      <c r="E76" s="20">
        <v>194500</v>
      </c>
      <c r="F76" s="39"/>
      <c r="G76" s="39">
        <v>1329300</v>
      </c>
      <c r="H76" s="20">
        <v>845000</v>
      </c>
      <c r="I76" s="39">
        <f>C76+D76+E76+G76</f>
        <v>5765800</v>
      </c>
      <c r="J76" s="39">
        <f t="shared" ref="J76:J80" si="16">C76-H76</f>
        <v>2350000</v>
      </c>
      <c r="L76" s="39">
        <f>L75+J76-M76</f>
        <v>1950000</v>
      </c>
      <c r="M76" s="39">
        <v>3150000</v>
      </c>
      <c r="N76" s="3" t="s">
        <v>123</v>
      </c>
      <c r="O76" s="55">
        <f>O75+D76-P76</f>
        <v>1939917</v>
      </c>
      <c r="P76" s="39">
        <f>2800</f>
        <v>2800</v>
      </c>
      <c r="Q76" s="39" t="s">
        <v>325</v>
      </c>
      <c r="R76" s="39">
        <f>R75+E76-S76</f>
        <v>1769000</v>
      </c>
      <c r="S76" s="3"/>
      <c r="T76" s="3"/>
      <c r="U76" s="3"/>
      <c r="V76" s="3"/>
      <c r="W76" s="39">
        <f>W75+G76-X76</f>
        <v>1891060</v>
      </c>
      <c r="X76" s="56"/>
      <c r="Y76" s="3"/>
    </row>
    <row r="77" spans="1:25" x14ac:dyDescent="0.35">
      <c r="A77" s="139"/>
      <c r="B77" s="38">
        <v>18</v>
      </c>
      <c r="C77" s="39">
        <f>2550000</f>
        <v>2550000</v>
      </c>
      <c r="D77" s="20">
        <v>1263000</v>
      </c>
      <c r="E77" s="20">
        <v>402000</v>
      </c>
      <c r="F77" s="39"/>
      <c r="G77" s="39">
        <v>820800</v>
      </c>
      <c r="H77" s="20">
        <v>1147500</v>
      </c>
      <c r="I77" s="39">
        <f t="shared" ref="I77:I80" si="17">C77+D77+E77+G77</f>
        <v>5035800</v>
      </c>
      <c r="J77" s="39">
        <f t="shared" si="16"/>
        <v>1402500</v>
      </c>
      <c r="L77" s="39">
        <f t="shared" ref="L77:L80" si="18">L76+J77-M77</f>
        <v>3352500</v>
      </c>
      <c r="M77" s="56"/>
      <c r="N77" s="3"/>
      <c r="O77" s="55">
        <f>O76+D77-P77</f>
        <v>2922477</v>
      </c>
      <c r="P77" s="39">
        <f>6000+520+120+273800</f>
        <v>280440</v>
      </c>
      <c r="Q77" s="39" t="s">
        <v>332</v>
      </c>
      <c r="R77" s="39">
        <f>R76+E77</f>
        <v>2171000</v>
      </c>
      <c r="S77" s="3"/>
      <c r="T77" s="3"/>
      <c r="U77" s="3"/>
      <c r="V77" s="3"/>
      <c r="W77" s="39">
        <f>W76+G77-X77</f>
        <v>2711860</v>
      </c>
      <c r="X77" s="56"/>
      <c r="Y77" s="3"/>
    </row>
    <row r="78" spans="1:25" x14ac:dyDescent="0.35">
      <c r="A78" s="139"/>
      <c r="B78" s="38">
        <v>19</v>
      </c>
      <c r="C78" s="39">
        <f>3050000+H78</f>
        <v>3655000</v>
      </c>
      <c r="D78" s="20">
        <v>1300500</v>
      </c>
      <c r="E78" s="20">
        <v>234500</v>
      </c>
      <c r="F78" s="39"/>
      <c r="G78" s="39">
        <v>816300</v>
      </c>
      <c r="H78" s="20">
        <v>605000</v>
      </c>
      <c r="I78" s="39">
        <f t="shared" si="17"/>
        <v>6006300</v>
      </c>
      <c r="J78" s="39">
        <f t="shared" si="16"/>
        <v>3050000</v>
      </c>
      <c r="L78" s="39">
        <f t="shared" si="18"/>
        <v>6402500</v>
      </c>
      <c r="M78" s="56"/>
      <c r="N78" s="3"/>
      <c r="O78" s="55">
        <f>O77+D78-P78</f>
        <v>4015036</v>
      </c>
      <c r="P78" s="39">
        <f>7000+796+199050+1095</f>
        <v>207941</v>
      </c>
      <c r="Q78" s="39" t="s">
        <v>326</v>
      </c>
      <c r="R78" s="39">
        <f>R77+E78</f>
        <v>2405500</v>
      </c>
      <c r="S78" s="3"/>
      <c r="T78" s="3"/>
      <c r="U78" s="3"/>
      <c r="V78" s="3"/>
      <c r="W78" s="39">
        <f>W77+G78-X78</f>
        <v>2618771</v>
      </c>
      <c r="X78" s="56">
        <f>905766+3623</f>
        <v>909389</v>
      </c>
      <c r="Y78" s="3" t="s">
        <v>328</v>
      </c>
    </row>
    <row r="79" spans="1:25" x14ac:dyDescent="0.35">
      <c r="A79" s="139"/>
      <c r="B79" s="38">
        <v>20</v>
      </c>
      <c r="C79" s="39">
        <f>2300000+H79</f>
        <v>3272000</v>
      </c>
      <c r="D79" s="20">
        <v>1108000</v>
      </c>
      <c r="E79" s="20">
        <v>488000</v>
      </c>
      <c r="F79" s="39"/>
      <c r="G79" s="39">
        <v>1367500</v>
      </c>
      <c r="H79" s="20">
        <v>972000</v>
      </c>
      <c r="I79" s="39">
        <f t="shared" si="17"/>
        <v>6235500</v>
      </c>
      <c r="J79" s="39">
        <f t="shared" si="16"/>
        <v>2300000</v>
      </c>
      <c r="L79" s="39">
        <f t="shared" si="18"/>
        <v>8702500</v>
      </c>
      <c r="M79" s="59"/>
      <c r="N79" s="3"/>
      <c r="O79" s="55">
        <f>O78+D79-P79</f>
        <v>4912236</v>
      </c>
      <c r="P79" s="39">
        <f>10000+200000+800</f>
        <v>210800</v>
      </c>
      <c r="Q79" s="39" t="s">
        <v>327</v>
      </c>
      <c r="R79" s="39">
        <f>R78+E79-S79</f>
        <v>2893500</v>
      </c>
      <c r="S79" s="3"/>
      <c r="T79" s="3"/>
      <c r="U79" s="3"/>
      <c r="V79" s="3"/>
      <c r="W79" s="39">
        <f>W78+G79-X79</f>
        <v>3986271</v>
      </c>
      <c r="X79" s="56"/>
      <c r="Y79" s="3"/>
    </row>
    <row r="80" spans="1:25" x14ac:dyDescent="0.35">
      <c r="A80" s="139"/>
      <c r="B80" s="38">
        <v>21</v>
      </c>
      <c r="C80" s="39">
        <f>2050000+H80</f>
        <v>2275000</v>
      </c>
      <c r="D80" s="20">
        <v>1233500</v>
      </c>
      <c r="E80" s="20">
        <v>135500</v>
      </c>
      <c r="F80" s="39"/>
      <c r="G80" s="39">
        <v>682500</v>
      </c>
      <c r="H80" s="20">
        <v>225000</v>
      </c>
      <c r="I80" s="39">
        <f t="shared" si="17"/>
        <v>4326500</v>
      </c>
      <c r="J80" s="39">
        <f t="shared" si="16"/>
        <v>2050000</v>
      </c>
      <c r="L80" s="39">
        <f t="shared" si="18"/>
        <v>10752500</v>
      </c>
      <c r="M80" s="59"/>
      <c r="N80" s="3"/>
      <c r="O80" s="55">
        <f>O79+D80-P80</f>
        <v>2900620</v>
      </c>
      <c r="P80" s="39">
        <f>41000+204000+816+1500000+6000+1200000+4800+288500</f>
        <v>3245116</v>
      </c>
      <c r="Q80" s="39" t="s">
        <v>335</v>
      </c>
      <c r="R80" s="39">
        <f>R79+E80-S80</f>
        <v>3029000</v>
      </c>
      <c r="S80" s="39"/>
      <c r="T80" s="39"/>
      <c r="U80" s="3"/>
      <c r="V80" s="3"/>
      <c r="W80" s="39">
        <f>W79+G80-X80</f>
        <v>1957971</v>
      </c>
      <c r="X80" s="56">
        <f>10800+2700000</f>
        <v>2710800</v>
      </c>
      <c r="Y80" s="3" t="s">
        <v>136</v>
      </c>
    </row>
    <row r="81" spans="1:31" x14ac:dyDescent="0.35">
      <c r="A81" s="52"/>
      <c r="B81" s="53"/>
      <c r="C81" s="54"/>
      <c r="D81" s="54"/>
      <c r="E81" s="54"/>
      <c r="F81" s="54"/>
      <c r="G81" s="54"/>
      <c r="H81" s="58">
        <f>SUM(H75:H80)</f>
        <v>4718900</v>
      </c>
      <c r="I81" s="58">
        <f>SUM(I75:I80)</f>
        <v>33877800</v>
      </c>
      <c r="J81" s="60">
        <f>SUM(J75:J80)</f>
        <v>14302500</v>
      </c>
      <c r="L81" s="56"/>
      <c r="M81" s="58">
        <f>SUM(M75:M80)</f>
        <v>3550000</v>
      </c>
      <c r="N81" s="3"/>
      <c r="O81" s="54"/>
      <c r="P81" s="60">
        <f>SUM(P75:P80)</f>
        <v>4978917</v>
      </c>
      <c r="Q81" s="58"/>
      <c r="R81" s="56"/>
      <c r="S81" s="55"/>
      <c r="T81" s="55"/>
      <c r="U81" s="3"/>
      <c r="V81" s="3"/>
      <c r="W81" s="56"/>
      <c r="X81" s="58">
        <f>SUM(X75:X80)</f>
        <v>4950989</v>
      </c>
      <c r="Y81" s="3"/>
    </row>
    <row r="82" spans="1:31" x14ac:dyDescent="0.35">
      <c r="B82" s="140" t="s">
        <v>197</v>
      </c>
      <c r="C82" s="141"/>
      <c r="D82" s="141"/>
      <c r="E82" s="141"/>
      <c r="F82" s="141"/>
      <c r="G82" s="141"/>
      <c r="H82" s="141"/>
      <c r="I82" s="141"/>
      <c r="J82" s="142"/>
      <c r="L82" s="137">
        <f>L80</f>
        <v>10752500</v>
      </c>
      <c r="M82" s="141"/>
      <c r="N82" s="3"/>
      <c r="O82" s="138">
        <f>O80</f>
        <v>2900620</v>
      </c>
      <c r="P82" s="142"/>
      <c r="Q82" s="61"/>
      <c r="R82" s="137">
        <f>R80</f>
        <v>3029000</v>
      </c>
      <c r="S82" s="142"/>
      <c r="T82" s="62"/>
      <c r="U82" s="3"/>
      <c r="V82" s="3"/>
      <c r="W82" s="137">
        <f>W80</f>
        <v>1957971</v>
      </c>
      <c r="X82" s="138"/>
      <c r="Y82" s="3"/>
    </row>
    <row r="83" spans="1:31" x14ac:dyDescent="0.35">
      <c r="N83" s="3"/>
      <c r="Y83" s="3"/>
    </row>
    <row r="84" spans="1:31" x14ac:dyDescent="0.35">
      <c r="A84" s="45"/>
      <c r="B84" s="37" t="s">
        <v>150</v>
      </c>
      <c r="C84" s="37" t="s">
        <v>121</v>
      </c>
      <c r="D84" s="37" t="s">
        <v>102</v>
      </c>
      <c r="E84" s="37" t="s">
        <v>103</v>
      </c>
      <c r="F84" s="37" t="s">
        <v>147</v>
      </c>
      <c r="G84" s="37" t="s">
        <v>148</v>
      </c>
      <c r="H84" s="37" t="s">
        <v>149</v>
      </c>
      <c r="I84" s="37" t="s">
        <v>151</v>
      </c>
      <c r="J84" s="37" t="s">
        <v>159</v>
      </c>
      <c r="L84" s="44" t="s">
        <v>160</v>
      </c>
      <c r="M84" s="65" t="s">
        <v>161</v>
      </c>
      <c r="N84" s="3"/>
      <c r="O84" s="62" t="s">
        <v>102</v>
      </c>
      <c r="P84" s="44" t="s">
        <v>156</v>
      </c>
      <c r="Q84" s="44"/>
      <c r="R84" s="44" t="s">
        <v>103</v>
      </c>
      <c r="S84" s="44" t="s">
        <v>157</v>
      </c>
      <c r="T84" s="44"/>
      <c r="U84" s="44" t="s">
        <v>138</v>
      </c>
      <c r="V84" s="44" t="s">
        <v>163</v>
      </c>
      <c r="W84" s="44" t="s">
        <v>148</v>
      </c>
      <c r="X84" s="65" t="s">
        <v>158</v>
      </c>
      <c r="Y84" s="3"/>
    </row>
    <row r="85" spans="1:31" x14ac:dyDescent="0.35">
      <c r="A85" s="139" t="s">
        <v>144</v>
      </c>
      <c r="B85" s="38">
        <v>23</v>
      </c>
      <c r="C85" s="39">
        <f>3250000+H85</f>
        <v>3770000</v>
      </c>
      <c r="D85" s="20">
        <v>1426900</v>
      </c>
      <c r="E85" s="20">
        <v>522000</v>
      </c>
      <c r="F85" s="39"/>
      <c r="G85" s="39">
        <v>70000</v>
      </c>
      <c r="H85" s="20">
        <v>520000</v>
      </c>
      <c r="I85" s="39">
        <f>C85+D85+E85+G85</f>
        <v>5788900</v>
      </c>
      <c r="J85" s="39">
        <f>C85-H85</f>
        <v>3250000</v>
      </c>
      <c r="L85" s="39">
        <f>J85-M85</f>
        <v>3250000</v>
      </c>
      <c r="M85" s="56"/>
      <c r="N85" s="3"/>
      <c r="O85" s="55">
        <f>O82+D85-P85</f>
        <v>2323520</v>
      </c>
      <c r="P85" s="39">
        <f>1000000+4000+ 1000000</f>
        <v>2004000</v>
      </c>
      <c r="Q85" s="39" t="s">
        <v>339</v>
      </c>
      <c r="R85" s="39">
        <f>R82+E85-S85</f>
        <v>3551000</v>
      </c>
      <c r="S85" s="3"/>
      <c r="T85" s="3"/>
      <c r="U85" s="3"/>
      <c r="V85" s="3"/>
      <c r="W85" s="39">
        <f>W82+G85-X85</f>
        <v>721931</v>
      </c>
      <c r="X85" s="56">
        <f>8000+1000000+105070+192970</f>
        <v>1306040</v>
      </c>
      <c r="Y85" s="3" t="s">
        <v>337</v>
      </c>
    </row>
    <row r="86" spans="1:31" x14ac:dyDescent="0.35">
      <c r="A86" s="139"/>
      <c r="B86" s="38">
        <v>24</v>
      </c>
      <c r="C86" s="39">
        <f>2900000+H86</f>
        <v>3415212</v>
      </c>
      <c r="D86" s="20">
        <v>1501175</v>
      </c>
      <c r="E86" s="20">
        <v>369000</v>
      </c>
      <c r="F86" s="39"/>
      <c r="G86" s="39">
        <v>799500</v>
      </c>
      <c r="H86" s="20">
        <v>515212</v>
      </c>
      <c r="I86" s="39">
        <f>C86+D86+E86+G86</f>
        <v>6084887</v>
      </c>
      <c r="J86" s="39">
        <f t="shared" ref="J86:J90" si="19">C86-H86</f>
        <v>2900000</v>
      </c>
      <c r="L86" s="39">
        <f>L85+J86-M86</f>
        <v>2900000</v>
      </c>
      <c r="M86" s="39">
        <v>3250000</v>
      </c>
      <c r="N86" s="3" t="s">
        <v>123</v>
      </c>
      <c r="O86" s="55">
        <f>O85+D86-P86</f>
        <v>1858763</v>
      </c>
      <c r="P86" s="39">
        <f>42000+171+74900+299+45000+180+240+1000000+4000+40000+160+70000+280+40000+160+60000+240+60000+440+160+40000+160+300000+1200+185600+742</f>
        <v>1965932</v>
      </c>
      <c r="Q86" s="39" t="s">
        <v>336</v>
      </c>
      <c r="R86" s="39">
        <f>R85+E86-S86</f>
        <v>3920000</v>
      </c>
      <c r="S86" s="3"/>
      <c r="T86" s="3"/>
      <c r="U86" s="3"/>
      <c r="V86" s="3"/>
      <c r="W86" s="39">
        <f>W85+G86-X86</f>
        <v>1521431</v>
      </c>
      <c r="X86" s="56"/>
      <c r="Y86" s="3"/>
    </row>
    <row r="87" spans="1:31" x14ac:dyDescent="0.35">
      <c r="A87" s="139"/>
      <c r="B87" s="38">
        <v>25</v>
      </c>
      <c r="C87" s="39">
        <f>3200000+H87</f>
        <v>3650000</v>
      </c>
      <c r="D87" s="20">
        <v>1301000</v>
      </c>
      <c r="E87" s="20">
        <v>303000</v>
      </c>
      <c r="F87" s="39"/>
      <c r="G87" s="39">
        <v>1253500</v>
      </c>
      <c r="H87" s="20">
        <v>450000</v>
      </c>
      <c r="I87" s="39">
        <f t="shared" ref="I87:I90" si="20">C87+D87+E87+G87</f>
        <v>6507500</v>
      </c>
      <c r="J87" s="39">
        <f t="shared" si="19"/>
        <v>3200000</v>
      </c>
      <c r="L87" s="39">
        <f>L86+J87-M87</f>
        <v>6100000</v>
      </c>
      <c r="M87" s="56"/>
      <c r="N87" s="3"/>
      <c r="O87" s="55">
        <f>O86+D87-P87</f>
        <v>2386683</v>
      </c>
      <c r="P87" s="39">
        <f>330000+1320+100000+340000+1760</f>
        <v>773080</v>
      </c>
      <c r="Q87" s="39" t="s">
        <v>338</v>
      </c>
      <c r="R87" s="39">
        <f>R86+E87</f>
        <v>4223000</v>
      </c>
      <c r="S87" s="3"/>
      <c r="T87" s="3"/>
      <c r="U87" s="3"/>
      <c r="V87" s="3"/>
      <c r="W87" s="39">
        <f>W86+G87-X87</f>
        <v>2475699</v>
      </c>
      <c r="X87" s="56">
        <f>1192+192970+105070</f>
        <v>299232</v>
      </c>
      <c r="Y87" s="3" t="s">
        <v>354</v>
      </c>
    </row>
    <row r="88" spans="1:31" x14ac:dyDescent="0.35">
      <c r="A88" s="139"/>
      <c r="B88" s="38">
        <v>26</v>
      </c>
      <c r="C88" s="39">
        <f>3300000+H88</f>
        <v>4445000</v>
      </c>
      <c r="D88" s="20">
        <v>1343500</v>
      </c>
      <c r="E88" s="20">
        <v>323500</v>
      </c>
      <c r="F88" s="39"/>
      <c r="G88" s="39">
        <v>1321500</v>
      </c>
      <c r="H88" s="20">
        <v>1145000</v>
      </c>
      <c r="I88" s="39">
        <f t="shared" si="20"/>
        <v>7433500</v>
      </c>
      <c r="J88" s="39">
        <f t="shared" si="19"/>
        <v>3300000</v>
      </c>
      <c r="L88" s="39">
        <f>L87+J88-M88</f>
        <v>9400000</v>
      </c>
      <c r="M88" s="56"/>
      <c r="N88" s="3"/>
      <c r="O88" s="55">
        <f>O87+D88-P88</f>
        <v>3248603</v>
      </c>
      <c r="P88" s="39">
        <f>270000+ 210000+1580</f>
        <v>481580</v>
      </c>
      <c r="Q88" s="39" t="s">
        <v>347</v>
      </c>
      <c r="R88" s="39">
        <f>R87+E88</f>
        <v>4546500</v>
      </c>
      <c r="S88" s="3"/>
      <c r="T88" s="3"/>
      <c r="U88" s="3"/>
      <c r="V88" s="3"/>
      <c r="W88" s="39">
        <f>W87+G88-X88</f>
        <v>3797199</v>
      </c>
      <c r="X88" s="56"/>
      <c r="Y88" s="3"/>
    </row>
    <row r="89" spans="1:31" x14ac:dyDescent="0.35">
      <c r="A89" s="139"/>
      <c r="B89" s="38">
        <v>27</v>
      </c>
      <c r="C89" s="39">
        <f>2450000+H89</f>
        <v>3391000</v>
      </c>
      <c r="D89" s="20">
        <v>1311500</v>
      </c>
      <c r="E89" s="20">
        <v>262000</v>
      </c>
      <c r="F89" s="39"/>
      <c r="G89" s="39">
        <v>860000</v>
      </c>
      <c r="H89" s="20">
        <v>941000</v>
      </c>
      <c r="I89" s="39">
        <f t="shared" si="20"/>
        <v>5824500</v>
      </c>
      <c r="J89" s="39">
        <f t="shared" si="19"/>
        <v>2450000</v>
      </c>
      <c r="L89" s="39">
        <f>L88+J89-M89</f>
        <v>9786141</v>
      </c>
      <c r="M89" s="56">
        <v>2063859</v>
      </c>
      <c r="N89" s="3"/>
      <c r="O89" s="55">
        <f>O88+D89-P89</f>
        <v>1198491</v>
      </c>
      <c r="P89" s="39">
        <f>357150+1428+280+75200+300+354+40000+160+40000+160+40000+160+55000+220+240+1500000+6000+1200000+4800+40000+160</f>
        <v>3361612</v>
      </c>
      <c r="Q89" s="39" t="s">
        <v>348</v>
      </c>
      <c r="R89" s="39">
        <f>R88+E89-S89</f>
        <v>4808500</v>
      </c>
      <c r="S89" s="3"/>
      <c r="T89" s="3"/>
      <c r="U89" s="3"/>
      <c r="V89" s="3"/>
      <c r="W89" s="39">
        <f>W88+G89-X89</f>
        <v>1946399</v>
      </c>
      <c r="X89" s="56">
        <f>2700000+10800</f>
        <v>2710800</v>
      </c>
      <c r="Y89" s="3" t="s">
        <v>136</v>
      </c>
    </row>
    <row r="90" spans="1:31" x14ac:dyDescent="0.35">
      <c r="A90" s="139"/>
      <c r="B90" s="38">
        <v>28</v>
      </c>
      <c r="C90" s="39">
        <f>2050000+H90</f>
        <v>2497500</v>
      </c>
      <c r="D90" s="20">
        <v>541000</v>
      </c>
      <c r="E90" s="20">
        <v>72000</v>
      </c>
      <c r="F90" s="39"/>
      <c r="G90" s="39">
        <v>1125500</v>
      </c>
      <c r="H90" s="20">
        <v>447500</v>
      </c>
      <c r="I90" s="39">
        <f t="shared" si="20"/>
        <v>4236000</v>
      </c>
      <c r="J90" s="39">
        <f t="shared" si="19"/>
        <v>2050000</v>
      </c>
      <c r="L90" s="39">
        <f>L89+J90-M90</f>
        <v>11836141</v>
      </c>
      <c r="M90" s="56"/>
      <c r="N90" s="3"/>
      <c r="O90" s="55">
        <f>O89+D90-P90</f>
        <v>1438291</v>
      </c>
      <c r="P90" s="39">
        <f>300000+1200</f>
        <v>301200</v>
      </c>
      <c r="Q90" s="39" t="s">
        <v>107</v>
      </c>
      <c r="R90" s="39">
        <f>R89+E90-S90</f>
        <v>4880500</v>
      </c>
      <c r="S90" s="39"/>
      <c r="T90" s="39"/>
      <c r="U90" s="3"/>
      <c r="V90" s="3"/>
      <c r="W90" s="39">
        <f>W89+G90-X90</f>
        <v>1997000</v>
      </c>
      <c r="X90" s="56">
        <v>1074899</v>
      </c>
      <c r="Y90" s="3" t="s">
        <v>355</v>
      </c>
    </row>
    <row r="91" spans="1:31" x14ac:dyDescent="0.35">
      <c r="A91" s="52"/>
      <c r="B91" s="53"/>
      <c r="C91" s="54"/>
      <c r="D91" s="54"/>
      <c r="E91" s="54"/>
      <c r="F91" s="54"/>
      <c r="G91" s="54"/>
      <c r="H91" s="58">
        <f>SUM(H85:H90)</f>
        <v>4018712</v>
      </c>
      <c r="I91" s="58">
        <f>SUM(I85:I90)</f>
        <v>35875287</v>
      </c>
      <c r="J91" s="60">
        <f>SUM(J85:J90)</f>
        <v>17150000</v>
      </c>
      <c r="L91" s="56"/>
      <c r="M91" s="58">
        <f>SUM(M85:M90)</f>
        <v>5313859</v>
      </c>
      <c r="N91" s="3"/>
      <c r="O91" s="54"/>
      <c r="P91" s="60">
        <f>SUM(P85:P90)</f>
        <v>8887404</v>
      </c>
      <c r="Q91" s="58"/>
      <c r="R91" s="56"/>
      <c r="S91" s="55"/>
      <c r="T91" s="54"/>
      <c r="U91" s="59"/>
      <c r="V91" s="57"/>
      <c r="W91" s="56"/>
      <c r="X91" s="58">
        <f>SUM(X85:X90)</f>
        <v>5390971</v>
      </c>
      <c r="Y91" s="3"/>
      <c r="AA91" s="18" t="s">
        <v>356</v>
      </c>
      <c r="AB91" s="18" t="s">
        <v>357</v>
      </c>
      <c r="AC91" s="18" t="s">
        <v>358</v>
      </c>
      <c r="AD91" s="18" t="s">
        <v>359</v>
      </c>
      <c r="AE91" s="18" t="s">
        <v>103</v>
      </c>
    </row>
    <row r="92" spans="1:31" x14ac:dyDescent="0.35">
      <c r="B92" s="140" t="s">
        <v>198</v>
      </c>
      <c r="C92" s="141"/>
      <c r="D92" s="141"/>
      <c r="E92" s="141"/>
      <c r="F92" s="141"/>
      <c r="G92" s="141"/>
      <c r="H92" s="141"/>
      <c r="I92" s="141"/>
      <c r="J92" s="142"/>
      <c r="L92" s="137">
        <f>L90</f>
        <v>11836141</v>
      </c>
      <c r="M92" s="141"/>
      <c r="N92" s="3"/>
      <c r="O92" s="138">
        <f>O90</f>
        <v>1438291</v>
      </c>
      <c r="P92" s="142"/>
      <c r="Q92" s="61"/>
      <c r="R92" s="137">
        <f>R90</f>
        <v>4880500</v>
      </c>
      <c r="S92" s="142"/>
      <c r="T92" s="61"/>
      <c r="U92" s="143">
        <f>U87+U28</f>
        <v>0</v>
      </c>
      <c r="V92" s="144"/>
      <c r="W92" s="137">
        <v>0</v>
      </c>
      <c r="X92" s="138"/>
      <c r="Y92" s="3">
        <v>490000</v>
      </c>
      <c r="AA92" s="46">
        <f>I93</f>
        <v>138306154</v>
      </c>
      <c r="AB92" s="40">
        <f>H93+M93</f>
        <v>33075573</v>
      </c>
      <c r="AC92" s="40">
        <f>P93+X93</f>
        <v>47930549</v>
      </c>
      <c r="AD92" s="40">
        <f>L93</f>
        <v>45769891</v>
      </c>
      <c r="AE92" s="40">
        <f>R93</f>
        <v>11366250</v>
      </c>
    </row>
    <row r="93" spans="1:31" x14ac:dyDescent="0.35">
      <c r="A93" s="140" t="s">
        <v>402</v>
      </c>
      <c r="B93" s="141"/>
      <c r="C93" s="141"/>
      <c r="D93" s="141"/>
      <c r="E93" s="141"/>
      <c r="F93" s="141"/>
      <c r="G93" s="141"/>
      <c r="H93" s="41">
        <f>H91+H81+H71+H61</f>
        <v>18941714</v>
      </c>
      <c r="I93" s="41">
        <f>I91+I81+I71+I61</f>
        <v>138306154</v>
      </c>
      <c r="J93" s="71">
        <f>J91+J81+J71+J61</f>
        <v>59903750</v>
      </c>
      <c r="L93" s="88">
        <f>L92+L82+L72+L62</f>
        <v>45769891</v>
      </c>
      <c r="M93" s="88">
        <f>M91+M81+M71+M61</f>
        <v>14133859</v>
      </c>
      <c r="N93" s="3"/>
      <c r="O93" s="88">
        <f>O92+O82+O72+O62</f>
        <v>7190124</v>
      </c>
      <c r="P93" s="88">
        <f>P91+P81+P71+P61</f>
        <v>27281749</v>
      </c>
      <c r="Q93" s="37"/>
      <c r="R93" s="88">
        <f>R92+R82+R72+R62</f>
        <v>11366250</v>
      </c>
      <c r="S93" s="37"/>
      <c r="T93" s="37"/>
      <c r="U93" s="89"/>
      <c r="V93" s="36"/>
      <c r="W93" s="88">
        <f>W92+W82+W72+W62</f>
        <v>5196841</v>
      </c>
      <c r="X93" s="88">
        <f>X91+X81+X71+X61</f>
        <v>20648800</v>
      </c>
      <c r="AA93" s="40">
        <f>AB92+AC92+AD92+AE92</f>
        <v>138142263</v>
      </c>
    </row>
    <row r="94" spans="1:31" x14ac:dyDescent="0.35">
      <c r="B94" s="37"/>
      <c r="C94" s="37"/>
      <c r="D94" s="37"/>
      <c r="E94" s="37"/>
      <c r="F94" s="37"/>
      <c r="G94" s="37"/>
      <c r="H94" s="37"/>
      <c r="I94" s="37"/>
      <c r="J94" s="37"/>
      <c r="L94" s="88"/>
      <c r="M94" s="37"/>
      <c r="N94" s="3"/>
      <c r="O94" s="88"/>
      <c r="P94" s="37"/>
      <c r="Q94" s="37"/>
      <c r="R94" s="88"/>
      <c r="S94" s="37"/>
      <c r="T94" s="37"/>
      <c r="U94" s="89"/>
      <c r="V94" s="36"/>
      <c r="W94" s="88"/>
      <c r="X94" s="88"/>
      <c r="AA94" s="46">
        <f>AA92-AA93</f>
        <v>163891</v>
      </c>
    </row>
    <row r="99" spans="1:27" ht="21" x14ac:dyDescent="0.5">
      <c r="B99" s="132" t="s">
        <v>1</v>
      </c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AA99" s="40"/>
    </row>
    <row r="100" spans="1:27" ht="21" x14ac:dyDescent="0.5">
      <c r="B100" s="132" t="s">
        <v>273</v>
      </c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</row>
    <row r="101" spans="1:27" ht="21" x14ac:dyDescent="0.5">
      <c r="B101" s="132" t="s">
        <v>349</v>
      </c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</row>
    <row r="102" spans="1:27" x14ac:dyDescent="0.35">
      <c r="O102" s="70" t="s">
        <v>152</v>
      </c>
      <c r="P102" s="24"/>
      <c r="Q102" s="24"/>
      <c r="R102" s="24"/>
      <c r="S102" s="24"/>
      <c r="T102" s="24"/>
      <c r="U102" s="24"/>
      <c r="V102" s="24"/>
      <c r="W102" s="24"/>
      <c r="X102" s="24"/>
    </row>
    <row r="103" spans="1:27" x14ac:dyDescent="0.35">
      <c r="A103" s="45"/>
      <c r="B103" s="37" t="s">
        <v>150</v>
      </c>
      <c r="C103" s="37" t="s">
        <v>121</v>
      </c>
      <c r="D103" s="37" t="s">
        <v>102</v>
      </c>
      <c r="E103" s="37" t="s">
        <v>103</v>
      </c>
      <c r="F103" s="37" t="s">
        <v>147</v>
      </c>
      <c r="G103" s="37" t="s">
        <v>148</v>
      </c>
      <c r="H103" s="37" t="s">
        <v>149</v>
      </c>
      <c r="I103" s="37" t="s">
        <v>151</v>
      </c>
      <c r="J103" s="37" t="s">
        <v>159</v>
      </c>
      <c r="L103" s="44" t="s">
        <v>160</v>
      </c>
      <c r="M103" s="65" t="s">
        <v>161</v>
      </c>
      <c r="N103" s="19" t="s">
        <v>106</v>
      </c>
      <c r="O103" s="62" t="s">
        <v>102</v>
      </c>
      <c r="P103" s="44" t="s">
        <v>156</v>
      </c>
      <c r="Q103" s="19" t="s">
        <v>106</v>
      </c>
      <c r="R103" s="44" t="s">
        <v>103</v>
      </c>
      <c r="S103" s="44" t="s">
        <v>157</v>
      </c>
      <c r="T103" s="19" t="s">
        <v>106</v>
      </c>
      <c r="U103" s="44" t="s">
        <v>138</v>
      </c>
      <c r="V103" s="44" t="s">
        <v>163</v>
      </c>
      <c r="W103" s="44" t="s">
        <v>148</v>
      </c>
      <c r="X103" s="65" t="s">
        <v>158</v>
      </c>
      <c r="Y103" s="3"/>
    </row>
    <row r="104" spans="1:27" x14ac:dyDescent="0.35">
      <c r="A104" s="139" t="s">
        <v>194</v>
      </c>
      <c r="B104" s="38">
        <v>2</v>
      </c>
      <c r="C104" s="39">
        <v>3701000</v>
      </c>
      <c r="D104" s="39">
        <v>1195500</v>
      </c>
      <c r="E104" s="39">
        <v>476500</v>
      </c>
      <c r="F104" s="39"/>
      <c r="G104" s="39">
        <v>996500</v>
      </c>
      <c r="H104" s="39">
        <v>751000</v>
      </c>
      <c r="I104" s="39">
        <f>C104+D104+E104+G104</f>
        <v>6369500</v>
      </c>
      <c r="J104" s="39">
        <f>C104-H104</f>
        <v>2950000</v>
      </c>
      <c r="L104" s="39">
        <f>J104-M104</f>
        <v>0</v>
      </c>
      <c r="M104" s="59">
        <v>2950000</v>
      </c>
      <c r="N104" s="3" t="s">
        <v>123</v>
      </c>
      <c r="O104" s="55">
        <f>D104-P104</f>
        <v>0</v>
      </c>
      <c r="P104" s="39">
        <f>81200+48500+1065800</f>
        <v>1195500</v>
      </c>
      <c r="Q104" s="39"/>
      <c r="R104" s="39">
        <f>E104-S104</f>
        <v>0</v>
      </c>
      <c r="S104" s="55">
        <v>476500</v>
      </c>
      <c r="T104" s="3"/>
      <c r="U104" s="3"/>
      <c r="V104" s="3"/>
      <c r="W104" s="39">
        <f>G104-X104</f>
        <v>0</v>
      </c>
      <c r="X104" s="56">
        <v>996500</v>
      </c>
      <c r="Y104" s="3"/>
    </row>
    <row r="105" spans="1:27" x14ac:dyDescent="0.35">
      <c r="A105" s="139"/>
      <c r="B105" s="38">
        <v>3</v>
      </c>
      <c r="C105" s="39">
        <v>3506000</v>
      </c>
      <c r="D105" s="39">
        <v>1318000</v>
      </c>
      <c r="E105" s="39">
        <v>287000</v>
      </c>
      <c r="F105" s="39"/>
      <c r="G105" s="39">
        <v>1013000</v>
      </c>
      <c r="H105" s="39">
        <v>756000</v>
      </c>
      <c r="I105" s="39">
        <f>C105+D105+E105+G105</f>
        <v>6124000</v>
      </c>
      <c r="J105" s="39">
        <f t="shared" ref="J105:J109" si="21">C105-H105</f>
        <v>2750000</v>
      </c>
      <c r="L105" s="39">
        <f>L104+J105-M105</f>
        <v>2750000</v>
      </c>
      <c r="M105" s="59"/>
      <c r="N105" s="3"/>
      <c r="O105" s="55">
        <f>O104+D105-P105</f>
        <v>1318000</v>
      </c>
      <c r="P105" s="39"/>
      <c r="Q105" s="39"/>
      <c r="R105" s="39">
        <f>R104+E105</f>
        <v>287000</v>
      </c>
      <c r="S105" s="3"/>
      <c r="T105" s="3"/>
      <c r="U105" s="3"/>
      <c r="V105" s="3"/>
      <c r="W105" s="39">
        <f>W104+G105-X105</f>
        <v>1013000</v>
      </c>
      <c r="X105" s="56"/>
      <c r="Y105" s="3"/>
    </row>
    <row r="106" spans="1:27" x14ac:dyDescent="0.35">
      <c r="A106" s="139"/>
      <c r="B106" s="38">
        <v>4</v>
      </c>
      <c r="C106" s="39">
        <v>3405000</v>
      </c>
      <c r="D106" s="39">
        <v>1295500</v>
      </c>
      <c r="E106" s="39">
        <v>256500</v>
      </c>
      <c r="F106" s="39"/>
      <c r="G106" s="39">
        <v>996000</v>
      </c>
      <c r="H106" s="39">
        <v>605000</v>
      </c>
      <c r="I106" s="39">
        <f t="shared" ref="I106:I109" si="22">C106+D106+E106+G106</f>
        <v>5953000</v>
      </c>
      <c r="J106" s="39">
        <f t="shared" si="21"/>
        <v>2800000</v>
      </c>
      <c r="L106" s="39">
        <f t="shared" ref="L106:L109" si="23">L105+J106-M106</f>
        <v>5550000</v>
      </c>
      <c r="M106" s="59"/>
      <c r="N106" s="3"/>
      <c r="O106" s="55">
        <f>O105+D106-P106</f>
        <v>2613500</v>
      </c>
      <c r="P106" s="39"/>
      <c r="Q106" s="39"/>
      <c r="R106" s="39">
        <f>R105+E106</f>
        <v>543500</v>
      </c>
      <c r="S106" s="3"/>
      <c r="T106" s="3"/>
      <c r="U106" s="3"/>
      <c r="V106" s="3"/>
      <c r="W106" s="39">
        <f t="shared" ref="W106:W109" si="24">W105+G106-X106</f>
        <v>2009000</v>
      </c>
      <c r="X106" s="56"/>
      <c r="Y106" s="3"/>
    </row>
    <row r="107" spans="1:27" x14ac:dyDescent="0.35">
      <c r="A107" s="139"/>
      <c r="B107" s="38">
        <v>5</v>
      </c>
      <c r="C107" s="39">
        <v>4103800</v>
      </c>
      <c r="D107" s="39">
        <v>1081000</v>
      </c>
      <c r="E107" s="39">
        <v>505500</v>
      </c>
      <c r="F107" s="39"/>
      <c r="G107" s="39">
        <v>1173800</v>
      </c>
      <c r="H107" s="39">
        <v>553800</v>
      </c>
      <c r="I107" s="39">
        <f t="shared" si="22"/>
        <v>6864100</v>
      </c>
      <c r="J107" s="39">
        <f t="shared" si="21"/>
        <v>3550000</v>
      </c>
      <c r="L107" s="39">
        <f t="shared" si="23"/>
        <v>9100000</v>
      </c>
      <c r="M107" s="56"/>
      <c r="N107" s="3"/>
      <c r="O107" s="55">
        <f>O106+D107-P107</f>
        <v>2045763</v>
      </c>
      <c r="P107" s="39">
        <f>11000+174000+696+1680+165890+663+594350+2377+85000+340+181800+727+428500+1714</f>
        <v>1648737</v>
      </c>
      <c r="Q107" s="39"/>
      <c r="R107" s="39">
        <f>R106+E107</f>
        <v>1049000</v>
      </c>
      <c r="S107" s="3"/>
      <c r="T107" s="3"/>
      <c r="U107" s="3"/>
      <c r="V107" s="3"/>
      <c r="W107" s="39">
        <f t="shared" si="24"/>
        <v>3182800</v>
      </c>
      <c r="X107" s="56"/>
      <c r="Y107" s="3"/>
    </row>
    <row r="108" spans="1:27" x14ac:dyDescent="0.35">
      <c r="A108" s="139"/>
      <c r="B108" s="38">
        <v>6</v>
      </c>
      <c r="C108" s="39">
        <v>4001000</v>
      </c>
      <c r="D108" s="39">
        <v>1997500</v>
      </c>
      <c r="E108" s="39">
        <v>477000</v>
      </c>
      <c r="F108" s="39"/>
      <c r="G108" s="39">
        <v>1211200</v>
      </c>
      <c r="H108" s="39">
        <v>1101000</v>
      </c>
      <c r="I108" s="39">
        <f t="shared" si="22"/>
        <v>7686700</v>
      </c>
      <c r="J108" s="39">
        <f t="shared" si="21"/>
        <v>2900000</v>
      </c>
      <c r="L108" s="39">
        <f t="shared" si="23"/>
        <v>12000000</v>
      </c>
      <c r="M108" s="59"/>
      <c r="N108" s="3"/>
      <c r="O108" s="55">
        <f>O107+D108-P108</f>
        <v>2942687</v>
      </c>
      <c r="P108" s="39">
        <f>10000+40+11000+44+982192+3928+93000+372</f>
        <v>1100576</v>
      </c>
      <c r="Q108" s="39"/>
      <c r="R108" s="39">
        <f>R107+E108</f>
        <v>1526000</v>
      </c>
      <c r="S108" s="3"/>
      <c r="T108" s="3"/>
      <c r="U108" s="3"/>
      <c r="V108" s="3"/>
      <c r="W108" s="39">
        <f t="shared" si="24"/>
        <v>4394000</v>
      </c>
      <c r="X108" s="56"/>
      <c r="Y108" s="3"/>
    </row>
    <row r="109" spans="1:27" x14ac:dyDescent="0.35">
      <c r="A109" s="139"/>
      <c r="B109" s="38">
        <v>7</v>
      </c>
      <c r="C109" s="39">
        <v>2476000</v>
      </c>
      <c r="D109" s="39">
        <v>646500</v>
      </c>
      <c r="E109" s="39">
        <v>457500</v>
      </c>
      <c r="F109" s="39"/>
      <c r="G109" s="39">
        <v>929500</v>
      </c>
      <c r="H109" s="39">
        <v>476000</v>
      </c>
      <c r="I109" s="39">
        <f t="shared" si="22"/>
        <v>4509500</v>
      </c>
      <c r="J109" s="39">
        <f t="shared" si="21"/>
        <v>2000000</v>
      </c>
      <c r="L109" s="39">
        <f t="shared" si="23"/>
        <v>14000000</v>
      </c>
      <c r="M109" s="59"/>
      <c r="N109" s="3"/>
      <c r="O109" s="55">
        <f>O108+D109-P109</f>
        <v>1958691</v>
      </c>
      <c r="P109" s="39">
        <f>124496+1500000+6000</f>
        <v>1630496</v>
      </c>
      <c r="Q109" s="39"/>
      <c r="R109" s="39">
        <f>R108+E109</f>
        <v>1983500</v>
      </c>
      <c r="S109" s="39"/>
      <c r="T109" s="39"/>
      <c r="U109" s="3"/>
      <c r="V109" s="3"/>
      <c r="W109" s="39">
        <f t="shared" si="24"/>
        <v>2612700</v>
      </c>
      <c r="X109" s="56">
        <f>2700000+10800</f>
        <v>2710800</v>
      </c>
      <c r="Y109" s="3"/>
    </row>
    <row r="110" spans="1:27" x14ac:dyDescent="0.35">
      <c r="A110" s="52"/>
      <c r="B110" s="53"/>
      <c r="C110" s="54"/>
      <c r="D110" s="54"/>
      <c r="E110" s="54"/>
      <c r="F110" s="54"/>
      <c r="G110" s="54"/>
      <c r="H110" s="58">
        <f>SUM(H104:H109)</f>
        <v>4242800</v>
      </c>
      <c r="I110" s="58">
        <f>I109+I108+I107+I106+I105+I104</f>
        <v>37506800</v>
      </c>
      <c r="J110" s="60">
        <f>SUM(J104:J109)</f>
        <v>16950000</v>
      </c>
      <c r="L110" s="81">
        <f>L109</f>
        <v>14000000</v>
      </c>
      <c r="M110" s="81">
        <f>SUM(M104:M109)</f>
        <v>2950000</v>
      </c>
      <c r="N110" s="3"/>
      <c r="O110" s="54"/>
      <c r="P110" s="60">
        <f>SUM(P104:P109)</f>
        <v>5575309</v>
      </c>
      <c r="Q110" s="58"/>
      <c r="R110" s="56"/>
      <c r="S110" s="60">
        <f>SUM(S104:S109)</f>
        <v>476500</v>
      </c>
      <c r="T110" s="55"/>
      <c r="U110" s="3"/>
      <c r="V110" s="3"/>
      <c r="W110" s="56"/>
      <c r="X110" s="58">
        <f>SUM(X104:X109)</f>
        <v>3707300</v>
      </c>
      <c r="Y110" s="3"/>
    </row>
    <row r="111" spans="1:27" x14ac:dyDescent="0.35">
      <c r="B111" s="140" t="s">
        <v>162</v>
      </c>
      <c r="C111" s="141"/>
      <c r="D111" s="141"/>
      <c r="E111" s="141"/>
      <c r="F111" s="141"/>
      <c r="G111" s="141"/>
      <c r="H111" s="141"/>
      <c r="I111" s="141"/>
      <c r="J111" s="142"/>
      <c r="L111" s="137">
        <f>L110</f>
        <v>14000000</v>
      </c>
      <c r="M111" s="141"/>
      <c r="N111" s="3"/>
      <c r="O111" s="138">
        <f>O109</f>
        <v>1958691</v>
      </c>
      <c r="P111" s="142"/>
      <c r="Q111" s="61"/>
      <c r="R111" s="137">
        <f>R109</f>
        <v>1983500</v>
      </c>
      <c r="S111" s="142"/>
      <c r="T111" s="62"/>
      <c r="U111" s="3"/>
      <c r="V111" s="3"/>
      <c r="W111" s="137">
        <f>W109</f>
        <v>2612700</v>
      </c>
      <c r="X111" s="138"/>
      <c r="Y111" s="39"/>
    </row>
    <row r="112" spans="1:27" x14ac:dyDescent="0.35">
      <c r="I112" s="40"/>
      <c r="J112" s="42"/>
      <c r="L112" s="3"/>
      <c r="M112" s="59"/>
      <c r="N112" s="3"/>
      <c r="O112" s="57"/>
      <c r="P112" s="39"/>
      <c r="Q112" s="39"/>
      <c r="R112" s="3"/>
      <c r="S112" s="3"/>
      <c r="T112" s="3"/>
      <c r="U112" s="3"/>
      <c r="V112" s="3"/>
      <c r="W112" s="3"/>
      <c r="X112" s="59"/>
      <c r="Y112" s="39"/>
      <c r="Z112" s="40"/>
    </row>
    <row r="113" spans="1:25" x14ac:dyDescent="0.35">
      <c r="A113" s="45"/>
      <c r="B113" s="37" t="s">
        <v>150</v>
      </c>
      <c r="C113" s="37" t="s">
        <v>121</v>
      </c>
      <c r="D113" s="37" t="s">
        <v>102</v>
      </c>
      <c r="E113" s="37" t="s">
        <v>103</v>
      </c>
      <c r="F113" s="37" t="s">
        <v>147</v>
      </c>
      <c r="G113" s="37" t="s">
        <v>148</v>
      </c>
      <c r="H113" s="37" t="s">
        <v>149</v>
      </c>
      <c r="I113" s="37" t="s">
        <v>151</v>
      </c>
      <c r="J113" s="37" t="s">
        <v>159</v>
      </c>
      <c r="L113" s="44" t="s">
        <v>160</v>
      </c>
      <c r="M113" s="65" t="s">
        <v>161</v>
      </c>
      <c r="N113" s="3"/>
      <c r="O113" s="62" t="s">
        <v>102</v>
      </c>
      <c r="P113" s="44" t="s">
        <v>156</v>
      </c>
      <c r="Q113" s="44"/>
      <c r="R113" s="44" t="s">
        <v>103</v>
      </c>
      <c r="S113" s="44" t="s">
        <v>157</v>
      </c>
      <c r="T113" s="44"/>
      <c r="U113" s="44" t="s">
        <v>138</v>
      </c>
      <c r="V113" s="44" t="s">
        <v>163</v>
      </c>
      <c r="W113" s="44" t="s">
        <v>148</v>
      </c>
      <c r="X113" s="65" t="s">
        <v>158</v>
      </c>
      <c r="Y113" s="3"/>
    </row>
    <row r="114" spans="1:25" x14ac:dyDescent="0.35">
      <c r="A114" s="139" t="s">
        <v>126</v>
      </c>
      <c r="B114" s="38">
        <v>9</v>
      </c>
      <c r="C114" s="39">
        <v>3902000</v>
      </c>
      <c r="D114" s="39">
        <v>1585768</v>
      </c>
      <c r="E114" s="39">
        <v>311500</v>
      </c>
      <c r="F114" s="39"/>
      <c r="G114" s="39">
        <v>1096800</v>
      </c>
      <c r="H114" s="39">
        <v>1252000</v>
      </c>
      <c r="I114" s="39">
        <f>C114+D114+E114+G114</f>
        <v>6896068</v>
      </c>
      <c r="J114" s="39">
        <f>C114-H114</f>
        <v>2650000</v>
      </c>
      <c r="L114" s="39">
        <f>J114-M114</f>
        <v>0</v>
      </c>
      <c r="M114" s="56">
        <v>2650000</v>
      </c>
      <c r="N114" s="3" t="s">
        <v>123</v>
      </c>
      <c r="O114" s="55">
        <f>D114-P114</f>
        <v>296</v>
      </c>
      <c r="P114" s="39">
        <f>583000+2472+1000000</f>
        <v>1585472</v>
      </c>
      <c r="Q114" s="39"/>
      <c r="R114" s="39">
        <f>E114</f>
        <v>311500</v>
      </c>
      <c r="S114" s="3"/>
      <c r="T114" s="3"/>
      <c r="U114" s="3"/>
      <c r="V114" s="3"/>
      <c r="W114" s="39">
        <f>W111+G114-X114</f>
        <v>998700</v>
      </c>
      <c r="X114" s="56">
        <f>2700000+10800</f>
        <v>2710800</v>
      </c>
      <c r="Y114" s="3"/>
    </row>
    <row r="115" spans="1:25" x14ac:dyDescent="0.35">
      <c r="A115" s="139"/>
      <c r="B115" s="38">
        <v>10</v>
      </c>
      <c r="C115" s="39">
        <v>3640000</v>
      </c>
      <c r="D115" s="39">
        <v>1070800</v>
      </c>
      <c r="E115" s="39">
        <v>657000</v>
      </c>
      <c r="F115" s="39"/>
      <c r="G115" s="39">
        <v>1239000</v>
      </c>
      <c r="H115" s="39">
        <v>440000</v>
      </c>
      <c r="I115" s="39">
        <f>C115+D115+E115+G115</f>
        <v>6606800</v>
      </c>
      <c r="J115" s="39">
        <f t="shared" ref="J115:J119" si="25">C115-H115</f>
        <v>3200000</v>
      </c>
      <c r="L115" s="39">
        <f>L114+J115-M115</f>
        <v>0</v>
      </c>
      <c r="M115" s="56">
        <v>3200000</v>
      </c>
      <c r="N115" s="3" t="s">
        <v>195</v>
      </c>
      <c r="O115" s="55">
        <f>O114+D115-P115</f>
        <v>462670</v>
      </c>
      <c r="P115" s="39">
        <f>179000+718+392000+1568+35000+140</f>
        <v>608426</v>
      </c>
      <c r="Q115" s="39"/>
      <c r="R115" s="39">
        <f>R114+E115</f>
        <v>968500</v>
      </c>
      <c r="S115" s="3"/>
      <c r="T115" s="3"/>
      <c r="U115" s="3"/>
      <c r="V115" s="3"/>
      <c r="W115" s="39">
        <f>W114+G115-X115</f>
        <v>2237700</v>
      </c>
      <c r="X115" s="56"/>
      <c r="Y115" s="3"/>
    </row>
    <row r="116" spans="1:25" x14ac:dyDescent="0.35">
      <c r="A116" s="139"/>
      <c r="B116" s="38">
        <v>11</v>
      </c>
      <c r="C116" s="39">
        <v>4090000</v>
      </c>
      <c r="D116" s="39">
        <v>1066500</v>
      </c>
      <c r="E116" s="39">
        <v>315500</v>
      </c>
      <c r="F116" s="39"/>
      <c r="G116" s="39">
        <v>1148000</v>
      </c>
      <c r="H116" s="39">
        <v>690000</v>
      </c>
      <c r="I116" s="39">
        <f t="shared" ref="I116:I119" si="26">C116+D116+E116+G116</f>
        <v>6620000</v>
      </c>
      <c r="J116" s="39">
        <f t="shared" si="25"/>
        <v>3400000</v>
      </c>
      <c r="L116" s="39">
        <f>L115+J116-M116</f>
        <v>609141</v>
      </c>
      <c r="M116" s="56">
        <v>2790859</v>
      </c>
      <c r="N116" s="3" t="s">
        <v>195</v>
      </c>
      <c r="O116" s="55">
        <f>O115+D116-P116</f>
        <v>248866</v>
      </c>
      <c r="P116" s="39">
        <f>246000+984+200000+60000+240+70000+280+60000+240+500000+2000+140000+560</f>
        <v>1280304</v>
      </c>
      <c r="Q116" s="39"/>
      <c r="R116" s="39">
        <f>R115+E116</f>
        <v>1284000</v>
      </c>
      <c r="S116" s="3"/>
      <c r="T116" s="3"/>
      <c r="U116" s="3"/>
      <c r="V116" s="3"/>
      <c r="W116" s="39">
        <f t="shared" ref="W116:W119" si="27">W115+G116-X116</f>
        <v>3385700</v>
      </c>
      <c r="X116" s="56"/>
      <c r="Y116" s="3"/>
    </row>
    <row r="117" spans="1:25" x14ac:dyDescent="0.35">
      <c r="A117" s="139"/>
      <c r="B117" s="38">
        <v>12</v>
      </c>
      <c r="C117" s="39">
        <v>4057500</v>
      </c>
      <c r="D117" s="39">
        <v>1124500</v>
      </c>
      <c r="E117" s="39">
        <v>428500</v>
      </c>
      <c r="F117" s="39"/>
      <c r="G117" s="39">
        <v>1114000</v>
      </c>
      <c r="H117" s="39">
        <v>907500</v>
      </c>
      <c r="I117" s="39">
        <f t="shared" si="26"/>
        <v>6724500</v>
      </c>
      <c r="J117" s="39">
        <f t="shared" si="25"/>
        <v>3150000</v>
      </c>
      <c r="L117" s="39">
        <f>L116+J117-M117</f>
        <v>3759141</v>
      </c>
      <c r="M117" s="56"/>
      <c r="N117" s="3"/>
      <c r="O117" s="55">
        <f>O116+D117-P117</f>
        <v>986836</v>
      </c>
      <c r="P117" s="39">
        <f>174000+696+8600+34+200000+3200</f>
        <v>386530</v>
      </c>
      <c r="Q117" s="39"/>
      <c r="R117" s="39">
        <f>R116+E117</f>
        <v>1712500</v>
      </c>
      <c r="S117" s="3"/>
      <c r="T117" s="3"/>
      <c r="U117" s="3"/>
      <c r="V117" s="3"/>
      <c r="W117" s="39">
        <f t="shared" si="27"/>
        <v>4499700</v>
      </c>
    </row>
    <row r="118" spans="1:25" x14ac:dyDescent="0.35">
      <c r="A118" s="139"/>
      <c r="B118" s="38">
        <v>13</v>
      </c>
      <c r="C118" s="39">
        <v>3918676</v>
      </c>
      <c r="D118" s="39">
        <v>1256000</v>
      </c>
      <c r="E118" s="39">
        <v>517000</v>
      </c>
      <c r="F118" s="39"/>
      <c r="G118" s="39">
        <v>1149000</v>
      </c>
      <c r="H118" s="39">
        <v>1018676</v>
      </c>
      <c r="I118" s="39">
        <f t="shared" si="26"/>
        <v>6840676</v>
      </c>
      <c r="J118" s="39">
        <f t="shared" si="25"/>
        <v>2900000</v>
      </c>
      <c r="L118" s="39">
        <f>L117+J118+M118</f>
        <v>6659141</v>
      </c>
      <c r="M118" s="59"/>
      <c r="N118" s="3"/>
      <c r="O118" s="55">
        <f>O117+D118-P118</f>
        <v>950183</v>
      </c>
      <c r="P118" s="39">
        <f>348300+1393+200000+700000+2800+40000+160</f>
        <v>1292653</v>
      </c>
      <c r="Q118" s="39"/>
      <c r="R118" s="39">
        <f>R117+E118-S118</f>
        <v>2229500</v>
      </c>
      <c r="S118" s="3"/>
      <c r="T118" s="3"/>
      <c r="U118" s="3"/>
      <c r="V118" s="3"/>
      <c r="W118" s="39">
        <f t="shared" si="27"/>
        <v>5630650</v>
      </c>
      <c r="X118" s="56">
        <v>18050</v>
      </c>
      <c r="Y118" s="3" t="s">
        <v>361</v>
      </c>
    </row>
    <row r="119" spans="1:25" x14ac:dyDescent="0.35">
      <c r="A119" s="139"/>
      <c r="B119" s="38">
        <v>14</v>
      </c>
      <c r="C119" s="39">
        <v>2218000</v>
      </c>
      <c r="D119" s="39">
        <v>930000</v>
      </c>
      <c r="E119" s="39">
        <v>277000</v>
      </c>
      <c r="F119" s="39"/>
      <c r="G119" s="39">
        <v>645500</v>
      </c>
      <c r="H119" s="39">
        <v>468000</v>
      </c>
      <c r="I119" s="39">
        <f t="shared" si="26"/>
        <v>4070500</v>
      </c>
      <c r="J119" s="39">
        <f t="shared" si="25"/>
        <v>1750000</v>
      </c>
      <c r="L119" s="39">
        <f>L118+J119-M119</f>
        <v>8409141</v>
      </c>
      <c r="M119" s="59"/>
      <c r="N119" s="3"/>
      <c r="O119" s="55">
        <f>O118+D119-P119</f>
        <v>314371</v>
      </c>
      <c r="P119" s="39">
        <f>91000+364+32+324+81200+324+92000+368+50000+200+120000+1130000</f>
        <v>1565812</v>
      </c>
      <c r="Q119" s="39"/>
      <c r="R119" s="39">
        <f>R118+E119-S119</f>
        <v>2506500</v>
      </c>
      <c r="S119" s="39"/>
      <c r="T119" s="39"/>
      <c r="U119" s="3"/>
      <c r="V119" s="3"/>
      <c r="W119" s="39">
        <f t="shared" si="27"/>
        <v>3576150</v>
      </c>
      <c r="X119" s="56">
        <v>2700000</v>
      </c>
      <c r="Y119" s="3"/>
    </row>
    <row r="120" spans="1:25" x14ac:dyDescent="0.35">
      <c r="A120" s="52"/>
      <c r="B120" s="53"/>
      <c r="C120" s="54"/>
      <c r="D120" s="54"/>
      <c r="E120" s="54"/>
      <c r="F120" s="54"/>
      <c r="G120" s="54"/>
      <c r="H120" s="58">
        <f>SUM(H114:H119)</f>
        <v>4776176</v>
      </c>
      <c r="I120" s="58">
        <f>SUM(I114:I119)</f>
        <v>37758544</v>
      </c>
      <c r="J120" s="60">
        <f>SUM(J114:J119)</f>
        <v>17050000</v>
      </c>
      <c r="L120" s="81">
        <f>L119</f>
        <v>8409141</v>
      </c>
      <c r="M120" s="58">
        <f>SUM(M114:M119)</f>
        <v>8640859</v>
      </c>
      <c r="N120" s="3"/>
      <c r="O120" s="54"/>
      <c r="P120" s="60">
        <f>SUM(P114:P119)</f>
        <v>6719197</v>
      </c>
      <c r="Q120" s="58"/>
      <c r="R120" s="56"/>
      <c r="S120" s="55"/>
      <c r="T120" s="55"/>
      <c r="U120" s="3"/>
      <c r="V120" s="3"/>
      <c r="W120" s="56"/>
      <c r="X120" s="58">
        <f>SUM(X114:X119)</f>
        <v>5428850</v>
      </c>
      <c r="Y120" s="3"/>
    </row>
    <row r="121" spans="1:25" x14ac:dyDescent="0.35">
      <c r="B121" s="140" t="s">
        <v>164</v>
      </c>
      <c r="C121" s="141"/>
      <c r="D121" s="141"/>
      <c r="E121" s="141"/>
      <c r="F121" s="141"/>
      <c r="G121" s="141"/>
      <c r="H121" s="141"/>
      <c r="I121" s="141"/>
      <c r="J121" s="142"/>
      <c r="L121" s="137">
        <f>L120</f>
        <v>8409141</v>
      </c>
      <c r="M121" s="141"/>
      <c r="N121" s="3"/>
      <c r="O121" s="138">
        <f>O119</f>
        <v>314371</v>
      </c>
      <c r="P121" s="142"/>
      <c r="Q121" s="61"/>
      <c r="R121" s="137">
        <f>R119</f>
        <v>2506500</v>
      </c>
      <c r="S121" s="142"/>
      <c r="T121" s="62"/>
      <c r="U121" s="3"/>
      <c r="V121" s="3"/>
      <c r="W121" s="137">
        <f>W119</f>
        <v>3576150</v>
      </c>
      <c r="X121" s="138"/>
      <c r="Y121" s="3"/>
    </row>
    <row r="122" spans="1:25" x14ac:dyDescent="0.35">
      <c r="J122" s="42"/>
      <c r="L122" s="3"/>
      <c r="M122" s="59"/>
      <c r="N122" s="3"/>
      <c r="O122" s="57"/>
      <c r="P122" s="3"/>
      <c r="Q122" s="3"/>
      <c r="R122" s="3"/>
      <c r="S122" s="3"/>
      <c r="T122" s="3"/>
      <c r="U122" s="3"/>
      <c r="V122" s="3"/>
      <c r="W122" s="3"/>
      <c r="X122" s="59"/>
      <c r="Y122" s="3"/>
    </row>
    <row r="123" spans="1:25" x14ac:dyDescent="0.35">
      <c r="A123" s="45"/>
      <c r="B123" s="37" t="s">
        <v>150</v>
      </c>
      <c r="C123" s="37" t="s">
        <v>121</v>
      </c>
      <c r="D123" s="37" t="s">
        <v>102</v>
      </c>
      <c r="E123" s="37" t="s">
        <v>103</v>
      </c>
      <c r="F123" s="37" t="s">
        <v>147</v>
      </c>
      <c r="G123" s="37" t="s">
        <v>148</v>
      </c>
      <c r="H123" s="37" t="s">
        <v>149</v>
      </c>
      <c r="I123" s="37" t="s">
        <v>151</v>
      </c>
      <c r="J123" s="37" t="s">
        <v>159</v>
      </c>
      <c r="L123" s="44" t="s">
        <v>160</v>
      </c>
      <c r="M123" s="65" t="s">
        <v>161</v>
      </c>
      <c r="N123" s="3"/>
      <c r="O123" s="62" t="s">
        <v>102</v>
      </c>
      <c r="P123" s="44" t="s">
        <v>156</v>
      </c>
      <c r="Q123" s="44"/>
      <c r="R123" s="44" t="s">
        <v>103</v>
      </c>
      <c r="S123" s="44" t="s">
        <v>157</v>
      </c>
      <c r="T123" s="44"/>
      <c r="U123" s="44" t="s">
        <v>138</v>
      </c>
      <c r="V123" s="44" t="s">
        <v>163</v>
      </c>
      <c r="W123" s="44" t="s">
        <v>148</v>
      </c>
      <c r="X123" s="65" t="s">
        <v>158</v>
      </c>
      <c r="Y123" s="3"/>
    </row>
    <row r="124" spans="1:25" x14ac:dyDescent="0.35">
      <c r="A124" s="139" t="s">
        <v>143</v>
      </c>
      <c r="B124" s="38">
        <v>16</v>
      </c>
      <c r="C124" s="39">
        <v>4411000</v>
      </c>
      <c r="D124" s="39">
        <v>1394000</v>
      </c>
      <c r="E124" s="39">
        <v>402000</v>
      </c>
      <c r="F124" s="39"/>
      <c r="G124" s="39">
        <v>1099500</v>
      </c>
      <c r="H124" s="39">
        <v>861000</v>
      </c>
      <c r="I124" s="39">
        <f>C124+D124+E124+G124</f>
        <v>7306500</v>
      </c>
      <c r="J124" s="39">
        <f>C124-H124</f>
        <v>3550000</v>
      </c>
      <c r="L124" s="39">
        <f>J124-M124</f>
        <v>0</v>
      </c>
      <c r="M124" s="56">
        <v>3550000</v>
      </c>
      <c r="N124" s="3" t="s">
        <v>123</v>
      </c>
      <c r="O124" s="55">
        <f>O121+D124-P124</f>
        <v>1086131</v>
      </c>
      <c r="P124" s="39">
        <f>10000+240+500000+2000+110000</f>
        <v>622240</v>
      </c>
      <c r="Q124" s="39"/>
      <c r="R124" s="39">
        <f>R121+E124-S124</f>
        <v>2908500</v>
      </c>
      <c r="S124" s="3"/>
      <c r="T124" s="3"/>
      <c r="U124" s="3"/>
      <c r="V124" s="3"/>
      <c r="W124" s="39">
        <f>W121+G124-X124</f>
        <v>2165650</v>
      </c>
      <c r="X124" s="56">
        <f>500000+2000000+10000</f>
        <v>2510000</v>
      </c>
      <c r="Y124" s="3" t="s">
        <v>378</v>
      </c>
    </row>
    <row r="125" spans="1:25" x14ac:dyDescent="0.35">
      <c r="A125" s="139"/>
      <c r="B125" s="38">
        <v>17</v>
      </c>
      <c r="C125" s="39">
        <v>3826000</v>
      </c>
      <c r="D125" s="39">
        <v>1824500</v>
      </c>
      <c r="E125" s="39">
        <v>335000</v>
      </c>
      <c r="F125" s="39"/>
      <c r="G125" s="39">
        <v>860000</v>
      </c>
      <c r="H125" s="39">
        <v>826000</v>
      </c>
      <c r="I125" s="39">
        <f>C125+D125+E125+G125</f>
        <v>6845500</v>
      </c>
      <c r="J125" s="39">
        <f t="shared" ref="J125:J129" si="28">C125-H125</f>
        <v>3000000</v>
      </c>
      <c r="L125" s="39">
        <f>L124+J125-M125</f>
        <v>3000000</v>
      </c>
      <c r="M125" s="59"/>
      <c r="N125" s="3"/>
      <c r="O125" s="55">
        <f>O124+D125+S124-P125</f>
        <v>2063718</v>
      </c>
      <c r="P125" s="39">
        <f>240+234000+936+164000+656+445300+1781</f>
        <v>846913</v>
      </c>
      <c r="Q125" s="39"/>
      <c r="R125" s="39">
        <f>R124+E125-S125</f>
        <v>3243500</v>
      </c>
      <c r="S125" s="3"/>
      <c r="T125" s="3"/>
      <c r="U125" s="3"/>
      <c r="V125" s="3"/>
      <c r="W125" s="39">
        <f>W124+G125-X125</f>
        <v>3025650</v>
      </c>
      <c r="X125" s="56"/>
      <c r="Y125" s="3"/>
    </row>
    <row r="126" spans="1:25" x14ac:dyDescent="0.35">
      <c r="A126" s="139"/>
      <c r="B126" s="38">
        <v>18</v>
      </c>
      <c r="C126" s="39">
        <v>3482000</v>
      </c>
      <c r="D126" s="39">
        <v>1595500</v>
      </c>
      <c r="E126" s="39">
        <v>161000</v>
      </c>
      <c r="F126" s="39"/>
      <c r="G126" s="39">
        <v>1441800</v>
      </c>
      <c r="H126" s="39">
        <v>832000</v>
      </c>
      <c r="I126" s="39">
        <f t="shared" ref="I126:I129" si="29">C126+D126+E126+G126</f>
        <v>6680300</v>
      </c>
      <c r="J126" s="39">
        <f t="shared" si="28"/>
        <v>2650000</v>
      </c>
      <c r="L126" s="39">
        <f>L125+J126-M126</f>
        <v>5650000</v>
      </c>
      <c r="M126" s="56"/>
      <c r="N126" s="3"/>
      <c r="O126" s="55">
        <f>O125+D126-P126</f>
        <v>3659218</v>
      </c>
      <c r="P126" s="39"/>
      <c r="Q126" s="39"/>
      <c r="R126" s="39">
        <f>R125+E126</f>
        <v>3404500</v>
      </c>
      <c r="S126" s="3"/>
      <c r="T126" s="3"/>
      <c r="U126" s="3"/>
      <c r="V126" s="3"/>
      <c r="W126" s="39">
        <f>W125+G126-X126</f>
        <v>4467450</v>
      </c>
      <c r="X126" s="56"/>
      <c r="Y126" s="3"/>
    </row>
    <row r="127" spans="1:25" x14ac:dyDescent="0.35">
      <c r="A127" s="139"/>
      <c r="B127" s="38">
        <v>19</v>
      </c>
      <c r="C127" s="39">
        <v>4186000</v>
      </c>
      <c r="D127" s="39">
        <v>1855300</v>
      </c>
      <c r="E127" s="39">
        <v>320000</v>
      </c>
      <c r="F127" s="39"/>
      <c r="G127" s="39">
        <v>1052500</v>
      </c>
      <c r="H127" s="39">
        <v>886000</v>
      </c>
      <c r="I127" s="39">
        <f t="shared" si="29"/>
        <v>7413800</v>
      </c>
      <c r="J127" s="39">
        <f t="shared" si="28"/>
        <v>3300000</v>
      </c>
      <c r="L127" s="39">
        <f>L126+J127-M127</f>
        <v>8950000</v>
      </c>
      <c r="M127" s="56"/>
      <c r="N127" s="3"/>
      <c r="O127" s="55">
        <f>O126+D127-P127</f>
        <v>5203229</v>
      </c>
      <c r="P127" s="39">
        <f>50000+200+60000+240+11400+45+188650+754</f>
        <v>311289</v>
      </c>
      <c r="Q127" s="39"/>
      <c r="R127" s="39">
        <f>R126+E127</f>
        <v>3724500</v>
      </c>
      <c r="S127" s="3"/>
      <c r="T127" s="3"/>
      <c r="U127" s="3"/>
      <c r="V127" s="3"/>
      <c r="W127" s="39">
        <f>W126+G127-X127</f>
        <v>4415379</v>
      </c>
      <c r="X127" s="56">
        <f>1100171+4400</f>
        <v>1104571</v>
      </c>
      <c r="Y127" s="3" t="s">
        <v>377</v>
      </c>
    </row>
    <row r="128" spans="1:25" x14ac:dyDescent="0.35">
      <c r="A128" s="139"/>
      <c r="B128" s="38">
        <v>20</v>
      </c>
      <c r="C128" s="39">
        <v>3725000</v>
      </c>
      <c r="D128" s="39">
        <v>1156500</v>
      </c>
      <c r="E128" s="39">
        <v>422500</v>
      </c>
      <c r="F128" s="39"/>
      <c r="G128" s="39">
        <v>1054300</v>
      </c>
      <c r="H128" s="39">
        <v>975000</v>
      </c>
      <c r="I128" s="39">
        <f t="shared" si="29"/>
        <v>6358300</v>
      </c>
      <c r="J128" s="39">
        <f t="shared" si="28"/>
        <v>2750000</v>
      </c>
      <c r="L128" s="39">
        <f>L127+J128-M128</f>
        <v>11700000</v>
      </c>
      <c r="M128" s="59"/>
      <c r="N128" s="3"/>
      <c r="O128" s="55">
        <f>O127+D128-P128</f>
        <v>5849910</v>
      </c>
      <c r="P128" s="39">
        <f>1500+6000+400+40000+160+60000+240+399920+1599</f>
        <v>509819</v>
      </c>
      <c r="Q128" s="39"/>
      <c r="R128" s="39">
        <f>R127+E128-S128</f>
        <v>4147000</v>
      </c>
      <c r="S128" s="3"/>
      <c r="T128" s="3"/>
      <c r="U128" s="3"/>
      <c r="V128" s="3"/>
      <c r="W128" s="39">
        <f>W127+G128-X128</f>
        <v>2758879</v>
      </c>
      <c r="X128" s="56">
        <f>2700000+10800</f>
        <v>2710800</v>
      </c>
      <c r="Y128" s="3"/>
    </row>
    <row r="129" spans="1:25" x14ac:dyDescent="0.35">
      <c r="A129" s="139"/>
      <c r="B129" s="38">
        <v>21</v>
      </c>
      <c r="C129" s="39">
        <v>2890000</v>
      </c>
      <c r="D129" s="39">
        <v>742000</v>
      </c>
      <c r="E129" s="39">
        <v>143500</v>
      </c>
      <c r="F129" s="39"/>
      <c r="G129" s="39">
        <v>763800</v>
      </c>
      <c r="H129" s="39">
        <v>540000</v>
      </c>
      <c r="I129" s="39">
        <f t="shared" si="29"/>
        <v>4539300</v>
      </c>
      <c r="J129" s="39">
        <f t="shared" si="28"/>
        <v>2350000</v>
      </c>
      <c r="L129" s="39">
        <f>L128+J129-M129</f>
        <v>14050000</v>
      </c>
      <c r="M129" s="59"/>
      <c r="N129" s="3"/>
      <c r="O129" s="55">
        <f>O128+D129-P129</f>
        <v>1775447</v>
      </c>
      <c r="P129" s="39">
        <f>71+2700000+10800+50000+200+200000+1500000+6000+85000+340+263000+1052</f>
        <v>4816463</v>
      </c>
      <c r="Q129" s="39"/>
      <c r="R129" s="39">
        <f>R128+E129-S129</f>
        <v>4290500</v>
      </c>
      <c r="S129" s="39"/>
      <c r="T129" s="39"/>
      <c r="U129" s="3"/>
      <c r="V129" s="3"/>
      <c r="W129" s="39">
        <f>W128+G129-X129</f>
        <v>972519</v>
      </c>
      <c r="X129" s="56">
        <f>7160+1790000+3000+750000</f>
        <v>2550160</v>
      </c>
      <c r="Y129" s="3"/>
    </row>
    <row r="130" spans="1:25" x14ac:dyDescent="0.35">
      <c r="A130" s="52"/>
      <c r="B130" s="53"/>
      <c r="C130" s="54"/>
      <c r="D130" s="54"/>
      <c r="E130" s="54"/>
      <c r="F130" s="54"/>
      <c r="G130" s="54"/>
      <c r="H130" s="58">
        <f>SUM(H124:H129)</f>
        <v>4920000</v>
      </c>
      <c r="I130" s="58">
        <f>SUM(I124:I129)</f>
        <v>39143700</v>
      </c>
      <c r="J130" s="60">
        <f>SUM(J124:J129)</f>
        <v>17600000</v>
      </c>
      <c r="L130" s="81">
        <f>L129</f>
        <v>14050000</v>
      </c>
      <c r="M130" s="58">
        <f>SUM(M124:M129)</f>
        <v>3550000</v>
      </c>
      <c r="N130" s="3"/>
      <c r="O130" s="54"/>
      <c r="P130" s="60">
        <f>SUM(P124:P129)</f>
        <v>7106724</v>
      </c>
      <c r="Q130" s="58"/>
      <c r="R130" s="56"/>
      <c r="S130" s="55"/>
      <c r="T130" s="55"/>
      <c r="U130" s="3"/>
      <c r="V130" s="3"/>
      <c r="W130" s="56"/>
      <c r="X130" s="58">
        <f>SUM(X124:X129)</f>
        <v>8875531</v>
      </c>
      <c r="Y130" s="3"/>
    </row>
    <row r="131" spans="1:25" x14ac:dyDescent="0.35">
      <c r="B131" s="140" t="s">
        <v>197</v>
      </c>
      <c r="C131" s="141"/>
      <c r="D131" s="141"/>
      <c r="E131" s="141"/>
      <c r="F131" s="141"/>
      <c r="G131" s="141"/>
      <c r="H131" s="141"/>
      <c r="I131" s="141"/>
      <c r="J131" s="142"/>
      <c r="L131" s="137">
        <f>L130-M135</f>
        <v>10050000</v>
      </c>
      <c r="M131" s="141"/>
      <c r="N131" s="3" t="s">
        <v>396</v>
      </c>
      <c r="O131" s="138">
        <f>O129</f>
        <v>1775447</v>
      </c>
      <c r="P131" s="142"/>
      <c r="Q131" s="61"/>
      <c r="R131" s="137">
        <f>R129</f>
        <v>4290500</v>
      </c>
      <c r="S131" s="142"/>
      <c r="T131" s="62"/>
      <c r="U131" s="3"/>
      <c r="V131" s="3"/>
      <c r="W131" s="137">
        <f>W129</f>
        <v>972519</v>
      </c>
      <c r="X131" s="138"/>
      <c r="Y131" s="3"/>
    </row>
    <row r="132" spans="1:25" x14ac:dyDescent="0.35">
      <c r="N132" s="3"/>
      <c r="Y132" s="3"/>
    </row>
    <row r="133" spans="1:25" x14ac:dyDescent="0.35">
      <c r="A133" s="45"/>
      <c r="B133" s="37" t="s">
        <v>150</v>
      </c>
      <c r="C133" s="37" t="s">
        <v>121</v>
      </c>
      <c r="D133" s="37" t="s">
        <v>102</v>
      </c>
      <c r="E133" s="37" t="s">
        <v>103</v>
      </c>
      <c r="F133" s="37" t="s">
        <v>147</v>
      </c>
      <c r="G133" s="37" t="s">
        <v>148</v>
      </c>
      <c r="H133" s="37" t="s">
        <v>149</v>
      </c>
      <c r="I133" s="37" t="s">
        <v>151</v>
      </c>
      <c r="J133" s="37" t="s">
        <v>159</v>
      </c>
      <c r="L133" s="44" t="s">
        <v>160</v>
      </c>
      <c r="M133" s="65" t="s">
        <v>161</v>
      </c>
      <c r="N133" s="3"/>
      <c r="O133" s="62" t="s">
        <v>102</v>
      </c>
      <c r="P133" s="44" t="s">
        <v>156</v>
      </c>
      <c r="Q133" s="44"/>
      <c r="R133" s="44" t="s">
        <v>103</v>
      </c>
      <c r="S133" s="44" t="s">
        <v>157</v>
      </c>
      <c r="T133" s="44"/>
      <c r="U133" s="44" t="s">
        <v>138</v>
      </c>
      <c r="V133" s="44" t="s">
        <v>163</v>
      </c>
      <c r="W133" s="44" t="s">
        <v>148</v>
      </c>
      <c r="X133" s="65" t="s">
        <v>158</v>
      </c>
      <c r="Y133" s="3"/>
    </row>
    <row r="134" spans="1:25" x14ac:dyDescent="0.35">
      <c r="A134" s="139" t="s">
        <v>144</v>
      </c>
      <c r="B134" s="38" t="s">
        <v>228</v>
      </c>
      <c r="C134" s="39"/>
      <c r="D134" s="39"/>
      <c r="E134" s="39"/>
      <c r="F134" s="39"/>
      <c r="G134" s="39"/>
      <c r="H134" s="39"/>
      <c r="I134" s="39">
        <f>C134+D134+E134+G134</f>
        <v>0</v>
      </c>
      <c r="J134" s="39">
        <f>C134-H134</f>
        <v>0</v>
      </c>
      <c r="L134" s="39">
        <f>J134</f>
        <v>0</v>
      </c>
      <c r="M134" s="56"/>
      <c r="N134" s="3"/>
      <c r="O134" s="55">
        <f>O131+D134-P134+S134</f>
        <v>1373847</v>
      </c>
      <c r="P134" s="39">
        <f>200000+800+40000+160+40000+160+60000+240+60000+240</f>
        <v>401600</v>
      </c>
      <c r="Q134" s="39"/>
      <c r="R134" s="39">
        <f>R131+E134-S134</f>
        <v>4290500</v>
      </c>
      <c r="S134" s="3"/>
      <c r="T134" s="3"/>
      <c r="U134" s="3"/>
      <c r="V134" s="3"/>
      <c r="W134" s="39">
        <f>W131+G134-X134</f>
        <v>972519</v>
      </c>
      <c r="X134" s="56"/>
      <c r="Y134" s="3"/>
    </row>
    <row r="135" spans="1:25" x14ac:dyDescent="0.35">
      <c r="A135" s="139"/>
      <c r="B135" s="38">
        <v>24</v>
      </c>
      <c r="C135" s="39">
        <v>3411000</v>
      </c>
      <c r="D135" s="39">
        <v>970000</v>
      </c>
      <c r="E135" s="39">
        <v>261500</v>
      </c>
      <c r="F135" s="39"/>
      <c r="G135" s="39">
        <v>1310800</v>
      </c>
      <c r="H135" s="39">
        <v>876000</v>
      </c>
      <c r="I135" s="39">
        <f>C135+D135+E135+G135</f>
        <v>5953300</v>
      </c>
      <c r="J135" s="39">
        <f t="shared" ref="J135:J139" si="30">C135-H135</f>
        <v>2535000</v>
      </c>
      <c r="L135" s="39">
        <f>J135</f>
        <v>2535000</v>
      </c>
      <c r="M135" s="56">
        <v>4000000</v>
      </c>
      <c r="N135" s="3" t="s">
        <v>123</v>
      </c>
      <c r="O135" s="55">
        <f>O134+D135+S135-P135</f>
        <v>531817</v>
      </c>
      <c r="P135" s="39">
        <f>11000+44+500000+2000+69200+276+376+422000+1688+440000+1760+104238+416+60000+240+40000+160+60000+240+12000+48+40000+160+30000+120+16000+64</f>
        <v>1812030</v>
      </c>
      <c r="Q135" s="39"/>
      <c r="R135" s="39">
        <f>R134+E135-S135</f>
        <v>4552000</v>
      </c>
      <c r="S135" s="3"/>
      <c r="T135" s="3"/>
      <c r="U135" s="3"/>
      <c r="V135" s="3"/>
      <c r="W135" s="39">
        <f>W134+G135-X135</f>
        <v>1778719</v>
      </c>
      <c r="X135" s="56">
        <f>410400+94200</f>
        <v>504600</v>
      </c>
      <c r="Y135" s="3"/>
    </row>
    <row r="136" spans="1:25" x14ac:dyDescent="0.35">
      <c r="A136" s="139"/>
      <c r="B136" s="38">
        <v>25</v>
      </c>
      <c r="C136" s="39">
        <v>3960000</v>
      </c>
      <c r="D136" s="39">
        <v>1123000</v>
      </c>
      <c r="E136" s="39">
        <v>221000</v>
      </c>
      <c r="F136" s="39"/>
      <c r="G136" s="39">
        <v>1254000</v>
      </c>
      <c r="H136" s="39">
        <v>710000</v>
      </c>
      <c r="I136" s="39">
        <f t="shared" ref="I136:I139" si="31">C136+D136+E136+G136</f>
        <v>6558000</v>
      </c>
      <c r="J136" s="39">
        <f t="shared" si="30"/>
        <v>3250000</v>
      </c>
      <c r="L136" s="39">
        <f>L135+J136</f>
        <v>5785000</v>
      </c>
      <c r="M136" s="56"/>
      <c r="N136" s="3"/>
      <c r="O136" s="55">
        <f>O135+D136-P136</f>
        <v>592368</v>
      </c>
      <c r="P136" s="39">
        <f>18000+72+40000+160+74900+299+60000+240+171+273000+1092+153900+615+440000</f>
        <v>1062449</v>
      </c>
      <c r="Q136" s="39"/>
      <c r="R136" s="39">
        <f>R135+E136</f>
        <v>4773000</v>
      </c>
      <c r="S136" s="3"/>
      <c r="T136" s="3"/>
      <c r="U136" s="3"/>
      <c r="V136" s="3"/>
      <c r="W136" s="39">
        <f>W135+G136-X136</f>
        <v>3032719</v>
      </c>
      <c r="X136" s="56"/>
      <c r="Y136" s="3"/>
    </row>
    <row r="137" spans="1:25" x14ac:dyDescent="0.35">
      <c r="A137" s="139"/>
      <c r="B137" s="38">
        <v>26</v>
      </c>
      <c r="C137" s="39">
        <v>2925000</v>
      </c>
      <c r="D137" s="39">
        <v>1640300</v>
      </c>
      <c r="E137" s="39">
        <v>596500</v>
      </c>
      <c r="F137" s="39"/>
      <c r="G137" s="39">
        <v>1150200</v>
      </c>
      <c r="H137" s="39">
        <v>475000</v>
      </c>
      <c r="I137" s="39">
        <f t="shared" si="31"/>
        <v>6312000</v>
      </c>
      <c r="J137" s="39">
        <f t="shared" si="30"/>
        <v>2450000</v>
      </c>
      <c r="L137" s="39">
        <f>L136+J137-M137</f>
        <v>8235000</v>
      </c>
      <c r="M137" s="56"/>
      <c r="N137" s="3"/>
      <c r="O137" s="55">
        <f>O136+D137-P137</f>
        <v>1433866</v>
      </c>
      <c r="P137" s="39">
        <f>10700+42+1640+390000+1560+80000+320+60000+240+100000+400+153900</f>
        <v>798802</v>
      </c>
      <c r="Q137" s="39"/>
      <c r="R137" s="39">
        <f>R136+E137</f>
        <v>5369500</v>
      </c>
      <c r="S137" s="3"/>
      <c r="T137" s="3"/>
      <c r="U137" s="3"/>
      <c r="V137" s="3"/>
      <c r="W137" s="39">
        <f>W136+G137</f>
        <v>4182919</v>
      </c>
      <c r="X137" s="56"/>
      <c r="Y137" s="3"/>
    </row>
    <row r="138" spans="1:25" x14ac:dyDescent="0.35">
      <c r="A138" s="139"/>
      <c r="B138" s="38">
        <v>27</v>
      </c>
      <c r="C138" s="39">
        <v>4282130</v>
      </c>
      <c r="D138" s="39">
        <v>1788800</v>
      </c>
      <c r="E138" s="39">
        <v>445000</v>
      </c>
      <c r="F138" s="39"/>
      <c r="G138" s="39">
        <v>1196500</v>
      </c>
      <c r="H138" s="39">
        <v>1132130</v>
      </c>
      <c r="I138" s="39">
        <f t="shared" si="31"/>
        <v>7712430</v>
      </c>
      <c r="J138" s="39">
        <f t="shared" si="30"/>
        <v>3150000</v>
      </c>
      <c r="L138" s="39">
        <f>L137+J138-M138</f>
        <v>2385000</v>
      </c>
      <c r="M138" s="56">
        <v>9000000</v>
      </c>
      <c r="N138" s="3" t="s">
        <v>395</v>
      </c>
      <c r="O138" s="55">
        <f>O137+D138-P138</f>
        <v>1422494</v>
      </c>
      <c r="P138" s="39">
        <f>10000+40+1500000+6000+283000+1132</f>
        <v>1800172</v>
      </c>
      <c r="Q138" s="39"/>
      <c r="R138" s="39">
        <f>R137+E138-S138</f>
        <v>5814500</v>
      </c>
      <c r="S138" s="3"/>
      <c r="T138" s="3"/>
      <c r="U138" s="3"/>
      <c r="V138" s="3"/>
      <c r="W138" s="39">
        <f>W137+G138-X138</f>
        <v>5379419</v>
      </c>
      <c r="X138" s="56"/>
      <c r="Y138" s="3"/>
    </row>
    <row r="139" spans="1:25" x14ac:dyDescent="0.35">
      <c r="A139" s="139"/>
      <c r="B139" s="38">
        <v>28</v>
      </c>
      <c r="C139" s="39">
        <v>2082500</v>
      </c>
      <c r="D139" s="39">
        <v>1276500</v>
      </c>
      <c r="E139" s="39">
        <v>303000</v>
      </c>
      <c r="F139" s="39"/>
      <c r="G139" s="39">
        <v>661500</v>
      </c>
      <c r="H139" s="39">
        <v>432500</v>
      </c>
      <c r="I139" s="39">
        <f t="shared" si="31"/>
        <v>4323500</v>
      </c>
      <c r="J139" s="39">
        <f t="shared" si="30"/>
        <v>1650000</v>
      </c>
      <c r="L139" s="39">
        <f>L138+J139-M139</f>
        <v>2385000</v>
      </c>
      <c r="M139" s="56">
        <v>1650000</v>
      </c>
      <c r="N139" s="3" t="s">
        <v>398</v>
      </c>
      <c r="O139" s="55">
        <f>O138+D139-P139</f>
        <v>1327960</v>
      </c>
      <c r="P139" s="39">
        <f>283000+83700+334+1000000+4000</f>
        <v>1371034</v>
      </c>
      <c r="Q139" s="39"/>
      <c r="R139" s="39">
        <f>R138+E139-S139</f>
        <v>6117500</v>
      </c>
      <c r="S139" s="39"/>
      <c r="T139" s="39"/>
      <c r="U139" s="3"/>
      <c r="V139" s="3"/>
      <c r="W139" s="39">
        <f>W138+G139-X139</f>
        <v>2319319</v>
      </c>
      <c r="X139" s="56">
        <f>10800+2700000+10800+1000000</f>
        <v>3721600</v>
      </c>
      <c r="Y139" s="3"/>
    </row>
    <row r="140" spans="1:25" x14ac:dyDescent="0.35">
      <c r="A140" s="52"/>
      <c r="B140" s="53"/>
      <c r="C140" s="54"/>
      <c r="D140" s="54"/>
      <c r="E140" s="54"/>
      <c r="F140" s="54"/>
      <c r="G140" s="54"/>
      <c r="H140" s="58">
        <f>SUM(H134:H139)</f>
        <v>3625630</v>
      </c>
      <c r="I140" s="58">
        <f>SUM(I134:I139)</f>
        <v>30859230</v>
      </c>
      <c r="J140" s="60">
        <f>SUM(J134:J139)</f>
        <v>13035000</v>
      </c>
      <c r="L140" s="81">
        <f>L139</f>
        <v>2385000</v>
      </c>
      <c r="M140" s="58">
        <f>SUM(M134:M139)</f>
        <v>14650000</v>
      </c>
      <c r="N140" s="3"/>
      <c r="O140" s="54"/>
      <c r="P140" s="60">
        <f>SUM(P134:P139)</f>
        <v>7246087</v>
      </c>
      <c r="Q140" s="58"/>
      <c r="R140" s="56"/>
      <c r="S140" s="55"/>
      <c r="T140" s="54"/>
      <c r="U140" s="59"/>
      <c r="V140" s="57"/>
      <c r="W140" s="56"/>
      <c r="X140" s="58">
        <f>SUM(X134:X139)</f>
        <v>4226200</v>
      </c>
      <c r="Y140" s="3"/>
    </row>
    <row r="141" spans="1:25" x14ac:dyDescent="0.35">
      <c r="B141" s="140" t="s">
        <v>198</v>
      </c>
      <c r="C141" s="141"/>
      <c r="D141" s="141"/>
      <c r="E141" s="141"/>
      <c r="F141" s="141"/>
      <c r="G141" s="141"/>
      <c r="H141" s="141"/>
      <c r="I141" s="141"/>
      <c r="J141" s="142"/>
      <c r="L141" s="137">
        <f>L139</f>
        <v>2385000</v>
      </c>
      <c r="M141" s="141"/>
      <c r="N141" s="3"/>
      <c r="O141" s="138">
        <f>O139</f>
        <v>1327960</v>
      </c>
      <c r="P141" s="142"/>
      <c r="Q141" s="61"/>
      <c r="R141" s="137">
        <f>R139</f>
        <v>6117500</v>
      </c>
      <c r="S141" s="142"/>
      <c r="T141" s="61"/>
      <c r="U141" s="143">
        <f>U136+U77</f>
        <v>0</v>
      </c>
      <c r="V141" s="144"/>
      <c r="W141" s="137">
        <f>W139</f>
        <v>2319319</v>
      </c>
      <c r="X141" s="138"/>
      <c r="Y141" s="3"/>
    </row>
    <row r="142" spans="1:25" x14ac:dyDescent="0.35">
      <c r="B142" s="37"/>
      <c r="C142" s="37"/>
      <c r="D142" s="37"/>
      <c r="E142" s="37"/>
      <c r="F142" s="37"/>
      <c r="G142" s="37"/>
      <c r="H142" s="37"/>
      <c r="I142" s="37"/>
      <c r="J142" s="37"/>
      <c r="L142" s="88"/>
      <c r="M142" s="88">
        <f>M139+M135</f>
        <v>5650000</v>
      </c>
      <c r="N142" s="3"/>
      <c r="O142" s="88"/>
      <c r="P142" s="37"/>
      <c r="Q142" s="37"/>
      <c r="R142" s="88"/>
      <c r="S142" s="37"/>
      <c r="T142" s="37"/>
      <c r="U142" s="89"/>
      <c r="V142" s="36"/>
      <c r="W142" s="88"/>
      <c r="X142" s="88"/>
    </row>
    <row r="143" spans="1:25" x14ac:dyDescent="0.35">
      <c r="B143" s="37"/>
      <c r="C143" s="37"/>
      <c r="D143" s="37"/>
      <c r="E143" s="37"/>
      <c r="F143" s="37"/>
      <c r="G143" s="37"/>
      <c r="H143" s="37"/>
      <c r="I143" s="37"/>
      <c r="J143" s="37"/>
      <c r="L143" s="88"/>
      <c r="M143" s="37"/>
      <c r="N143" s="3"/>
      <c r="O143" s="88"/>
      <c r="P143" s="37"/>
      <c r="Q143" s="37"/>
      <c r="R143" s="88"/>
      <c r="S143" s="37"/>
      <c r="T143" s="37"/>
      <c r="U143" s="89"/>
      <c r="V143" s="36"/>
      <c r="W143" s="88"/>
      <c r="X143" s="88"/>
    </row>
    <row r="144" spans="1:25" x14ac:dyDescent="0.35">
      <c r="A144" s="45"/>
      <c r="B144" s="37" t="s">
        <v>150</v>
      </c>
      <c r="C144" s="37" t="s">
        <v>121</v>
      </c>
      <c r="D144" s="37" t="s">
        <v>102</v>
      </c>
      <c r="E144" s="37" t="s">
        <v>103</v>
      </c>
      <c r="F144" s="37" t="s">
        <v>147</v>
      </c>
      <c r="G144" s="37" t="s">
        <v>148</v>
      </c>
      <c r="H144" s="37" t="s">
        <v>149</v>
      </c>
      <c r="I144" s="37" t="s">
        <v>151</v>
      </c>
      <c r="J144" s="37" t="s">
        <v>159</v>
      </c>
      <c r="L144" s="44" t="s">
        <v>160</v>
      </c>
      <c r="M144" s="65" t="s">
        <v>161</v>
      </c>
      <c r="N144" s="3"/>
      <c r="O144" s="62" t="s">
        <v>102</v>
      </c>
      <c r="P144" s="44" t="s">
        <v>156</v>
      </c>
      <c r="Q144" s="44"/>
      <c r="R144" s="44" t="s">
        <v>103</v>
      </c>
      <c r="S144" s="44" t="s">
        <v>157</v>
      </c>
      <c r="T144" s="44"/>
      <c r="U144" s="44" t="s">
        <v>138</v>
      </c>
      <c r="V144" s="44" t="s">
        <v>163</v>
      </c>
      <c r="W144" s="44" t="s">
        <v>148</v>
      </c>
      <c r="X144" s="65" t="s">
        <v>158</v>
      </c>
      <c r="Y144" s="3"/>
    </row>
    <row r="145" spans="1:32" x14ac:dyDescent="0.35">
      <c r="A145" s="139" t="s">
        <v>389</v>
      </c>
      <c r="B145" s="38">
        <v>30</v>
      </c>
      <c r="C145" s="39">
        <v>4477500</v>
      </c>
      <c r="D145" s="39">
        <v>1329700</v>
      </c>
      <c r="E145" s="39">
        <v>442500</v>
      </c>
      <c r="F145" s="39"/>
      <c r="G145" s="39">
        <v>952500</v>
      </c>
      <c r="H145" s="39">
        <v>927500</v>
      </c>
      <c r="I145" s="39">
        <f>C145+D145+E145+G145</f>
        <v>7202200</v>
      </c>
      <c r="J145" s="39">
        <f>C145-H145</f>
        <v>3550000</v>
      </c>
      <c r="L145" s="39">
        <f>J145-M145</f>
        <v>0</v>
      </c>
      <c r="M145" s="56">
        <v>3550000</v>
      </c>
      <c r="N145" s="3" t="s">
        <v>195</v>
      </c>
      <c r="O145" s="55">
        <f>O141+D145-P145</f>
        <v>1786500</v>
      </c>
      <c r="P145" s="39">
        <f>203500+25000+100+70000+280+40000+160+60000+240+130000+520+340000+1360</f>
        <v>871160</v>
      </c>
      <c r="Q145" s="39"/>
      <c r="R145" s="39">
        <f>R142+E145-S145</f>
        <v>442500</v>
      </c>
      <c r="S145" s="3"/>
      <c r="T145" s="3"/>
      <c r="U145" s="3"/>
      <c r="V145" s="3"/>
      <c r="W145" s="39">
        <f>W142+G145-X145</f>
        <v>952500</v>
      </c>
      <c r="X145" s="56"/>
      <c r="Y145" s="3"/>
    </row>
    <row r="146" spans="1:32" x14ac:dyDescent="0.35">
      <c r="A146" s="139"/>
      <c r="B146" s="38">
        <v>31</v>
      </c>
      <c r="C146" s="39">
        <v>3110000</v>
      </c>
      <c r="D146" s="39">
        <v>1310050</v>
      </c>
      <c r="E146" s="39">
        <v>431500</v>
      </c>
      <c r="F146" s="39"/>
      <c r="G146" s="39">
        <v>1198500</v>
      </c>
      <c r="H146" s="39">
        <v>780000</v>
      </c>
      <c r="I146" s="39">
        <f>C146+D146+E146+G146</f>
        <v>6050050</v>
      </c>
      <c r="J146" s="39">
        <f t="shared" ref="J146:J150" si="32">C146-H146</f>
        <v>2330000</v>
      </c>
      <c r="L146" s="39">
        <f>L145+J146-M146</f>
        <v>1930000</v>
      </c>
      <c r="M146" s="54">
        <v>400000</v>
      </c>
      <c r="N146" s="3" t="s">
        <v>397</v>
      </c>
      <c r="O146" s="55">
        <f>O145+D146-P146</f>
        <v>2136264</v>
      </c>
      <c r="P146" s="39">
        <f>52+8500+34+3600+14+40000+160+40000+160+60000+240+618100+2472+186210+744</f>
        <v>960286</v>
      </c>
      <c r="Q146" s="39"/>
      <c r="R146" s="39">
        <f>R145+E146-S146</f>
        <v>874000</v>
      </c>
      <c r="S146" s="3"/>
      <c r="T146" s="3"/>
      <c r="U146" s="3"/>
      <c r="V146" s="3"/>
      <c r="W146" s="39">
        <f>W145+G146-X146</f>
        <v>0</v>
      </c>
      <c r="X146" s="56">
        <v>2151000</v>
      </c>
      <c r="Y146" s="3"/>
    </row>
    <row r="147" spans="1:32" x14ac:dyDescent="0.35">
      <c r="A147" s="139"/>
      <c r="B147" s="38"/>
      <c r="C147" s="39"/>
      <c r="D147" s="39"/>
      <c r="E147" s="39"/>
      <c r="F147" s="39"/>
      <c r="G147" s="39"/>
      <c r="H147" s="39"/>
      <c r="I147" s="39">
        <f t="shared" ref="I147:I150" si="33">C147+D147+E147+G147</f>
        <v>0</v>
      </c>
      <c r="J147" s="39">
        <f t="shared" si="32"/>
        <v>0</v>
      </c>
      <c r="L147" s="39">
        <v>0</v>
      </c>
      <c r="M147" s="56"/>
      <c r="N147" s="3"/>
      <c r="O147" s="55">
        <v>0</v>
      </c>
      <c r="P147" s="39"/>
      <c r="Q147" s="39"/>
      <c r="R147" s="39">
        <v>0</v>
      </c>
      <c r="S147" s="3"/>
      <c r="T147" s="3"/>
      <c r="U147" s="3"/>
      <c r="V147" s="3"/>
      <c r="W147" s="39">
        <v>0</v>
      </c>
      <c r="X147" s="56"/>
      <c r="Y147" s="3"/>
    </row>
    <row r="148" spans="1:32" x14ac:dyDescent="0.35">
      <c r="A148" s="139"/>
      <c r="B148" s="38"/>
      <c r="C148" s="39"/>
      <c r="D148" s="39"/>
      <c r="E148" s="39"/>
      <c r="F148" s="39"/>
      <c r="G148" s="39"/>
      <c r="H148" s="39"/>
      <c r="I148" s="39">
        <f t="shared" si="33"/>
        <v>0</v>
      </c>
      <c r="J148" s="39">
        <f t="shared" si="32"/>
        <v>0</v>
      </c>
      <c r="L148" s="39">
        <f>L147+J148-M148</f>
        <v>0</v>
      </c>
      <c r="M148" s="56"/>
      <c r="N148" s="3"/>
      <c r="O148" s="55">
        <f>O147+D148-P148</f>
        <v>0</v>
      </c>
      <c r="P148" s="39"/>
      <c r="Q148" s="39"/>
      <c r="R148" s="39">
        <f>R147+E148</f>
        <v>0</v>
      </c>
      <c r="S148" s="3"/>
      <c r="T148" s="3"/>
      <c r="U148" s="3"/>
      <c r="V148" s="3"/>
      <c r="W148" s="39">
        <f>W147+G148</f>
        <v>0</v>
      </c>
      <c r="X148" s="56"/>
      <c r="Y148" s="3"/>
    </row>
    <row r="149" spans="1:32" x14ac:dyDescent="0.35">
      <c r="A149" s="139"/>
      <c r="B149" s="38"/>
      <c r="C149" s="39"/>
      <c r="D149" s="39"/>
      <c r="E149" s="39"/>
      <c r="F149" s="39"/>
      <c r="G149" s="39"/>
      <c r="H149" s="39"/>
      <c r="I149" s="39">
        <f t="shared" si="33"/>
        <v>0</v>
      </c>
      <c r="J149" s="39">
        <f t="shared" si="32"/>
        <v>0</v>
      </c>
      <c r="L149" s="39">
        <f>L148+J149-M149</f>
        <v>0</v>
      </c>
      <c r="M149" s="56"/>
      <c r="N149" s="3"/>
      <c r="O149" s="55">
        <f>O148+D149-P149</f>
        <v>0</v>
      </c>
      <c r="P149" s="39"/>
      <c r="Q149" s="39"/>
      <c r="R149" s="39">
        <f>R148+E149-S149</f>
        <v>0</v>
      </c>
      <c r="S149" s="3"/>
      <c r="T149" s="3"/>
      <c r="U149" s="3"/>
      <c r="V149" s="3"/>
      <c r="W149" s="39">
        <f>W148+G149-X149</f>
        <v>0</v>
      </c>
      <c r="X149" s="56"/>
      <c r="Y149" s="3"/>
      <c r="AA149" s="24" t="s">
        <v>356</v>
      </c>
      <c r="AB149" s="24" t="s">
        <v>400</v>
      </c>
      <c r="AC149" s="24" t="s">
        <v>358</v>
      </c>
      <c r="AD149" s="24" t="s">
        <v>359</v>
      </c>
      <c r="AE149" s="24" t="s">
        <v>103</v>
      </c>
      <c r="AF149" s="24" t="s">
        <v>401</v>
      </c>
    </row>
    <row r="150" spans="1:32" x14ac:dyDescent="0.35">
      <c r="A150" s="139"/>
      <c r="B150" s="38"/>
      <c r="C150" s="39"/>
      <c r="D150" s="39"/>
      <c r="E150" s="39"/>
      <c r="F150" s="39"/>
      <c r="G150" s="39"/>
      <c r="H150" s="39"/>
      <c r="I150" s="39">
        <f t="shared" si="33"/>
        <v>0</v>
      </c>
      <c r="J150" s="39">
        <f t="shared" si="32"/>
        <v>0</v>
      </c>
      <c r="L150" s="39">
        <f>L149+J150-M150</f>
        <v>0</v>
      </c>
      <c r="M150" s="56"/>
      <c r="N150" s="3"/>
      <c r="O150" s="55">
        <f>O149+D150-P150</f>
        <v>0</v>
      </c>
      <c r="P150" s="39"/>
      <c r="Q150" s="39"/>
      <c r="R150" s="39">
        <f>R149+E150-S150</f>
        <v>0</v>
      </c>
      <c r="S150" s="39"/>
      <c r="T150" s="39"/>
      <c r="U150" s="3"/>
      <c r="V150" s="3"/>
      <c r="W150" s="39">
        <f>W149+G150-X150</f>
        <v>0</v>
      </c>
      <c r="X150" s="56"/>
      <c r="Y150" s="3"/>
      <c r="AA150" s="46">
        <f>I153</f>
        <v>158520524</v>
      </c>
      <c r="AB150" s="40">
        <f>M153</f>
        <v>24740859</v>
      </c>
      <c r="AC150" s="40">
        <f>X153+S153+P153</f>
        <v>53344144</v>
      </c>
      <c r="AD150" s="40">
        <f>L153</f>
        <v>45774141</v>
      </c>
      <c r="AE150" s="40">
        <f>R153</f>
        <v>15772000</v>
      </c>
      <c r="AF150" s="40">
        <f>H153</f>
        <v>19272106</v>
      </c>
    </row>
    <row r="151" spans="1:32" x14ac:dyDescent="0.35">
      <c r="A151" s="52"/>
      <c r="B151" s="53"/>
      <c r="C151" s="54"/>
      <c r="D151" s="54"/>
      <c r="E151" s="54"/>
      <c r="F151" s="54"/>
      <c r="G151" s="54"/>
      <c r="H151" s="58">
        <f>SUM(H145:H150)</f>
        <v>1707500</v>
      </c>
      <c r="I151" s="58">
        <f>SUM(I145:I150)</f>
        <v>13252250</v>
      </c>
      <c r="J151" s="60">
        <f>SUM(J145:J150)</f>
        <v>5880000</v>
      </c>
      <c r="L151" s="81">
        <f>L146</f>
        <v>1930000</v>
      </c>
      <c r="M151" s="58">
        <f>SUM(M145:M150)</f>
        <v>3950000</v>
      </c>
      <c r="N151" s="3"/>
      <c r="O151" s="58">
        <f>O146</f>
        <v>2136264</v>
      </c>
      <c r="P151" s="60">
        <f>SUM(P145:P150)</f>
        <v>1831446</v>
      </c>
      <c r="Q151" s="58"/>
      <c r="R151" s="81">
        <f>R146</f>
        <v>874000</v>
      </c>
      <c r="S151" s="55"/>
      <c r="T151" s="54"/>
      <c r="U151" s="59"/>
      <c r="V151" s="57"/>
      <c r="W151" s="56"/>
      <c r="X151" s="58">
        <f>SUM(X145:X150)</f>
        <v>2151000</v>
      </c>
      <c r="Y151" s="3"/>
      <c r="AA151" s="40">
        <f>AB150+AC150+AD150+AE150+AF150</f>
        <v>158903250</v>
      </c>
    </row>
    <row r="152" spans="1:32" x14ac:dyDescent="0.35">
      <c r="B152" s="140" t="s">
        <v>388</v>
      </c>
      <c r="C152" s="141"/>
      <c r="D152" s="141"/>
      <c r="E152" s="141"/>
      <c r="F152" s="141"/>
      <c r="G152" s="141"/>
      <c r="H152" s="141"/>
      <c r="I152" s="141"/>
      <c r="J152" s="142"/>
      <c r="L152" s="137">
        <f>L151</f>
        <v>1930000</v>
      </c>
      <c r="M152" s="141"/>
      <c r="N152" s="3"/>
      <c r="O152" s="138">
        <f>O151</f>
        <v>2136264</v>
      </c>
      <c r="P152" s="142"/>
      <c r="Q152" s="61"/>
      <c r="R152" s="137">
        <f>R150</f>
        <v>0</v>
      </c>
      <c r="S152" s="142"/>
      <c r="T152" s="61"/>
      <c r="U152" s="143">
        <f>U147+U88</f>
        <v>0</v>
      </c>
      <c r="V152" s="144"/>
      <c r="W152" s="137">
        <f>W146</f>
        <v>0</v>
      </c>
      <c r="X152" s="138"/>
      <c r="Y152" s="3"/>
      <c r="AA152" s="46">
        <f>AA150-AA151</f>
        <v>-382726</v>
      </c>
    </row>
    <row r="153" spans="1:32" x14ac:dyDescent="0.35">
      <c r="A153" s="140" t="s">
        <v>390</v>
      </c>
      <c r="B153" s="141"/>
      <c r="C153" s="141"/>
      <c r="D153" s="141"/>
      <c r="E153" s="141"/>
      <c r="F153" s="141"/>
      <c r="G153" s="141"/>
      <c r="H153" s="41">
        <f>H151+H140+H130+H120+H110</f>
        <v>19272106</v>
      </c>
      <c r="I153" s="41">
        <f>I151+I140+I130+I120+I110</f>
        <v>158520524</v>
      </c>
      <c r="J153" s="71">
        <f>J151+J140+J130+J120+J110</f>
        <v>70515000</v>
      </c>
      <c r="L153" s="88">
        <f>L152+L141+L131+L121+L111+M138</f>
        <v>45774141</v>
      </c>
      <c r="M153" s="88">
        <f>M151+M142+M130+M120+M110</f>
        <v>24740859</v>
      </c>
      <c r="O153" s="88">
        <f>O152+O141+O131+O121+O111</f>
        <v>7512733</v>
      </c>
      <c r="P153" s="88">
        <f>P151+P140+P130+P120+P110</f>
        <v>28478763</v>
      </c>
      <c r="Q153" s="37"/>
      <c r="R153" s="88">
        <f>R151+R141+R131+R121+R111</f>
        <v>15772000</v>
      </c>
      <c r="S153" s="88">
        <f>S110</f>
        <v>476500</v>
      </c>
      <c r="T153" s="37"/>
      <c r="U153" s="89"/>
      <c r="V153" s="36"/>
      <c r="W153" s="88">
        <f>W152+W141+W131+W121+W111</f>
        <v>9480688</v>
      </c>
      <c r="X153" s="88">
        <f>X151+X140+X130+X120+X110</f>
        <v>24388881</v>
      </c>
      <c r="AB153" s="40">
        <f>AB150+AC150+AF150</f>
        <v>97357109</v>
      </c>
      <c r="AC153" s="40">
        <f>AD150+AE150</f>
        <v>61546141</v>
      </c>
    </row>
    <row r="154" spans="1:32" x14ac:dyDescent="0.35">
      <c r="B154" s="37"/>
      <c r="C154" s="37"/>
      <c r="D154" s="37"/>
      <c r="E154" s="37"/>
      <c r="F154" s="37"/>
      <c r="G154" s="37"/>
      <c r="H154" s="37"/>
      <c r="I154" s="37"/>
      <c r="J154" s="37"/>
      <c r="L154" s="88"/>
      <c r="M154" s="37"/>
      <c r="O154" s="88"/>
      <c r="P154" s="37"/>
      <c r="Q154" s="37"/>
      <c r="R154" s="88"/>
      <c r="S154" s="37"/>
      <c r="T154" s="37"/>
      <c r="U154" s="89"/>
      <c r="V154" s="36"/>
      <c r="W154" s="88"/>
      <c r="X154" s="88"/>
      <c r="AB154" s="18" t="s">
        <v>161</v>
      </c>
      <c r="AC154" s="18" t="s">
        <v>121</v>
      </c>
    </row>
    <row r="155" spans="1:32" x14ac:dyDescent="0.35">
      <c r="B155" s="37"/>
      <c r="C155" s="37"/>
      <c r="D155" s="37"/>
      <c r="E155" s="37"/>
      <c r="F155" s="37"/>
      <c r="G155" s="37"/>
      <c r="H155" s="37"/>
      <c r="I155" s="37"/>
      <c r="J155" s="37"/>
      <c r="L155" s="88"/>
      <c r="M155" s="37"/>
      <c r="O155" s="88"/>
      <c r="P155" s="37"/>
      <c r="Q155" s="37"/>
      <c r="R155" s="88"/>
      <c r="S155" s="37"/>
      <c r="T155" s="37"/>
      <c r="U155" s="89"/>
      <c r="V155" s="36"/>
      <c r="W155" s="88"/>
      <c r="X155" s="88"/>
    </row>
    <row r="156" spans="1:32" x14ac:dyDescent="0.35">
      <c r="B156" s="37"/>
      <c r="C156" s="37"/>
      <c r="D156" s="37"/>
      <c r="E156" s="37"/>
      <c r="F156" s="37"/>
      <c r="G156" s="37"/>
      <c r="H156" s="37"/>
      <c r="I156" s="37"/>
      <c r="J156" s="37"/>
      <c r="L156" s="88"/>
      <c r="M156" s="37"/>
      <c r="O156" s="88"/>
      <c r="P156" s="37"/>
      <c r="Q156" s="37"/>
      <c r="R156" s="88"/>
      <c r="S156" s="37"/>
      <c r="T156" s="37"/>
      <c r="U156" s="89"/>
      <c r="V156" s="36"/>
      <c r="W156" s="88">
        <f>W152+W141+W131</f>
        <v>3291838</v>
      </c>
      <c r="X156" s="88"/>
    </row>
    <row r="157" spans="1:32" ht="21" x14ac:dyDescent="0.5">
      <c r="B157" s="132" t="s">
        <v>1</v>
      </c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AA157" s="40"/>
    </row>
    <row r="158" spans="1:32" ht="21" x14ac:dyDescent="0.5">
      <c r="B158" s="132" t="s">
        <v>273</v>
      </c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</row>
    <row r="159" spans="1:32" ht="21" x14ac:dyDescent="0.5">
      <c r="B159" s="132" t="s">
        <v>403</v>
      </c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</row>
    <row r="160" spans="1:32" x14ac:dyDescent="0.35">
      <c r="O160" s="70" t="s">
        <v>152</v>
      </c>
      <c r="P160" s="24"/>
      <c r="Q160" s="24"/>
      <c r="R160" s="24"/>
      <c r="S160" s="24"/>
      <c r="T160" s="24"/>
      <c r="U160" s="24"/>
      <c r="V160" s="24"/>
      <c r="W160" s="24"/>
      <c r="X160" s="24"/>
    </row>
    <row r="161" spans="1:25" x14ac:dyDescent="0.35">
      <c r="A161" s="45"/>
      <c r="B161" s="37" t="s">
        <v>150</v>
      </c>
      <c r="C161" s="37" t="s">
        <v>121</v>
      </c>
      <c r="D161" s="37" t="s">
        <v>102</v>
      </c>
      <c r="E161" s="37" t="s">
        <v>103</v>
      </c>
      <c r="F161" s="37" t="s">
        <v>147</v>
      </c>
      <c r="G161" s="37" t="s">
        <v>148</v>
      </c>
      <c r="H161" s="37" t="s">
        <v>149</v>
      </c>
      <c r="I161" s="37" t="s">
        <v>151</v>
      </c>
      <c r="J161" s="37" t="s">
        <v>159</v>
      </c>
      <c r="L161" s="44" t="s">
        <v>160</v>
      </c>
      <c r="M161" s="65" t="s">
        <v>161</v>
      </c>
      <c r="N161" s="3"/>
      <c r="O161" s="62" t="s">
        <v>102</v>
      </c>
      <c r="P161" s="44" t="s">
        <v>156</v>
      </c>
      <c r="Q161" s="44"/>
      <c r="R161" s="44" t="s">
        <v>103</v>
      </c>
      <c r="S161" s="44" t="s">
        <v>157</v>
      </c>
      <c r="T161" s="44"/>
      <c r="U161" s="44" t="s">
        <v>138</v>
      </c>
      <c r="V161" s="44" t="s">
        <v>163</v>
      </c>
      <c r="W161" s="44"/>
      <c r="X161" s="65" t="s">
        <v>158</v>
      </c>
      <c r="Y161" s="3"/>
    </row>
    <row r="162" spans="1:25" x14ac:dyDescent="0.35">
      <c r="A162" s="139" t="s">
        <v>194</v>
      </c>
      <c r="B162" s="38">
        <v>1</v>
      </c>
      <c r="C162" s="39"/>
      <c r="D162" s="39"/>
      <c r="E162" s="39"/>
      <c r="F162" s="39"/>
      <c r="G162" s="39"/>
      <c r="H162" s="39"/>
      <c r="I162" s="39">
        <f>C162+D162+E162+G162</f>
        <v>0</v>
      </c>
      <c r="J162" s="39">
        <f>C162-H162</f>
        <v>0</v>
      </c>
      <c r="L162" s="39">
        <f>J162</f>
        <v>0</v>
      </c>
      <c r="M162" s="39"/>
      <c r="N162" s="3"/>
      <c r="O162" s="55">
        <f>D162-P162</f>
        <v>-2686614</v>
      </c>
      <c r="P162" s="39">
        <f>60000+240+60000+240+600000+2400+74000+296+60+300000+1200+154700+618+1432860</f>
        <v>2686614</v>
      </c>
      <c r="Q162" s="39"/>
      <c r="R162" s="39">
        <f>E162-S162</f>
        <v>0</v>
      </c>
      <c r="S162" s="3"/>
      <c r="T162" s="3"/>
      <c r="U162" s="3"/>
      <c r="V162" s="3"/>
      <c r="W162" s="39">
        <f>W145+G162-X162</f>
        <v>780525</v>
      </c>
      <c r="X162" s="56">
        <f>9335+2640+90000+70000</f>
        <v>171975</v>
      </c>
      <c r="Y162" s="3"/>
    </row>
    <row r="163" spans="1:25" x14ac:dyDescent="0.35">
      <c r="A163" s="139"/>
      <c r="B163" s="38">
        <v>6</v>
      </c>
      <c r="C163" s="39"/>
      <c r="D163" s="39"/>
      <c r="E163" s="39"/>
      <c r="F163" s="39"/>
      <c r="G163" s="39"/>
      <c r="H163" s="39"/>
      <c r="I163" s="39">
        <f>C163+D163+E163+G163</f>
        <v>0</v>
      </c>
      <c r="J163" s="39">
        <f t="shared" ref="J163:J168" si="34">C163-H163</f>
        <v>0</v>
      </c>
      <c r="L163" s="39">
        <f>L162+J163</f>
        <v>0</v>
      </c>
      <c r="M163" s="39">
        <v>2900000</v>
      </c>
      <c r="N163" s="3"/>
      <c r="O163" s="55">
        <f>O162+D163-P163</f>
        <v>-5060806</v>
      </c>
      <c r="P163" s="39">
        <f>1110000+4440+351000+1404+422000+1688+40000+160+74000+369500</f>
        <v>2374192</v>
      </c>
      <c r="Q163" s="39"/>
      <c r="R163" s="39">
        <f>R162+E163</f>
        <v>0</v>
      </c>
      <c r="S163" s="3"/>
      <c r="T163" s="3"/>
      <c r="U163" s="3"/>
      <c r="V163" s="3"/>
      <c r="W163" s="39">
        <f>W162+G163</f>
        <v>780525</v>
      </c>
      <c r="X163" s="56"/>
      <c r="Y163" s="3"/>
    </row>
    <row r="164" spans="1:25" x14ac:dyDescent="0.35">
      <c r="A164" s="139"/>
      <c r="B164" s="38">
        <v>7</v>
      </c>
      <c r="C164" s="39"/>
      <c r="D164" s="39"/>
      <c r="E164" s="39"/>
      <c r="F164" s="39"/>
      <c r="G164" s="39"/>
      <c r="H164" s="39"/>
      <c r="I164" s="39">
        <f t="shared" ref="I164:I168" si="35">C164+D164+E164+G164</f>
        <v>0</v>
      </c>
      <c r="J164" s="39">
        <f t="shared" si="34"/>
        <v>0</v>
      </c>
      <c r="L164" s="39">
        <f>L163+J164</f>
        <v>0</v>
      </c>
      <c r="M164" s="39">
        <v>1426430</v>
      </c>
      <c r="N164" s="3" t="s">
        <v>423</v>
      </c>
      <c r="O164" s="55">
        <f>O163+D164</f>
        <v>-5060806</v>
      </c>
      <c r="P164" s="39">
        <f>15000+60+12+60000+240+60000+240+40000+160+40000+160+1808+405000+1620</f>
        <v>624300</v>
      </c>
      <c r="Q164" s="39"/>
      <c r="R164" s="39">
        <f>R163+E164</f>
        <v>0</v>
      </c>
      <c r="S164" s="3"/>
      <c r="T164" s="3"/>
      <c r="U164" s="3"/>
      <c r="V164" s="3"/>
      <c r="W164" s="39">
        <f>W163+G164-X164</f>
        <v>780525</v>
      </c>
      <c r="X164" s="56"/>
      <c r="Y164" s="3"/>
    </row>
    <row r="165" spans="1:25" x14ac:dyDescent="0.35">
      <c r="A165" s="139"/>
      <c r="B165" s="38">
        <v>8</v>
      </c>
      <c r="C165" s="39"/>
      <c r="D165" s="39"/>
      <c r="E165" s="39"/>
      <c r="F165" s="39"/>
      <c r="G165" s="39"/>
      <c r="H165" s="39"/>
      <c r="I165" s="39">
        <f t="shared" si="35"/>
        <v>0</v>
      </c>
      <c r="J165" s="39">
        <f t="shared" si="34"/>
        <v>0</v>
      </c>
      <c r="L165" s="39">
        <f>L164+J165-M165</f>
        <v>0</v>
      </c>
      <c r="M165" s="39">
        <v>0</v>
      </c>
      <c r="N165" s="3"/>
      <c r="O165" s="55">
        <f>O164+D165-P165</f>
        <v>-6570118</v>
      </c>
      <c r="P165" s="39">
        <f>11000+44+800000+3200+242000+968+452100</f>
        <v>1509312</v>
      </c>
      <c r="Q165" s="39"/>
      <c r="R165" s="39">
        <f>R164+E165</f>
        <v>0</v>
      </c>
      <c r="S165" s="3"/>
      <c r="T165" s="3"/>
      <c r="U165" s="3"/>
      <c r="V165" s="3"/>
      <c r="W165" s="39">
        <f>W164+G165-X165</f>
        <v>-1432091</v>
      </c>
      <c r="X165" s="56">
        <f>950000+1262616</f>
        <v>2212616</v>
      </c>
      <c r="Y165" s="3"/>
    </row>
    <row r="166" spans="1:25" x14ac:dyDescent="0.35">
      <c r="A166" s="139"/>
      <c r="B166" s="38">
        <v>9</v>
      </c>
      <c r="C166" s="39"/>
      <c r="D166" s="39"/>
      <c r="E166" s="39"/>
      <c r="F166" s="39"/>
      <c r="G166" s="39"/>
      <c r="H166" s="39"/>
      <c r="I166" s="39">
        <f t="shared" si="35"/>
        <v>0</v>
      </c>
      <c r="J166" s="39">
        <f t="shared" si="34"/>
        <v>0</v>
      </c>
      <c r="L166" s="39">
        <f>L165+J166</f>
        <v>0</v>
      </c>
      <c r="M166" s="39"/>
      <c r="N166" s="3"/>
      <c r="O166" s="55">
        <f>O165+D166</f>
        <v>-6570118</v>
      </c>
      <c r="P166" s="39">
        <f>14000+56+300000+250000+240000+3160+1400</f>
        <v>808616</v>
      </c>
      <c r="Q166" s="39"/>
      <c r="R166" s="39">
        <f>R165+E166</f>
        <v>0</v>
      </c>
      <c r="S166" s="3"/>
      <c r="T166" s="3"/>
      <c r="U166" s="3"/>
      <c r="V166" s="3"/>
      <c r="W166" s="39">
        <f>W165+G166-X166</f>
        <v>-1432091</v>
      </c>
      <c r="X166" s="56"/>
      <c r="Y166" s="3"/>
    </row>
    <row r="167" spans="1:25" x14ac:dyDescent="0.35">
      <c r="A167" s="139"/>
      <c r="B167" s="38">
        <v>10</v>
      </c>
      <c r="C167" s="39"/>
      <c r="D167" s="39"/>
      <c r="E167" s="39"/>
      <c r="F167" s="39"/>
      <c r="G167" s="39"/>
      <c r="H167" s="39"/>
      <c r="I167" s="39">
        <f t="shared" si="35"/>
        <v>0</v>
      </c>
      <c r="J167" s="39">
        <f t="shared" si="34"/>
        <v>0</v>
      </c>
      <c r="L167" s="39">
        <f>L166+J167</f>
        <v>0</v>
      </c>
      <c r="M167" s="39"/>
      <c r="N167" s="3"/>
      <c r="O167" s="55">
        <f>O166+D167-P167</f>
        <v>-7802704</v>
      </c>
      <c r="P167" s="39">
        <f>40000+160+200000+8506+30000+120+320000+210000+2120+240000+100000+80000+1680</f>
        <v>1232586</v>
      </c>
      <c r="Q167" s="39"/>
      <c r="R167" s="39">
        <f>R166+E167-S167</f>
        <v>0</v>
      </c>
      <c r="S167" s="39"/>
      <c r="T167" s="39"/>
      <c r="U167" s="3"/>
      <c r="V167" s="3"/>
      <c r="W167" s="39">
        <f>W166+G167-X167</f>
        <v>-1861080</v>
      </c>
      <c r="X167" s="56">
        <f>18050+98630+310600+1709</f>
        <v>428989</v>
      </c>
      <c r="Y167" s="3"/>
    </row>
    <row r="168" spans="1:25" x14ac:dyDescent="0.35">
      <c r="A168" s="52"/>
      <c r="B168" s="38">
        <v>11</v>
      </c>
      <c r="C168" s="39"/>
      <c r="D168" s="39"/>
      <c r="E168" s="39"/>
      <c r="F168" s="39"/>
      <c r="G168" s="39"/>
      <c r="H168" s="39"/>
      <c r="I168" s="39">
        <f t="shared" si="35"/>
        <v>0</v>
      </c>
      <c r="J168" s="39">
        <f t="shared" si="34"/>
        <v>0</v>
      </c>
      <c r="L168" s="56"/>
      <c r="M168" s="72"/>
      <c r="N168" s="3"/>
      <c r="O168" s="54"/>
      <c r="P168" s="55"/>
      <c r="Q168" s="54"/>
      <c r="R168" s="56"/>
      <c r="S168" s="55"/>
      <c r="T168" s="55"/>
      <c r="U168" s="3"/>
      <c r="V168" s="3"/>
      <c r="W168" s="56"/>
      <c r="X168" s="54">
        <f>2700000+10800</f>
        <v>2710800</v>
      </c>
      <c r="Y168" s="3"/>
    </row>
    <row r="169" spans="1:25" x14ac:dyDescent="0.35">
      <c r="A169" s="52"/>
      <c r="B169" s="53"/>
      <c r="C169" s="54"/>
      <c r="D169" s="54"/>
      <c r="E169" s="54"/>
      <c r="F169" s="54"/>
      <c r="G169" s="54"/>
      <c r="H169" s="58">
        <f>SUM(H162:H167)</f>
        <v>0</v>
      </c>
      <c r="I169" s="58">
        <f>I167+I166+I165+I164+I163+I162</f>
        <v>0</v>
      </c>
      <c r="J169" s="60">
        <f>SUM(J162:J167)</f>
        <v>0</v>
      </c>
      <c r="L169" s="56"/>
      <c r="M169" s="72"/>
      <c r="N169" s="3"/>
      <c r="O169" s="54"/>
      <c r="P169" s="60">
        <f>SUM(P162:P167)</f>
        <v>9235620</v>
      </c>
      <c r="Q169" s="58"/>
      <c r="R169" s="56"/>
      <c r="S169" s="55"/>
      <c r="T169" s="55"/>
      <c r="U169" s="3"/>
      <c r="V169" s="3"/>
      <c r="W169" s="56"/>
      <c r="X169" s="58">
        <f>SUM(X162:X167)</f>
        <v>2813580</v>
      </c>
      <c r="Y169" s="3"/>
    </row>
    <row r="170" spans="1:25" x14ac:dyDescent="0.35">
      <c r="B170" s="140" t="s">
        <v>162</v>
      </c>
      <c r="C170" s="141"/>
      <c r="D170" s="141"/>
      <c r="E170" s="141"/>
      <c r="F170" s="141"/>
      <c r="G170" s="141"/>
      <c r="H170" s="141"/>
      <c r="I170" s="141"/>
      <c r="J170" s="142"/>
      <c r="L170" s="137">
        <f>L167</f>
        <v>0</v>
      </c>
      <c r="M170" s="141"/>
      <c r="N170" s="3"/>
      <c r="O170" s="138">
        <f>O167</f>
        <v>-7802704</v>
      </c>
      <c r="P170" s="142"/>
      <c r="Q170" s="61"/>
      <c r="R170" s="137">
        <f>R167</f>
        <v>0</v>
      </c>
      <c r="S170" s="142"/>
      <c r="T170" s="62"/>
      <c r="U170" s="3"/>
      <c r="V170" s="3"/>
      <c r="W170" s="137">
        <v>0</v>
      </c>
      <c r="X170" s="138"/>
      <c r="Y170" s="39"/>
    </row>
    <row r="171" spans="1:25" x14ac:dyDescent="0.35">
      <c r="I171" s="40"/>
      <c r="J171" s="42"/>
      <c r="L171" s="3"/>
      <c r="M171" s="59"/>
      <c r="N171" s="3"/>
      <c r="O171" s="57"/>
      <c r="P171" s="39"/>
      <c r="Q171" s="39"/>
      <c r="R171" s="3"/>
      <c r="S171" s="3"/>
      <c r="T171" s="3"/>
      <c r="U171" s="3"/>
      <c r="V171" s="3"/>
      <c r="W171" s="3"/>
      <c r="X171" s="59"/>
      <c r="Y171" s="39"/>
    </row>
    <row r="172" spans="1:25" x14ac:dyDescent="0.35">
      <c r="A172" s="45"/>
      <c r="B172" s="37" t="s">
        <v>150</v>
      </c>
      <c r="C172" s="37" t="s">
        <v>121</v>
      </c>
      <c r="D172" s="37" t="s">
        <v>102</v>
      </c>
      <c r="E172" s="37" t="s">
        <v>103</v>
      </c>
      <c r="F172" s="37" t="s">
        <v>147</v>
      </c>
      <c r="G172" s="37" t="s">
        <v>148</v>
      </c>
      <c r="H172" s="37" t="s">
        <v>149</v>
      </c>
      <c r="I172" s="37" t="s">
        <v>151</v>
      </c>
      <c r="J172" s="37" t="s">
        <v>159</v>
      </c>
      <c r="L172" s="44" t="s">
        <v>160</v>
      </c>
      <c r="M172" s="65" t="s">
        <v>161</v>
      </c>
      <c r="N172" s="3"/>
      <c r="O172" s="62" t="s">
        <v>102</v>
      </c>
      <c r="P172" s="44" t="s">
        <v>156</v>
      </c>
      <c r="Q172" s="44"/>
      <c r="R172" s="44" t="s">
        <v>103</v>
      </c>
      <c r="S172" s="44" t="s">
        <v>157</v>
      </c>
      <c r="T172" s="44"/>
      <c r="U172" s="44" t="s">
        <v>138</v>
      </c>
      <c r="V172" s="44" t="s">
        <v>163</v>
      </c>
      <c r="W172" s="44" t="s">
        <v>148</v>
      </c>
      <c r="X172" s="65" t="s">
        <v>158</v>
      </c>
      <c r="Y172" s="3"/>
    </row>
    <row r="173" spans="1:25" x14ac:dyDescent="0.35">
      <c r="A173" s="139" t="s">
        <v>126</v>
      </c>
      <c r="B173" s="38">
        <v>13</v>
      </c>
      <c r="C173" s="39"/>
      <c r="D173" s="39"/>
      <c r="E173" s="39"/>
      <c r="F173" s="39"/>
      <c r="G173" s="39"/>
      <c r="H173" s="39"/>
      <c r="I173" s="39">
        <f>C173+D173+E173+G173</f>
        <v>0</v>
      </c>
      <c r="J173" s="39">
        <f>C173-H173</f>
        <v>0</v>
      </c>
      <c r="L173" s="39">
        <f>J173</f>
        <v>0</v>
      </c>
      <c r="M173" s="39">
        <v>2000000</v>
      </c>
      <c r="N173" s="39" t="s">
        <v>350</v>
      </c>
      <c r="O173" s="55">
        <f>D173-P173</f>
        <v>-704710</v>
      </c>
      <c r="P173" s="39">
        <f>203400+813+200000+140000+560+9000+36+150300+601</f>
        <v>704710</v>
      </c>
      <c r="Q173" s="39"/>
      <c r="R173" s="39">
        <f>E173</f>
        <v>0</v>
      </c>
      <c r="S173" s="3"/>
      <c r="T173" s="3"/>
      <c r="U173" s="3"/>
      <c r="V173" s="3"/>
      <c r="W173" s="39">
        <f>G173-X173</f>
        <v>-394100</v>
      </c>
      <c r="X173" s="56">
        <v>394100</v>
      </c>
      <c r="Y173" s="3"/>
    </row>
    <row r="174" spans="1:25" x14ac:dyDescent="0.35">
      <c r="A174" s="139"/>
      <c r="B174" s="38">
        <v>14</v>
      </c>
      <c r="C174" s="39"/>
      <c r="D174" s="39"/>
      <c r="E174" s="39"/>
      <c r="F174" s="39"/>
      <c r="G174" s="39"/>
      <c r="H174" s="39"/>
      <c r="I174" s="39">
        <f>C174+D174+E174+G174</f>
        <v>0</v>
      </c>
      <c r="J174" s="39">
        <f t="shared" ref="J174:J178" si="36">C174-H174</f>
        <v>0</v>
      </c>
      <c r="L174" s="39">
        <f>L173+J174</f>
        <v>0</v>
      </c>
      <c r="M174" s="39">
        <v>2000000</v>
      </c>
      <c r="N174" s="39" t="s">
        <v>404</v>
      </c>
      <c r="O174" s="55">
        <f>O173+D174-P174</f>
        <v>-2463242</v>
      </c>
      <c r="P174" s="39">
        <f>227+478300+1913+1273000+5092</f>
        <v>1758532</v>
      </c>
      <c r="Q174" s="39"/>
      <c r="R174" s="39"/>
      <c r="S174" s="3">
        <v>500000</v>
      </c>
      <c r="T174" s="3" t="s">
        <v>107</v>
      </c>
      <c r="U174" s="3"/>
      <c r="V174" s="3"/>
      <c r="W174" s="39">
        <f>W173+G174</f>
        <v>-394100</v>
      </c>
      <c r="X174" s="56"/>
      <c r="Y174" s="3"/>
    </row>
    <row r="175" spans="1:25" x14ac:dyDescent="0.35">
      <c r="A175" s="139"/>
      <c r="B175" s="38">
        <v>15</v>
      </c>
      <c r="C175" s="39"/>
      <c r="D175" s="39"/>
      <c r="E175" s="39"/>
      <c r="F175" s="39"/>
      <c r="G175" s="39"/>
      <c r="H175" s="39"/>
      <c r="I175" s="39">
        <f t="shared" ref="I175:I178" si="37">C175+D175+E175+G175</f>
        <v>0</v>
      </c>
      <c r="J175" s="39">
        <f t="shared" si="36"/>
        <v>0</v>
      </c>
      <c r="L175" s="39">
        <f>L174+J175</f>
        <v>0</v>
      </c>
      <c r="M175" s="39">
        <v>2900000</v>
      </c>
      <c r="N175" s="39" t="s">
        <v>404</v>
      </c>
      <c r="O175" s="55">
        <f>O174+D175</f>
        <v>-2463242</v>
      </c>
      <c r="P175" s="39">
        <f>200000+70000+280+176400+705+210800+843+281000</f>
        <v>940028</v>
      </c>
      <c r="Q175" s="39"/>
      <c r="R175" s="39">
        <f>R174+E175</f>
        <v>0</v>
      </c>
      <c r="S175" s="3"/>
      <c r="T175" s="3"/>
      <c r="U175" s="3"/>
      <c r="V175" s="3"/>
      <c r="W175" s="39">
        <f>W174+G175-X175</f>
        <v>-2251500</v>
      </c>
      <c r="X175" s="56">
        <f>1850000+7400</f>
        <v>1857400</v>
      </c>
      <c r="Y175" s="3"/>
    </row>
    <row r="176" spans="1:25" x14ac:dyDescent="0.35">
      <c r="A176" s="139"/>
      <c r="B176" s="38">
        <v>16</v>
      </c>
      <c r="C176" s="39"/>
      <c r="D176" s="39"/>
      <c r="E176" s="39"/>
      <c r="F176" s="39"/>
      <c r="G176" s="39"/>
      <c r="H176" s="39"/>
      <c r="I176" s="39">
        <f t="shared" si="37"/>
        <v>0</v>
      </c>
      <c r="J176" s="39">
        <f t="shared" si="36"/>
        <v>0</v>
      </c>
      <c r="L176" s="39">
        <f>L175+J176-M176</f>
        <v>0</v>
      </c>
      <c r="M176" s="56"/>
      <c r="N176" s="3"/>
      <c r="O176" s="55">
        <f>O175+D176-P176</f>
        <v>-2493763</v>
      </c>
      <c r="P176" s="39">
        <f>10500+42+19900+79</f>
        <v>30521</v>
      </c>
      <c r="Q176" s="39"/>
      <c r="R176" s="39">
        <f>R175+E176</f>
        <v>0</v>
      </c>
      <c r="S176" s="3"/>
      <c r="T176" s="3"/>
      <c r="U176" s="3"/>
      <c r="V176" s="3"/>
      <c r="W176" s="39">
        <f>W175+G176-X177</f>
        <v>-2251500</v>
      </c>
    </row>
    <row r="177" spans="1:25" x14ac:dyDescent="0.35">
      <c r="A177" s="139"/>
      <c r="B177" s="38">
        <v>17</v>
      </c>
      <c r="C177" s="39"/>
      <c r="D177" s="39"/>
      <c r="E177" s="39"/>
      <c r="F177" s="39"/>
      <c r="G177" s="39"/>
      <c r="H177" s="39"/>
      <c r="I177" s="39">
        <f t="shared" si="37"/>
        <v>0</v>
      </c>
      <c r="J177" s="39">
        <f t="shared" si="36"/>
        <v>0</v>
      </c>
      <c r="L177" s="39">
        <f>L176+J177</f>
        <v>0</v>
      </c>
      <c r="M177" s="59"/>
      <c r="N177" s="3"/>
      <c r="O177" s="55">
        <f>O176+D177-P177</f>
        <v>-4032959</v>
      </c>
      <c r="P177" s="39">
        <f>14000+56+15000+60+222000+888+40000+160+250000+864+360000+40000+1600+50000+200+400000+1600+142200+568</f>
        <v>1539196</v>
      </c>
      <c r="Q177" s="39"/>
      <c r="R177" s="39">
        <f>R176+E177-S177</f>
        <v>0</v>
      </c>
      <c r="S177" s="3"/>
      <c r="T177" s="3"/>
      <c r="U177" s="3"/>
      <c r="V177" s="3"/>
      <c r="W177" s="39" t="e">
        <f>W176+G177-#REF!</f>
        <v>#REF!</v>
      </c>
      <c r="X177" s="56"/>
      <c r="Y177" s="3"/>
    </row>
    <row r="178" spans="1:25" x14ac:dyDescent="0.35">
      <c r="A178" s="139"/>
      <c r="B178" s="38">
        <v>18</v>
      </c>
      <c r="C178" s="39"/>
      <c r="D178" s="39"/>
      <c r="E178" s="39"/>
      <c r="F178" s="39"/>
      <c r="G178" s="39"/>
      <c r="H178" s="39"/>
      <c r="I178" s="39">
        <f t="shared" si="37"/>
        <v>0</v>
      </c>
      <c r="J178" s="39">
        <f t="shared" si="36"/>
        <v>0</v>
      </c>
      <c r="L178" s="39">
        <f>L177+J178-M178</f>
        <v>0</v>
      </c>
      <c r="M178" s="59"/>
      <c r="N178" s="3"/>
      <c r="O178" s="55">
        <f>O177+D178-P178</f>
        <v>-5359814</v>
      </c>
      <c r="P178" s="39">
        <f>12000+48+10000+40+1000000+4000+60000+240+200000+39450+157+920</f>
        <v>1326855</v>
      </c>
      <c r="Q178" s="39"/>
      <c r="R178" s="39">
        <f>R177+E178-S178</f>
        <v>0</v>
      </c>
      <c r="S178" s="39"/>
      <c r="T178" s="39"/>
      <c r="U178" s="3"/>
      <c r="V178" s="3"/>
      <c r="W178" s="39" t="e">
        <f>W177+G178-X178</f>
        <v>#REF!</v>
      </c>
      <c r="X178" s="56">
        <f>2700000+10800</f>
        <v>2710800</v>
      </c>
      <c r="Y178" s="3"/>
    </row>
    <row r="179" spans="1:25" x14ac:dyDescent="0.35">
      <c r="A179" s="52"/>
      <c r="B179" s="53"/>
      <c r="C179" s="54"/>
      <c r="D179" s="54"/>
      <c r="E179" s="54"/>
      <c r="F179" s="54"/>
      <c r="G179" s="54"/>
      <c r="H179" s="58">
        <f>SUM(H173:H178)</f>
        <v>0</v>
      </c>
      <c r="I179" s="58">
        <f>SUM(I173:I178)</f>
        <v>0</v>
      </c>
      <c r="J179" s="60">
        <f>SUM(J173:J178)</f>
        <v>0</v>
      </c>
      <c r="L179" s="56"/>
      <c r="M179" s="72"/>
      <c r="N179" s="3"/>
      <c r="O179" s="54"/>
      <c r="P179" s="60"/>
      <c r="Q179" s="58"/>
      <c r="R179" s="56"/>
      <c r="S179" s="55"/>
      <c r="T179" s="55"/>
      <c r="U179" s="3"/>
      <c r="V179" s="3"/>
      <c r="W179" s="56"/>
      <c r="X179" s="58">
        <f>SUM(X173:X178)</f>
        <v>4962300</v>
      </c>
      <c r="Y179" s="3"/>
    </row>
    <row r="180" spans="1:25" x14ac:dyDescent="0.35">
      <c r="B180" s="140" t="s">
        <v>164</v>
      </c>
      <c r="C180" s="141"/>
      <c r="D180" s="141"/>
      <c r="E180" s="141"/>
      <c r="F180" s="141"/>
      <c r="G180" s="141"/>
      <c r="H180" s="141"/>
      <c r="I180" s="141"/>
      <c r="J180" s="142"/>
      <c r="L180" s="137">
        <f>L178</f>
        <v>0</v>
      </c>
      <c r="M180" s="141"/>
      <c r="N180" s="3"/>
      <c r="O180" s="138">
        <f>O178</f>
        <v>-5359814</v>
      </c>
      <c r="P180" s="142"/>
      <c r="Q180" s="61"/>
      <c r="R180" s="137">
        <f>R178</f>
        <v>0</v>
      </c>
      <c r="S180" s="142"/>
      <c r="T180" s="62"/>
      <c r="U180" s="3"/>
      <c r="V180" s="3"/>
      <c r="W180" s="137" t="e">
        <f>W178</f>
        <v>#REF!</v>
      </c>
      <c r="X180" s="138"/>
      <c r="Y180" s="3"/>
    </row>
    <row r="181" spans="1:25" x14ac:dyDescent="0.35">
      <c r="J181" s="42"/>
      <c r="L181" s="3"/>
      <c r="M181" s="59"/>
      <c r="N181" s="3"/>
      <c r="O181" s="57"/>
      <c r="P181" s="3"/>
      <c r="Q181" s="3"/>
      <c r="R181" s="3"/>
      <c r="S181" s="3"/>
      <c r="T181" s="3"/>
      <c r="U181" s="3"/>
      <c r="V181" s="3"/>
      <c r="W181" s="3"/>
      <c r="X181" s="59"/>
      <c r="Y181" s="3"/>
    </row>
    <row r="182" spans="1:25" x14ac:dyDescent="0.35">
      <c r="A182" s="45"/>
      <c r="B182" s="37" t="s">
        <v>150</v>
      </c>
      <c r="C182" s="37" t="s">
        <v>121</v>
      </c>
      <c r="D182" s="37" t="s">
        <v>102</v>
      </c>
      <c r="E182" s="37" t="s">
        <v>103</v>
      </c>
      <c r="F182" s="37" t="s">
        <v>147</v>
      </c>
      <c r="G182" s="37" t="s">
        <v>148</v>
      </c>
      <c r="H182" s="37" t="s">
        <v>149</v>
      </c>
      <c r="I182" s="37" t="s">
        <v>151</v>
      </c>
      <c r="J182" s="37" t="s">
        <v>159</v>
      </c>
      <c r="L182" s="44" t="s">
        <v>160</v>
      </c>
      <c r="M182" s="65" t="s">
        <v>161</v>
      </c>
      <c r="N182" s="3"/>
      <c r="O182" s="62" t="s">
        <v>102</v>
      </c>
      <c r="P182" s="44" t="s">
        <v>156</v>
      </c>
      <c r="Q182" s="44"/>
      <c r="R182" s="44" t="s">
        <v>103</v>
      </c>
      <c r="S182" s="44" t="s">
        <v>157</v>
      </c>
      <c r="T182" s="44"/>
      <c r="U182" s="44" t="s">
        <v>138</v>
      </c>
      <c r="V182" s="44" t="s">
        <v>163</v>
      </c>
      <c r="W182" s="44" t="s">
        <v>148</v>
      </c>
      <c r="X182" s="65" t="s">
        <v>158</v>
      </c>
      <c r="Y182" s="3"/>
    </row>
    <row r="183" spans="1:25" x14ac:dyDescent="0.35">
      <c r="A183" s="139" t="s">
        <v>143</v>
      </c>
      <c r="B183" s="38">
        <v>20</v>
      </c>
      <c r="C183" s="39"/>
      <c r="D183" s="39"/>
      <c r="E183" s="39"/>
      <c r="F183" s="39"/>
      <c r="G183" s="39"/>
      <c r="H183" s="39"/>
      <c r="I183" s="39">
        <f>C183+D183+E183+G183</f>
        <v>0</v>
      </c>
      <c r="J183" s="39">
        <f>C183-H183</f>
        <v>0</v>
      </c>
      <c r="L183" s="39">
        <f>J183</f>
        <v>0</v>
      </c>
      <c r="M183" s="56"/>
      <c r="N183" s="3"/>
      <c r="O183" s="55">
        <f>O180+D183-P183</f>
        <v>-6203892</v>
      </c>
      <c r="P183" s="39">
        <f>8000+32+50000+200+75000+300+77500+310+50000+200+214200+856+480+367000</f>
        <v>844078</v>
      </c>
      <c r="Q183" s="39"/>
      <c r="R183" s="39">
        <f>R180+E183-S183</f>
        <v>0</v>
      </c>
      <c r="S183" s="3"/>
      <c r="T183" s="3"/>
      <c r="U183" s="3"/>
      <c r="V183" s="3"/>
      <c r="W183" s="39" t="e">
        <f>W180+G183-X183</f>
        <v>#REF!</v>
      </c>
      <c r="X183" s="56">
        <f>2000000+8000</f>
        <v>2008000</v>
      </c>
      <c r="Y183" s="3"/>
    </row>
    <row r="184" spans="1:25" x14ac:dyDescent="0.35">
      <c r="A184" s="139"/>
      <c r="B184" s="38">
        <v>21</v>
      </c>
      <c r="C184" s="39"/>
      <c r="D184" s="39"/>
      <c r="E184" s="39"/>
      <c r="F184" s="39"/>
      <c r="G184" s="39"/>
      <c r="H184" s="39"/>
      <c r="I184" s="39">
        <f>C184+D184+E184+G184</f>
        <v>0</v>
      </c>
      <c r="J184" s="39">
        <f t="shared" ref="J184:J188" si="38">C184-H184</f>
        <v>0</v>
      </c>
      <c r="L184" s="39">
        <f>L183+J184</f>
        <v>0</v>
      </c>
      <c r="M184" s="59"/>
      <c r="N184" s="3"/>
      <c r="O184" s="55">
        <f>O183+D184+S183-P184</f>
        <v>-7193289</v>
      </c>
      <c r="P184" s="39">
        <f>525600+2102+43800+175+70000+280+30000+120+520+60000+240+540+255000+1020</f>
        <v>989397</v>
      </c>
      <c r="Q184" s="39"/>
      <c r="R184" s="39">
        <f>R183+E184-S184</f>
        <v>0</v>
      </c>
      <c r="S184" s="3"/>
      <c r="T184" s="3"/>
      <c r="U184" s="3"/>
      <c r="V184" s="3"/>
      <c r="W184" s="39" t="e">
        <f>W183+G184-X184</f>
        <v>#REF!</v>
      </c>
      <c r="X184" s="56"/>
      <c r="Y184" s="3"/>
    </row>
    <row r="185" spans="1:25" x14ac:dyDescent="0.35">
      <c r="A185" s="139"/>
      <c r="B185" s="38">
        <v>22</v>
      </c>
      <c r="C185" s="39"/>
      <c r="D185" s="39"/>
      <c r="E185" s="39"/>
      <c r="F185" s="39"/>
      <c r="G185" s="39"/>
      <c r="H185" s="39"/>
      <c r="I185" s="39">
        <f t="shared" ref="I185:I188" si="39">C185+D185+E185+G185</f>
        <v>0</v>
      </c>
      <c r="J185" s="39">
        <f t="shared" si="38"/>
        <v>0</v>
      </c>
      <c r="L185" s="39">
        <f>L184+J185-M185</f>
        <v>0</v>
      </c>
      <c r="M185" s="56"/>
      <c r="N185" s="3"/>
      <c r="O185" s="55">
        <f>O184+D185-P185</f>
        <v>-9339895</v>
      </c>
      <c r="P185" s="39">
        <f>8000+32+700000+2800+20000+80+250000+1000+40000+160+70000+280+240+40000+160+9600+38+1000000+4000+216</f>
        <v>2146606</v>
      </c>
      <c r="Q185" s="39"/>
      <c r="R185" s="39">
        <f>R184+E185</f>
        <v>0</v>
      </c>
      <c r="S185" s="3"/>
      <c r="T185" s="3"/>
      <c r="U185" s="3"/>
      <c r="V185" s="3"/>
      <c r="W185" s="39" t="e">
        <f>W184+G185-X185</f>
        <v>#REF!</v>
      </c>
      <c r="X185" s="56">
        <f>1000000+8455+1113996</f>
        <v>2122451</v>
      </c>
      <c r="Y185" s="3"/>
    </row>
    <row r="186" spans="1:25" x14ac:dyDescent="0.35">
      <c r="A186" s="139"/>
      <c r="B186" s="38">
        <v>23</v>
      </c>
      <c r="C186" s="39"/>
      <c r="D186" s="39"/>
      <c r="E186" s="39"/>
      <c r="F186" s="39"/>
      <c r="G186" s="39"/>
      <c r="H186" s="39"/>
      <c r="I186" s="39">
        <f t="shared" si="39"/>
        <v>0</v>
      </c>
      <c r="J186" s="39">
        <f t="shared" si="38"/>
        <v>0</v>
      </c>
      <c r="L186" s="39">
        <f>L185+J186-M186</f>
        <v>-1000000</v>
      </c>
      <c r="M186" s="56">
        <v>1000000</v>
      </c>
      <c r="N186" s="3" t="s">
        <v>408</v>
      </c>
      <c r="O186" s="55">
        <f>O185+D186-P186</f>
        <v>-9539189</v>
      </c>
      <c r="P186" s="39">
        <f>8000+32+60000+240+130500+522</f>
        <v>199294</v>
      </c>
      <c r="Q186" s="39"/>
      <c r="R186" s="39">
        <f>R185+E186</f>
        <v>0</v>
      </c>
      <c r="S186" s="3"/>
      <c r="T186" s="3"/>
      <c r="U186" s="3"/>
      <c r="V186" s="3"/>
      <c r="W186" s="39" t="e">
        <f>W185+G186-X186</f>
        <v>#REF!</v>
      </c>
      <c r="X186" s="56"/>
      <c r="Y186" s="3"/>
    </row>
    <row r="187" spans="1:25" x14ac:dyDescent="0.35">
      <c r="A187" s="139"/>
      <c r="B187" s="38">
        <v>24</v>
      </c>
      <c r="C187" s="39"/>
      <c r="D187" s="39"/>
      <c r="E187" s="39"/>
      <c r="F187" s="39"/>
      <c r="G187" s="39"/>
      <c r="H187" s="39"/>
      <c r="I187" s="39">
        <f t="shared" si="39"/>
        <v>0</v>
      </c>
      <c r="J187" s="39">
        <f t="shared" si="38"/>
        <v>0</v>
      </c>
      <c r="L187" s="39">
        <f>L186+J187</f>
        <v>-1000000</v>
      </c>
      <c r="M187" s="59"/>
      <c r="N187" s="3"/>
      <c r="O187" s="55">
        <f>O186+D187-P187</f>
        <v>-9990195</v>
      </c>
      <c r="P187" s="39">
        <f>8500+34+712+380000+1520+60000+240</f>
        <v>451006</v>
      </c>
      <c r="Q187" s="39"/>
      <c r="R187" s="39">
        <f>R186+E187-S187</f>
        <v>0</v>
      </c>
      <c r="S187" s="3"/>
      <c r="T187" s="3"/>
      <c r="U187" s="3"/>
      <c r="V187" s="3"/>
      <c r="W187" s="39" t="e">
        <f>W186+G187-X187</f>
        <v>#REF!</v>
      </c>
      <c r="X187" s="56"/>
      <c r="Y187" s="3"/>
    </row>
    <row r="188" spans="1:25" x14ac:dyDescent="0.35">
      <c r="A188" s="139"/>
      <c r="B188" s="38">
        <v>25</v>
      </c>
      <c r="C188" s="39"/>
      <c r="D188" s="39"/>
      <c r="E188" s="39"/>
      <c r="F188" s="39"/>
      <c r="G188" s="39"/>
      <c r="H188" s="39"/>
      <c r="I188" s="39">
        <f t="shared" si="39"/>
        <v>0</v>
      </c>
      <c r="J188" s="39">
        <f t="shared" si="38"/>
        <v>0</v>
      </c>
      <c r="L188" s="39">
        <f>L187+J188-M188</f>
        <v>-1000000</v>
      </c>
      <c r="M188" s="59"/>
      <c r="N188" s="3"/>
      <c r="O188" s="55">
        <f>O187+D188-P188</f>
        <v>-12275630</v>
      </c>
      <c r="P188" s="39">
        <f>74900+299+1436+100000+400+1500000+6000+600000+2400</f>
        <v>2285435</v>
      </c>
      <c r="Q188" s="39"/>
      <c r="R188" s="39">
        <f>R187+E188-S188</f>
        <v>0</v>
      </c>
      <c r="S188" s="39"/>
      <c r="T188" s="39"/>
      <c r="U188" s="3"/>
      <c r="V188" s="3"/>
      <c r="W188" s="39" t="e">
        <f>W187+G188-X188</f>
        <v>#REF!</v>
      </c>
      <c r="X188" s="56">
        <f>10800+2700000+5600+1400000</f>
        <v>4116400</v>
      </c>
      <c r="Y188" s="3"/>
    </row>
    <row r="189" spans="1:25" x14ac:dyDescent="0.35">
      <c r="A189" s="52"/>
      <c r="B189" s="53"/>
      <c r="C189" s="54"/>
      <c r="D189" s="54"/>
      <c r="E189" s="54"/>
      <c r="F189" s="54"/>
      <c r="G189" s="54"/>
      <c r="H189" s="58">
        <f>SUM(H183:H188)</f>
        <v>0</v>
      </c>
      <c r="I189" s="58">
        <f>SUM(I183:I188)</f>
        <v>0</v>
      </c>
      <c r="J189" s="60">
        <f>SUM(J183:J188)</f>
        <v>0</v>
      </c>
      <c r="L189" s="56"/>
      <c r="M189" s="72"/>
      <c r="N189" s="3"/>
      <c r="O189" s="54"/>
      <c r="P189" s="60">
        <f>SUM(P183:P188)</f>
        <v>6915816</v>
      </c>
      <c r="Q189" s="58"/>
      <c r="R189" s="56"/>
      <c r="S189" s="55"/>
      <c r="T189" s="55"/>
      <c r="U189" s="3"/>
      <c r="V189" s="3"/>
      <c r="W189" s="56"/>
      <c r="X189" s="58">
        <f>SUM(X183:X188)</f>
        <v>8246851</v>
      </c>
      <c r="Y189" s="3"/>
    </row>
    <row r="190" spans="1:25" x14ac:dyDescent="0.35">
      <c r="B190" s="140" t="s">
        <v>197</v>
      </c>
      <c r="C190" s="141"/>
      <c r="D190" s="141"/>
      <c r="E190" s="141"/>
      <c r="F190" s="141"/>
      <c r="G190" s="141"/>
      <c r="H190" s="141"/>
      <c r="I190" s="141"/>
      <c r="J190" s="142"/>
      <c r="L190" s="137">
        <f>L188</f>
        <v>-1000000</v>
      </c>
      <c r="M190" s="141"/>
      <c r="N190" s="3"/>
      <c r="O190" s="138">
        <f>O188</f>
        <v>-12275630</v>
      </c>
      <c r="P190" s="142"/>
      <c r="Q190" s="61"/>
      <c r="R190" s="137">
        <f>R188</f>
        <v>0</v>
      </c>
      <c r="S190" s="142"/>
      <c r="T190" s="62"/>
      <c r="U190" s="3"/>
      <c r="V190" s="3"/>
      <c r="W190" s="137" t="e">
        <f>W188</f>
        <v>#REF!</v>
      </c>
      <c r="X190" s="138"/>
      <c r="Y190" s="3"/>
    </row>
    <row r="191" spans="1:25" x14ac:dyDescent="0.35">
      <c r="N191" s="3"/>
      <c r="Y191" s="3"/>
    </row>
    <row r="192" spans="1:25" x14ac:dyDescent="0.35">
      <c r="A192" s="45"/>
      <c r="B192" s="37" t="s">
        <v>150</v>
      </c>
      <c r="C192" s="37" t="s">
        <v>121</v>
      </c>
      <c r="D192" s="37" t="s">
        <v>102</v>
      </c>
      <c r="E192" s="37" t="s">
        <v>103</v>
      </c>
      <c r="F192" s="37" t="s">
        <v>147</v>
      </c>
      <c r="G192" s="37" t="s">
        <v>148</v>
      </c>
      <c r="H192" s="37" t="s">
        <v>149</v>
      </c>
      <c r="I192" s="37" t="s">
        <v>151</v>
      </c>
      <c r="J192" s="37" t="s">
        <v>159</v>
      </c>
      <c r="L192" s="44" t="s">
        <v>160</v>
      </c>
      <c r="M192" s="65" t="s">
        <v>161</v>
      </c>
      <c r="N192" s="3"/>
      <c r="O192" s="62" t="s">
        <v>102</v>
      </c>
      <c r="P192" s="44" t="s">
        <v>156</v>
      </c>
      <c r="Q192" s="44"/>
      <c r="R192" s="44" t="s">
        <v>103</v>
      </c>
      <c r="S192" s="44" t="s">
        <v>157</v>
      </c>
      <c r="T192" s="44"/>
      <c r="U192" s="44" t="s">
        <v>138</v>
      </c>
      <c r="V192" s="44" t="s">
        <v>163</v>
      </c>
      <c r="W192" s="44" t="s">
        <v>148</v>
      </c>
      <c r="X192" s="65" t="s">
        <v>158</v>
      </c>
      <c r="Y192" s="3"/>
    </row>
    <row r="193" spans="1:25" x14ac:dyDescent="0.35">
      <c r="A193" s="139" t="s">
        <v>144</v>
      </c>
      <c r="B193" s="38">
        <v>27</v>
      </c>
      <c r="C193" s="39"/>
      <c r="D193" s="39"/>
      <c r="E193" s="39"/>
      <c r="F193" s="39"/>
      <c r="G193" s="39"/>
      <c r="H193" s="39"/>
      <c r="I193" s="39">
        <f>C193+D193+E193+G193</f>
        <v>0</v>
      </c>
      <c r="J193" s="39">
        <f>C193-H193</f>
        <v>0</v>
      </c>
      <c r="L193" s="39">
        <f>J193</f>
        <v>0</v>
      </c>
      <c r="M193" s="56"/>
      <c r="N193" s="3"/>
      <c r="O193" s="55">
        <f>O190+D193-P193+S193</f>
        <v>-12754201</v>
      </c>
      <c r="P193" s="39">
        <f>42900+171+435500</f>
        <v>478571</v>
      </c>
      <c r="Q193" s="39"/>
      <c r="R193" s="39">
        <f>R190+E193-S193</f>
        <v>0</v>
      </c>
      <c r="S193" s="3"/>
      <c r="T193" s="3"/>
      <c r="U193" s="3"/>
      <c r="V193" s="3"/>
      <c r="W193" s="39" t="e">
        <f>W190+G193-X193</f>
        <v>#REF!</v>
      </c>
      <c r="X193" s="56"/>
      <c r="Y193" s="3"/>
    </row>
    <row r="194" spans="1:25" x14ac:dyDescent="0.35">
      <c r="A194" s="139"/>
      <c r="B194" s="38">
        <v>28</v>
      </c>
      <c r="C194" s="39"/>
      <c r="D194" s="20"/>
      <c r="E194" s="20"/>
      <c r="F194" s="39"/>
      <c r="G194" s="39"/>
      <c r="H194" s="39"/>
      <c r="I194" s="39">
        <f>C194+D194+E194+G194</f>
        <v>0</v>
      </c>
      <c r="J194" s="39">
        <f t="shared" ref="J194:J198" si="40">C194-H194</f>
        <v>0</v>
      </c>
      <c r="L194" s="39">
        <f>L193+J194</f>
        <v>0</v>
      </c>
      <c r="M194" s="59"/>
      <c r="N194" s="3"/>
      <c r="O194" s="55">
        <f>O193+D194+S194-P194</f>
        <v>-14608989</v>
      </c>
      <c r="P194" s="39">
        <f>681900+2727+156800+627+1000000+4000+8700+34</f>
        <v>1854788</v>
      </c>
      <c r="Q194" s="39"/>
      <c r="R194" s="39">
        <f>R193+E194-S194</f>
        <v>0</v>
      </c>
      <c r="S194" s="3"/>
      <c r="T194" s="3"/>
      <c r="U194" s="3"/>
      <c r="V194" s="3"/>
      <c r="W194" s="39" t="e">
        <f>W193+G194-X194</f>
        <v>#REF!</v>
      </c>
      <c r="X194" s="56"/>
      <c r="Y194" s="3"/>
    </row>
    <row r="195" spans="1:25" x14ac:dyDescent="0.35">
      <c r="A195" s="139"/>
      <c r="B195" s="38">
        <v>29</v>
      </c>
      <c r="C195" s="39"/>
      <c r="D195" s="39"/>
      <c r="E195" s="39"/>
      <c r="F195" s="39"/>
      <c r="G195" s="39"/>
      <c r="H195" s="39"/>
      <c r="I195" s="39">
        <f t="shared" ref="I195:I198" si="41">C195+D195+E195+G195</f>
        <v>0</v>
      </c>
      <c r="J195" s="39">
        <f t="shared" si="40"/>
        <v>0</v>
      </c>
      <c r="L195" s="39">
        <f>L194+J195-M195</f>
        <v>0</v>
      </c>
      <c r="M195" s="56"/>
      <c r="N195" s="3"/>
      <c r="O195" s="55">
        <f>O194+D195-P195</f>
        <v>-16155367</v>
      </c>
      <c r="P195" s="39">
        <f>460000+1840+174530+698+2498+70000+280+40000+160+30000+120+135800+543+411400+1645+216000+864</f>
        <v>1546378</v>
      </c>
      <c r="Q195" s="39"/>
      <c r="R195" s="39">
        <f>R194+E195</f>
        <v>0</v>
      </c>
      <c r="S195" s="3"/>
      <c r="T195" s="3"/>
      <c r="U195" s="3"/>
      <c r="V195" s="3"/>
      <c r="W195" s="39" t="e">
        <f>W194+G195-X195</f>
        <v>#REF!</v>
      </c>
      <c r="X195" s="56">
        <f>2700000+10800</f>
        <v>2710800</v>
      </c>
      <c r="Y195" s="3"/>
    </row>
    <row r="196" spans="1:25" x14ac:dyDescent="0.35">
      <c r="A196" s="139"/>
      <c r="B196" s="38">
        <v>30</v>
      </c>
      <c r="C196" s="39"/>
      <c r="D196" s="39"/>
      <c r="E196" s="39"/>
      <c r="F196" s="39"/>
      <c r="G196" s="39"/>
      <c r="H196" s="39"/>
      <c r="I196" s="39">
        <f t="shared" si="41"/>
        <v>0</v>
      </c>
      <c r="J196" s="39">
        <f t="shared" si="40"/>
        <v>0</v>
      </c>
      <c r="L196" s="39">
        <f>L195+J196-M196</f>
        <v>0</v>
      </c>
      <c r="M196" s="56"/>
      <c r="N196" s="3"/>
      <c r="O196" s="55">
        <f>O195+D196-P196</f>
        <v>-16881259</v>
      </c>
      <c r="P196" s="39">
        <f>25000+100+378000+1512+320000+1280</f>
        <v>725892</v>
      </c>
      <c r="Q196" s="39"/>
      <c r="R196" s="39">
        <f>R195+E196</f>
        <v>0</v>
      </c>
      <c r="S196" s="3"/>
      <c r="T196" s="3"/>
      <c r="U196" s="3"/>
      <c r="V196" s="3"/>
      <c r="W196" s="39" t="e">
        <f>W195+G196</f>
        <v>#REF!</v>
      </c>
      <c r="X196" s="56"/>
      <c r="Y196" s="3"/>
    </row>
    <row r="197" spans="1:25" x14ac:dyDescent="0.35">
      <c r="A197" s="139"/>
      <c r="B197" s="38"/>
      <c r="C197" s="39"/>
      <c r="D197" s="39"/>
      <c r="E197" s="39"/>
      <c r="F197" s="39"/>
      <c r="G197" s="39"/>
      <c r="H197" s="39"/>
      <c r="I197" s="39">
        <f t="shared" si="41"/>
        <v>0</v>
      </c>
      <c r="J197" s="39">
        <f t="shared" si="40"/>
        <v>0</v>
      </c>
      <c r="L197" s="39">
        <f>L196+J197-M197</f>
        <v>0</v>
      </c>
      <c r="M197" s="56"/>
      <c r="N197" s="3"/>
      <c r="O197" s="55">
        <f>O196+D197-P197</f>
        <v>-16881259</v>
      </c>
      <c r="P197" s="39"/>
      <c r="Q197" s="39"/>
      <c r="R197" s="39">
        <f>R196+E197-S197</f>
        <v>0</v>
      </c>
      <c r="S197" s="3"/>
      <c r="T197" s="3"/>
      <c r="U197" s="3"/>
      <c r="V197" s="3"/>
      <c r="W197" s="39" t="e">
        <f>W196+G197-X197</f>
        <v>#REF!</v>
      </c>
      <c r="X197" s="56"/>
      <c r="Y197" s="3"/>
    </row>
    <row r="198" spans="1:25" x14ac:dyDescent="0.35">
      <c r="A198" s="139"/>
      <c r="B198" s="38"/>
      <c r="C198" s="39"/>
      <c r="D198" s="39"/>
      <c r="E198" s="39"/>
      <c r="F198" s="39"/>
      <c r="G198" s="39"/>
      <c r="H198" s="39"/>
      <c r="I198" s="39">
        <f t="shared" si="41"/>
        <v>0</v>
      </c>
      <c r="J198" s="39">
        <f t="shared" si="40"/>
        <v>0</v>
      </c>
      <c r="L198" s="39">
        <f>L197+J198-M198</f>
        <v>0</v>
      </c>
      <c r="M198" s="56"/>
      <c r="N198" s="3"/>
      <c r="O198" s="55">
        <f>O197+D198-P198</f>
        <v>-16881259</v>
      </c>
      <c r="P198" s="39"/>
      <c r="Q198" s="39"/>
      <c r="R198" s="39">
        <f>R197+E198-S198</f>
        <v>0</v>
      </c>
      <c r="S198" s="39"/>
      <c r="T198" s="39"/>
      <c r="U198" s="3"/>
      <c r="V198" s="3"/>
      <c r="W198" s="39" t="e">
        <f>W197+G198-X198</f>
        <v>#REF!</v>
      </c>
      <c r="X198" s="56"/>
      <c r="Y198" s="3"/>
    </row>
    <row r="199" spans="1:25" x14ac:dyDescent="0.35">
      <c r="A199" s="52"/>
      <c r="B199" s="53"/>
      <c r="C199" s="54"/>
      <c r="D199" s="54"/>
      <c r="E199" s="54"/>
      <c r="F199" s="54"/>
      <c r="G199" s="54"/>
      <c r="H199" s="58">
        <f>SUM(H193:H198)</f>
        <v>0</v>
      </c>
      <c r="I199" s="58">
        <f>SUM(I193:I198)</f>
        <v>0</v>
      </c>
      <c r="J199" s="60">
        <f>SUM(J193:J198)</f>
        <v>0</v>
      </c>
      <c r="L199" s="56"/>
      <c r="M199" s="54"/>
      <c r="N199" s="3"/>
      <c r="O199" s="54"/>
      <c r="P199" s="60">
        <f>SUM(P193:P198)</f>
        <v>4605629</v>
      </c>
      <c r="Q199" s="58"/>
      <c r="R199" s="56"/>
      <c r="S199" s="55"/>
      <c r="T199" s="54"/>
      <c r="U199" s="59"/>
      <c r="V199" s="57"/>
      <c r="W199" s="56"/>
      <c r="X199" s="58">
        <f>SUM(X193:X198)</f>
        <v>2710800</v>
      </c>
      <c r="Y199" s="3"/>
    </row>
    <row r="200" spans="1:25" x14ac:dyDescent="0.35">
      <c r="B200" s="140" t="s">
        <v>198</v>
      </c>
      <c r="C200" s="141"/>
      <c r="D200" s="141"/>
      <c r="E200" s="141"/>
      <c r="F200" s="141"/>
      <c r="G200" s="141"/>
      <c r="H200" s="141"/>
      <c r="I200" s="141"/>
      <c r="J200" s="142"/>
      <c r="L200" s="137">
        <f>L198</f>
        <v>0</v>
      </c>
      <c r="M200" s="141"/>
      <c r="N200" s="3"/>
      <c r="O200" s="138">
        <f>O198</f>
        <v>-16881259</v>
      </c>
      <c r="P200" s="142"/>
      <c r="Q200" s="61"/>
      <c r="R200" s="137">
        <f>R198</f>
        <v>0</v>
      </c>
      <c r="S200" s="142"/>
      <c r="T200" s="61"/>
      <c r="U200" s="143">
        <f>U195+U128</f>
        <v>0</v>
      </c>
      <c r="V200" s="144"/>
      <c r="W200" s="137" t="e">
        <f>W198</f>
        <v>#REF!</v>
      </c>
      <c r="X200" s="138"/>
      <c r="Y200" s="3"/>
    </row>
    <row r="201" spans="1:25" x14ac:dyDescent="0.35">
      <c r="B201" s="37"/>
      <c r="C201" s="37"/>
      <c r="D201" s="37"/>
      <c r="E201" s="37"/>
      <c r="F201" s="37"/>
      <c r="G201" s="37"/>
      <c r="H201" s="37"/>
      <c r="I201" s="37"/>
      <c r="J201" s="37"/>
      <c r="L201" s="88"/>
      <c r="M201" s="37"/>
      <c r="N201" s="3"/>
      <c r="O201" s="88"/>
      <c r="P201" s="37"/>
      <c r="Q201" s="37"/>
      <c r="R201" s="88"/>
      <c r="S201" s="37"/>
      <c r="T201" s="37"/>
      <c r="U201" s="89"/>
      <c r="V201" s="36"/>
      <c r="W201" s="88"/>
      <c r="X201" s="88"/>
    </row>
    <row r="202" spans="1:25" x14ac:dyDescent="0.35">
      <c r="B202" s="37"/>
      <c r="C202" s="37"/>
      <c r="D202" s="37"/>
      <c r="E202" s="37"/>
      <c r="F202" s="37"/>
      <c r="G202" s="37"/>
      <c r="H202" s="37"/>
      <c r="I202" s="37"/>
      <c r="J202" s="37"/>
      <c r="L202" s="88"/>
      <c r="M202" s="37"/>
      <c r="N202" s="3"/>
      <c r="O202" s="88"/>
      <c r="P202" s="37"/>
      <c r="Q202" s="37"/>
      <c r="R202" s="88"/>
      <c r="S202" s="37"/>
      <c r="T202" s="37"/>
      <c r="U202" s="89"/>
      <c r="V202" s="36"/>
      <c r="W202" s="88"/>
      <c r="X202" s="88"/>
    </row>
  </sheetData>
  <mergeCells count="130">
    <mergeCell ref="A124:A129"/>
    <mergeCell ref="B131:J131"/>
    <mergeCell ref="L131:M131"/>
    <mergeCell ref="O131:P131"/>
    <mergeCell ref="R131:S131"/>
    <mergeCell ref="W131:X131"/>
    <mergeCell ref="U141:V141"/>
    <mergeCell ref="W141:X141"/>
    <mergeCell ref="A134:A139"/>
    <mergeCell ref="B141:J141"/>
    <mergeCell ref="L141:M141"/>
    <mergeCell ref="O141:P141"/>
    <mergeCell ref="R141:S141"/>
    <mergeCell ref="B111:J111"/>
    <mergeCell ref="L111:M111"/>
    <mergeCell ref="O111:P111"/>
    <mergeCell ref="R111:S111"/>
    <mergeCell ref="W111:X111"/>
    <mergeCell ref="A114:A119"/>
    <mergeCell ref="B121:J121"/>
    <mergeCell ref="L121:M121"/>
    <mergeCell ref="O121:P121"/>
    <mergeCell ref="R121:S121"/>
    <mergeCell ref="W121:X121"/>
    <mergeCell ref="B1:Y1"/>
    <mergeCell ref="B2:Y2"/>
    <mergeCell ref="B3:Y3"/>
    <mergeCell ref="U35:V35"/>
    <mergeCell ref="W35:X35"/>
    <mergeCell ref="W24:X24"/>
    <mergeCell ref="U24:V24"/>
    <mergeCell ref="W13:X13"/>
    <mergeCell ref="R13:S13"/>
    <mergeCell ref="U13:V13"/>
    <mergeCell ref="B12:C12"/>
    <mergeCell ref="A14:Y14"/>
    <mergeCell ref="A6:A10"/>
    <mergeCell ref="B13:J13"/>
    <mergeCell ref="L13:M13"/>
    <mergeCell ref="O13:P13"/>
    <mergeCell ref="A28:A32"/>
    <mergeCell ref="B35:J35"/>
    <mergeCell ref="L35:M35"/>
    <mergeCell ref="O35:P35"/>
    <mergeCell ref="R35:S35"/>
    <mergeCell ref="A17:A22"/>
    <mergeCell ref="B24:J24"/>
    <mergeCell ref="L24:M24"/>
    <mergeCell ref="B101:Y101"/>
    <mergeCell ref="A104:A109"/>
    <mergeCell ref="A75:A80"/>
    <mergeCell ref="B82:J82"/>
    <mergeCell ref="L82:M82"/>
    <mergeCell ref="O82:P82"/>
    <mergeCell ref="A85:A90"/>
    <mergeCell ref="W45:X45"/>
    <mergeCell ref="L46:M46"/>
    <mergeCell ref="O46:P46"/>
    <mergeCell ref="R46:S46"/>
    <mergeCell ref="W46:X46"/>
    <mergeCell ref="B45:J45"/>
    <mergeCell ref="B46:J46"/>
    <mergeCell ref="L45:M45"/>
    <mergeCell ref="O45:P45"/>
    <mergeCell ref="W72:X72"/>
    <mergeCell ref="A65:A70"/>
    <mergeCell ref="B72:J72"/>
    <mergeCell ref="L72:M72"/>
    <mergeCell ref="B50:Y50"/>
    <mergeCell ref="B51:Y51"/>
    <mergeCell ref="B52:Y52"/>
    <mergeCell ref="R62:S62"/>
    <mergeCell ref="O24:P24"/>
    <mergeCell ref="R24:S24"/>
    <mergeCell ref="R45:S45"/>
    <mergeCell ref="A55:A60"/>
    <mergeCell ref="B62:J62"/>
    <mergeCell ref="L62:M62"/>
    <mergeCell ref="O62:P62"/>
    <mergeCell ref="B99:Y99"/>
    <mergeCell ref="B100:Y100"/>
    <mergeCell ref="A38:A42"/>
    <mergeCell ref="W62:X62"/>
    <mergeCell ref="O72:P72"/>
    <mergeCell ref="R72:S72"/>
    <mergeCell ref="W82:X82"/>
    <mergeCell ref="R82:S82"/>
    <mergeCell ref="A93:G93"/>
    <mergeCell ref="U92:V92"/>
    <mergeCell ref="W92:X92"/>
    <mergeCell ref="B92:J92"/>
    <mergeCell ref="L92:M92"/>
    <mergeCell ref="O92:P92"/>
    <mergeCell ref="R92:S92"/>
    <mergeCell ref="A173:A178"/>
    <mergeCell ref="B180:J180"/>
    <mergeCell ref="L180:M180"/>
    <mergeCell ref="O180:P180"/>
    <mergeCell ref="R180:S180"/>
    <mergeCell ref="A162:A167"/>
    <mergeCell ref="B170:J170"/>
    <mergeCell ref="L170:M170"/>
    <mergeCell ref="O170:P170"/>
    <mergeCell ref="R170:S170"/>
    <mergeCell ref="U200:V200"/>
    <mergeCell ref="W200:X200"/>
    <mergeCell ref="A193:A198"/>
    <mergeCell ref="B200:J200"/>
    <mergeCell ref="L200:M200"/>
    <mergeCell ref="O200:P200"/>
    <mergeCell ref="R200:S200"/>
    <mergeCell ref="W180:X180"/>
    <mergeCell ref="A183:A188"/>
    <mergeCell ref="B190:J190"/>
    <mergeCell ref="L190:M190"/>
    <mergeCell ref="O190:P190"/>
    <mergeCell ref="R190:S190"/>
    <mergeCell ref="W190:X190"/>
    <mergeCell ref="B157:Y157"/>
    <mergeCell ref="B158:Y158"/>
    <mergeCell ref="B159:Y159"/>
    <mergeCell ref="W170:X170"/>
    <mergeCell ref="A145:A150"/>
    <mergeCell ref="B152:J152"/>
    <mergeCell ref="L152:M152"/>
    <mergeCell ref="O152:P152"/>
    <mergeCell ref="R152:S152"/>
    <mergeCell ref="U152:V152"/>
    <mergeCell ref="W152:X152"/>
    <mergeCell ref="A153:G15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07658-3B1E-46E6-8254-34E3BF9017AA}">
  <dimension ref="A1:AA260"/>
  <sheetViews>
    <sheetView topLeftCell="N216" zoomScale="127" zoomScaleNormal="88" workbookViewId="0">
      <selection activeCell="T228" sqref="T228"/>
    </sheetView>
  </sheetViews>
  <sheetFormatPr baseColWidth="10" defaultRowHeight="14.5" x14ac:dyDescent="0.35"/>
  <cols>
    <col min="1" max="1" width="21.81640625" customWidth="1"/>
    <col min="2" max="2" width="14.26953125" customWidth="1"/>
    <col min="5" max="5" width="21.81640625" customWidth="1"/>
    <col min="6" max="6" width="11.81640625" bestFit="1" customWidth="1"/>
    <col min="9" max="9" width="21.81640625" customWidth="1"/>
    <col min="10" max="10" width="12.7265625" customWidth="1"/>
    <col min="13" max="13" width="21.81640625" customWidth="1"/>
    <col min="14" max="15" width="14.1796875" bestFit="1" customWidth="1"/>
    <col min="17" max="17" width="21.81640625" customWidth="1"/>
    <col min="18" max="19" width="14.1796875" bestFit="1" customWidth="1"/>
    <col min="20" max="20" width="11.36328125" bestFit="1" customWidth="1"/>
    <col min="21" max="21" width="17.1796875" customWidth="1"/>
    <col min="22" max="22" width="11.81640625" bestFit="1" customWidth="1"/>
    <col min="25" max="26" width="11.36328125" bestFit="1" customWidth="1"/>
  </cols>
  <sheetData>
    <row r="1" spans="1:26" x14ac:dyDescent="0.35">
      <c r="C1" s="73">
        <f>B3</f>
        <v>2570000</v>
      </c>
      <c r="G1" s="73">
        <f>F3</f>
        <v>2250000</v>
      </c>
      <c r="K1" s="73">
        <f>J3</f>
        <v>4300000</v>
      </c>
      <c r="O1" s="73">
        <f>N3</f>
        <v>2950000</v>
      </c>
      <c r="S1" s="21">
        <f>R3</f>
        <v>2550000</v>
      </c>
      <c r="W1" s="21">
        <f>V3</f>
        <v>1550000</v>
      </c>
      <c r="Z1" s="29"/>
    </row>
    <row r="2" spans="1:26" x14ac:dyDescent="0.35">
      <c r="A2" s="32">
        <v>46027</v>
      </c>
      <c r="B2" s="20"/>
      <c r="C2" s="20"/>
      <c r="E2" s="32">
        <v>46028</v>
      </c>
      <c r="F2" s="20"/>
      <c r="G2" s="20"/>
      <c r="I2" s="32">
        <v>46029</v>
      </c>
      <c r="J2" s="20"/>
      <c r="K2" s="20"/>
      <c r="M2" s="32">
        <v>46030</v>
      </c>
      <c r="N2" s="20"/>
      <c r="O2" s="20"/>
      <c r="Q2" s="32">
        <v>46031</v>
      </c>
      <c r="R2" s="20"/>
      <c r="S2" s="20"/>
      <c r="U2" s="32">
        <v>46032</v>
      </c>
      <c r="V2" s="20"/>
      <c r="W2" s="20"/>
    </row>
    <row r="3" spans="1:26" x14ac:dyDescent="0.35">
      <c r="A3" t="s">
        <v>121</v>
      </c>
      <c r="B3" s="20">
        <v>2570000</v>
      </c>
      <c r="C3" s="20"/>
      <c r="E3" t="s">
        <v>121</v>
      </c>
      <c r="F3" s="20">
        <v>2250000</v>
      </c>
      <c r="G3" s="20"/>
      <c r="H3" s="21"/>
      <c r="I3" t="s">
        <v>121</v>
      </c>
      <c r="J3" s="20">
        <v>4300000</v>
      </c>
      <c r="K3" s="20"/>
      <c r="M3" t="s">
        <v>121</v>
      </c>
      <c r="N3" s="20">
        <v>2950000</v>
      </c>
      <c r="O3" s="20"/>
      <c r="Q3" t="s">
        <v>121</v>
      </c>
      <c r="R3" s="20">
        <v>2550000</v>
      </c>
      <c r="S3" s="20"/>
      <c r="U3" t="s">
        <v>121</v>
      </c>
      <c r="V3" s="20">
        <v>1550000</v>
      </c>
      <c r="W3" s="20"/>
    </row>
    <row r="4" spans="1:26" x14ac:dyDescent="0.35">
      <c r="A4" t="s">
        <v>102</v>
      </c>
      <c r="B4" s="20">
        <v>954000</v>
      </c>
      <c r="C4" s="20"/>
      <c r="E4" t="s">
        <v>102</v>
      </c>
      <c r="F4" s="20">
        <v>845800</v>
      </c>
      <c r="G4" s="20"/>
      <c r="H4" s="21"/>
      <c r="I4" t="s">
        <v>102</v>
      </c>
      <c r="J4" s="20">
        <v>1032355</v>
      </c>
      <c r="K4" s="20"/>
      <c r="M4" t="s">
        <v>102</v>
      </c>
      <c r="N4" s="20">
        <v>1509600</v>
      </c>
      <c r="O4" s="20"/>
      <c r="Q4" t="s">
        <v>102</v>
      </c>
      <c r="R4" s="20">
        <v>864020</v>
      </c>
      <c r="S4" s="20"/>
      <c r="U4" t="s">
        <v>102</v>
      </c>
      <c r="V4" s="20">
        <v>812250</v>
      </c>
      <c r="W4" s="20"/>
    </row>
    <row r="5" spans="1:26" x14ac:dyDescent="0.35">
      <c r="A5" t="s">
        <v>103</v>
      </c>
      <c r="B5" s="20">
        <v>219800</v>
      </c>
      <c r="C5" s="20"/>
      <c r="E5" t="s">
        <v>103</v>
      </c>
      <c r="F5" s="20">
        <v>227700</v>
      </c>
      <c r="G5" s="20"/>
      <c r="I5" t="s">
        <v>103</v>
      </c>
      <c r="J5" s="20">
        <v>174200</v>
      </c>
      <c r="K5" s="20"/>
      <c r="M5" t="s">
        <v>103</v>
      </c>
      <c r="N5" s="20">
        <v>218500</v>
      </c>
      <c r="O5" s="20"/>
      <c r="Q5" t="s">
        <v>103</v>
      </c>
      <c r="R5" s="20">
        <v>509204</v>
      </c>
      <c r="S5" s="20"/>
      <c r="U5" t="s">
        <v>103</v>
      </c>
      <c r="V5" s="20">
        <v>112750</v>
      </c>
      <c r="W5" s="20"/>
    </row>
    <row r="6" spans="1:26" ht="15.5" x14ac:dyDescent="0.35">
      <c r="A6" t="s">
        <v>153</v>
      </c>
      <c r="B6" s="39">
        <v>684400</v>
      </c>
      <c r="C6" s="20"/>
      <c r="E6" t="s">
        <v>153</v>
      </c>
      <c r="F6" s="39">
        <v>806400</v>
      </c>
      <c r="G6" s="20"/>
      <c r="I6" t="s">
        <v>153</v>
      </c>
      <c r="J6" s="39">
        <v>638600</v>
      </c>
      <c r="K6" s="20"/>
      <c r="M6" t="s">
        <v>153</v>
      </c>
      <c r="N6" s="39">
        <v>831886</v>
      </c>
      <c r="O6" s="20"/>
      <c r="Q6" t="s">
        <v>153</v>
      </c>
      <c r="R6" s="39">
        <v>630051</v>
      </c>
      <c r="S6" s="20"/>
      <c r="U6" t="s">
        <v>153</v>
      </c>
      <c r="V6" s="39">
        <v>1029700</v>
      </c>
      <c r="W6" s="20"/>
    </row>
    <row r="7" spans="1:26" x14ac:dyDescent="0.35">
      <c r="A7" t="s">
        <v>138</v>
      </c>
      <c r="B7" s="20"/>
      <c r="C7" s="20"/>
      <c r="E7" t="s">
        <v>138</v>
      </c>
      <c r="F7" s="20"/>
      <c r="G7" s="20"/>
      <c r="I7" t="s">
        <v>138</v>
      </c>
      <c r="J7" s="20"/>
      <c r="K7" s="20"/>
      <c r="M7" t="s">
        <v>138</v>
      </c>
      <c r="N7" s="20"/>
      <c r="O7" s="20"/>
      <c r="Q7" t="s">
        <v>138</v>
      </c>
      <c r="R7" s="20"/>
      <c r="S7" s="20"/>
      <c r="U7" t="s">
        <v>138</v>
      </c>
      <c r="V7" s="20"/>
      <c r="W7" s="20"/>
    </row>
    <row r="8" spans="1:26" x14ac:dyDescent="0.35">
      <c r="A8" t="s">
        <v>125</v>
      </c>
      <c r="B8" s="20">
        <v>1075450</v>
      </c>
      <c r="C8" s="20"/>
      <c r="E8" t="s">
        <v>125</v>
      </c>
      <c r="F8" s="20">
        <v>585650</v>
      </c>
      <c r="G8" s="20"/>
      <c r="I8" t="s">
        <v>125</v>
      </c>
      <c r="J8" s="20">
        <v>790695</v>
      </c>
      <c r="K8" s="20"/>
      <c r="M8" t="s">
        <v>125</v>
      </c>
      <c r="N8" s="20">
        <v>805000</v>
      </c>
      <c r="O8" s="20"/>
      <c r="Q8" t="s">
        <v>125</v>
      </c>
      <c r="R8" s="20">
        <v>764500</v>
      </c>
      <c r="S8" s="20"/>
      <c r="U8" t="s">
        <v>125</v>
      </c>
      <c r="V8" s="20">
        <v>383400</v>
      </c>
      <c r="W8" s="20"/>
    </row>
    <row r="9" spans="1:26" x14ac:dyDescent="0.35">
      <c r="A9" t="s">
        <v>124</v>
      </c>
      <c r="B9" s="21"/>
      <c r="C9" s="29">
        <f>B8+B7+B6+B5+B4+B3</f>
        <v>5503650</v>
      </c>
      <c r="E9" t="s">
        <v>124</v>
      </c>
      <c r="F9" s="21">
        <f>F3+F8</f>
        <v>2835650</v>
      </c>
      <c r="G9" s="29">
        <f>F8+F7+F6+F5+F4+F3</f>
        <v>4715550</v>
      </c>
      <c r="I9" t="s">
        <v>124</v>
      </c>
      <c r="J9" s="21">
        <f>J3+J8</f>
        <v>5090695</v>
      </c>
      <c r="K9" s="29">
        <f>J8+J7+J6+J5+J4+J3</f>
        <v>6935850</v>
      </c>
      <c r="M9" t="s">
        <v>124</v>
      </c>
      <c r="N9" s="21">
        <f>N8+N3</f>
        <v>3755000</v>
      </c>
      <c r="O9" s="29">
        <f>N8+N7+N6+N5+N4+N3</f>
        <v>6314986</v>
      </c>
      <c r="Q9" t="s">
        <v>124</v>
      </c>
      <c r="R9" s="21"/>
      <c r="S9" s="29">
        <f>R8+R7+R6+R5+R4+R3</f>
        <v>5317775</v>
      </c>
      <c r="U9" t="s">
        <v>124</v>
      </c>
      <c r="V9" s="21"/>
      <c r="W9" s="29">
        <f>V8+V7+V6+V5+V4+V3</f>
        <v>3888100</v>
      </c>
    </row>
    <row r="10" spans="1:26" x14ac:dyDescent="0.35">
      <c r="B10" s="21"/>
      <c r="F10" s="21"/>
      <c r="J10" s="21"/>
      <c r="N10" s="21"/>
      <c r="R10" s="21"/>
      <c r="V10" s="21"/>
    </row>
    <row r="11" spans="1:26" x14ac:dyDescent="0.35">
      <c r="A11" s="20"/>
      <c r="B11" s="20"/>
      <c r="C11" s="20"/>
      <c r="E11" s="20"/>
      <c r="F11" s="20"/>
      <c r="G11" s="20"/>
      <c r="I11" s="20"/>
      <c r="J11" s="20"/>
      <c r="K11" s="20"/>
      <c r="M11" s="20"/>
      <c r="N11" s="20"/>
      <c r="O11" s="20"/>
      <c r="Q11" s="20"/>
      <c r="R11" s="20"/>
      <c r="S11" s="20"/>
      <c r="U11" s="20"/>
      <c r="V11" s="20"/>
      <c r="W11" s="20"/>
    </row>
    <row r="12" spans="1:26" x14ac:dyDescent="0.35">
      <c r="A12" s="31" t="s">
        <v>121</v>
      </c>
      <c r="B12" s="20"/>
      <c r="C12" s="20"/>
      <c r="E12" s="31" t="s">
        <v>121</v>
      </c>
      <c r="F12" s="20"/>
      <c r="G12" s="20"/>
      <c r="I12" s="31" t="s">
        <v>121</v>
      </c>
      <c r="J12" s="20"/>
      <c r="K12" s="20"/>
      <c r="M12" s="31" t="s">
        <v>121</v>
      </c>
      <c r="N12" s="20"/>
      <c r="O12" s="20"/>
      <c r="Q12" s="31" t="s">
        <v>121</v>
      </c>
      <c r="R12" s="20"/>
      <c r="S12" s="20"/>
      <c r="U12" s="31" t="s">
        <v>121</v>
      </c>
      <c r="V12" s="20"/>
      <c r="W12" s="20"/>
    </row>
    <row r="13" spans="1:26" x14ac:dyDescent="0.35">
      <c r="A13" s="20">
        <v>100000</v>
      </c>
      <c r="B13" s="20"/>
      <c r="C13" s="20">
        <f>A13*B13</f>
        <v>0</v>
      </c>
      <c r="E13" s="20">
        <v>100000</v>
      </c>
      <c r="F13" s="20"/>
      <c r="G13" s="20">
        <f>E13*F13</f>
        <v>0</v>
      </c>
      <c r="I13" s="20">
        <v>100000</v>
      </c>
      <c r="J13" s="20"/>
      <c r="K13" s="20">
        <f>I13*J13</f>
        <v>0</v>
      </c>
      <c r="M13" s="20">
        <v>100000</v>
      </c>
      <c r="N13" s="20"/>
      <c r="O13" s="20">
        <f>M13*N13</f>
        <v>0</v>
      </c>
      <c r="Q13" s="20">
        <v>100000</v>
      </c>
      <c r="R13" s="20"/>
      <c r="S13" s="20">
        <f>Q13*R13</f>
        <v>0</v>
      </c>
      <c r="U13" s="20">
        <v>100000</v>
      </c>
      <c r="V13" s="20"/>
      <c r="W13" s="20">
        <f>U13*V13</f>
        <v>0</v>
      </c>
    </row>
    <row r="14" spans="1:26" x14ac:dyDescent="0.35">
      <c r="A14" s="20">
        <v>50000</v>
      </c>
      <c r="B14" s="20"/>
      <c r="C14" s="20">
        <f t="shared" ref="C14:C18" si="0">A14*B14</f>
        <v>0</v>
      </c>
      <c r="E14" s="20">
        <v>50000</v>
      </c>
      <c r="F14" s="20"/>
      <c r="G14" s="20">
        <f t="shared" ref="G14:G18" si="1">E14*F14</f>
        <v>0</v>
      </c>
      <c r="I14" s="20">
        <v>50000</v>
      </c>
      <c r="J14" s="20"/>
      <c r="K14" s="20">
        <f t="shared" ref="K14:K18" si="2">I14*J14</f>
        <v>0</v>
      </c>
      <c r="M14" s="20">
        <v>50000</v>
      </c>
      <c r="N14" s="20"/>
      <c r="O14" s="20">
        <f t="shared" ref="O14:O18" si="3">M14*N14</f>
        <v>0</v>
      </c>
      <c r="Q14" s="20">
        <v>50000</v>
      </c>
      <c r="R14" s="20"/>
      <c r="S14" s="20">
        <f t="shared" ref="S14:S18" si="4">Q14*R14</f>
        <v>0</v>
      </c>
      <c r="U14" s="20">
        <v>50000</v>
      </c>
      <c r="V14" s="20"/>
      <c r="W14" s="20">
        <f t="shared" ref="W14:W18" si="5">U14*V14</f>
        <v>0</v>
      </c>
    </row>
    <row r="15" spans="1:26" x14ac:dyDescent="0.35">
      <c r="A15" s="20">
        <v>20000</v>
      </c>
      <c r="B15" s="20"/>
      <c r="C15" s="20">
        <f t="shared" si="0"/>
        <v>0</v>
      </c>
      <c r="E15" s="20">
        <v>20000</v>
      </c>
      <c r="F15" s="20"/>
      <c r="G15" s="20">
        <f t="shared" si="1"/>
        <v>0</v>
      </c>
      <c r="I15" s="20">
        <v>20000</v>
      </c>
      <c r="J15" s="20"/>
      <c r="K15" s="20">
        <f t="shared" si="2"/>
        <v>0</v>
      </c>
      <c r="M15" s="20">
        <v>20000</v>
      </c>
      <c r="N15" s="20"/>
      <c r="O15" s="20">
        <f t="shared" si="3"/>
        <v>0</v>
      </c>
      <c r="Q15" s="20">
        <v>20000</v>
      </c>
      <c r="R15" s="20"/>
      <c r="S15" s="20">
        <f t="shared" si="4"/>
        <v>0</v>
      </c>
      <c r="U15" s="20">
        <v>20000</v>
      </c>
      <c r="V15" s="20"/>
      <c r="W15" s="20">
        <f t="shared" si="5"/>
        <v>0</v>
      </c>
    </row>
    <row r="16" spans="1:26" x14ac:dyDescent="0.35">
      <c r="A16" s="20">
        <v>10000</v>
      </c>
      <c r="B16" s="20"/>
      <c r="C16" s="20">
        <f t="shared" si="0"/>
        <v>0</v>
      </c>
      <c r="E16" s="20">
        <v>10000</v>
      </c>
      <c r="F16" s="20"/>
      <c r="G16" s="20">
        <f t="shared" si="1"/>
        <v>0</v>
      </c>
      <c r="I16" s="20">
        <v>10000</v>
      </c>
      <c r="J16" s="20"/>
      <c r="K16" s="20">
        <f t="shared" si="2"/>
        <v>0</v>
      </c>
      <c r="M16" s="20">
        <v>10000</v>
      </c>
      <c r="N16" s="20"/>
      <c r="O16" s="20">
        <f t="shared" si="3"/>
        <v>0</v>
      </c>
      <c r="Q16" s="20">
        <v>10000</v>
      </c>
      <c r="R16" s="20"/>
      <c r="S16" s="20">
        <f t="shared" si="4"/>
        <v>0</v>
      </c>
      <c r="U16" s="20">
        <v>10000</v>
      </c>
      <c r="V16" s="20"/>
      <c r="W16" s="20">
        <f t="shared" si="5"/>
        <v>0</v>
      </c>
    </row>
    <row r="17" spans="1:23" x14ac:dyDescent="0.35">
      <c r="A17" s="20">
        <v>5000</v>
      </c>
      <c r="B17" s="20"/>
      <c r="C17" s="20">
        <f t="shared" si="0"/>
        <v>0</v>
      </c>
      <c r="E17" s="20">
        <v>5000</v>
      </c>
      <c r="F17" s="20"/>
      <c r="G17" s="20">
        <f t="shared" si="1"/>
        <v>0</v>
      </c>
      <c r="I17" s="20">
        <v>5000</v>
      </c>
      <c r="J17" s="20"/>
      <c r="K17" s="20">
        <f t="shared" si="2"/>
        <v>0</v>
      </c>
      <c r="M17" s="20">
        <v>5000</v>
      </c>
      <c r="N17" s="20"/>
      <c r="O17" s="20">
        <f t="shared" si="3"/>
        <v>0</v>
      </c>
      <c r="Q17" s="20">
        <v>5000</v>
      </c>
      <c r="R17" s="20"/>
      <c r="S17" s="20">
        <f t="shared" si="4"/>
        <v>0</v>
      </c>
      <c r="U17" s="20">
        <v>5000</v>
      </c>
      <c r="V17" s="20"/>
      <c r="W17" s="20">
        <f t="shared" si="5"/>
        <v>0</v>
      </c>
    </row>
    <row r="18" spans="1:23" x14ac:dyDescent="0.35">
      <c r="A18" s="20">
        <v>2000</v>
      </c>
      <c r="B18" s="20"/>
      <c r="C18" s="20">
        <f t="shared" si="0"/>
        <v>0</v>
      </c>
      <c r="E18" s="20">
        <v>2000</v>
      </c>
      <c r="F18" s="20"/>
      <c r="G18" s="20">
        <f t="shared" si="1"/>
        <v>0</v>
      </c>
      <c r="I18" s="20">
        <v>2000</v>
      </c>
      <c r="J18" s="20"/>
      <c r="K18" s="20">
        <f t="shared" si="2"/>
        <v>0</v>
      </c>
      <c r="M18" s="20">
        <v>2000</v>
      </c>
      <c r="N18" s="20"/>
      <c r="O18" s="20">
        <f t="shared" si="3"/>
        <v>0</v>
      </c>
      <c r="Q18" s="20">
        <v>2000</v>
      </c>
      <c r="R18" s="20"/>
      <c r="S18" s="20">
        <f t="shared" si="4"/>
        <v>0</v>
      </c>
      <c r="U18" s="20">
        <v>2000</v>
      </c>
      <c r="V18" s="20"/>
      <c r="W18" s="20">
        <f t="shared" si="5"/>
        <v>0</v>
      </c>
    </row>
    <row r="19" spans="1:23" x14ac:dyDescent="0.35">
      <c r="A19" s="28"/>
      <c r="B19" s="28"/>
      <c r="C19" s="30">
        <f>SUM(C13:C18)</f>
        <v>0</v>
      </c>
      <c r="E19" s="28"/>
      <c r="F19" s="28"/>
      <c r="G19" s="30">
        <f>SUM(G13:G18)</f>
        <v>0</v>
      </c>
      <c r="I19" s="28"/>
      <c r="J19" s="28"/>
      <c r="K19" s="30">
        <f>SUM(K13:K18)</f>
        <v>0</v>
      </c>
      <c r="M19" s="28"/>
      <c r="N19" s="28"/>
      <c r="O19" s="30">
        <f>SUM(O13:O18)</f>
        <v>0</v>
      </c>
      <c r="Q19" s="28"/>
      <c r="R19" s="28"/>
      <c r="S19" s="30">
        <f>SUM(S13:S18)</f>
        <v>0</v>
      </c>
      <c r="U19" s="28"/>
      <c r="V19" s="28"/>
      <c r="W19" s="30">
        <f>SUM(W13:W18)</f>
        <v>0</v>
      </c>
    </row>
    <row r="20" spans="1:23" x14ac:dyDescent="0.35">
      <c r="G20" s="21"/>
    </row>
    <row r="22" spans="1:23" x14ac:dyDescent="0.35">
      <c r="C22" s="21">
        <f>B24</f>
        <v>3200000</v>
      </c>
      <c r="G22" s="21">
        <f>F24</f>
        <v>3250000</v>
      </c>
      <c r="K22" s="21">
        <f>J24</f>
        <v>3050000</v>
      </c>
      <c r="O22" s="21">
        <f>N24</f>
        <v>3153000</v>
      </c>
      <c r="S22" s="21">
        <f>R24</f>
        <v>1870000</v>
      </c>
      <c r="W22" s="21"/>
    </row>
    <row r="23" spans="1:23" x14ac:dyDescent="0.35">
      <c r="A23" s="32">
        <v>46035</v>
      </c>
      <c r="B23" s="20"/>
      <c r="C23" s="20"/>
      <c r="E23" s="32">
        <v>46036</v>
      </c>
      <c r="F23" s="20"/>
      <c r="G23" s="20"/>
      <c r="I23" s="32">
        <v>46037</v>
      </c>
      <c r="J23" s="20"/>
      <c r="K23" s="20"/>
      <c r="M23" s="32">
        <v>46038</v>
      </c>
      <c r="N23" s="20"/>
      <c r="O23" s="20"/>
      <c r="Q23" s="32">
        <v>46039</v>
      </c>
      <c r="R23" s="20"/>
      <c r="S23" s="20"/>
      <c r="U23" s="32"/>
      <c r="V23" s="20"/>
      <c r="W23" s="20"/>
    </row>
    <row r="24" spans="1:23" x14ac:dyDescent="0.35">
      <c r="A24" t="s">
        <v>121</v>
      </c>
      <c r="B24" s="20">
        <v>3200000</v>
      </c>
      <c r="C24" s="20"/>
      <c r="E24" t="s">
        <v>121</v>
      </c>
      <c r="F24" s="20">
        <v>3250000</v>
      </c>
      <c r="G24" s="20"/>
      <c r="H24" s="21"/>
      <c r="I24" t="s">
        <v>121</v>
      </c>
      <c r="J24" s="20">
        <v>3050000</v>
      </c>
      <c r="K24" s="20"/>
      <c r="M24" t="s">
        <v>121</v>
      </c>
      <c r="N24" s="20">
        <v>3153000</v>
      </c>
      <c r="O24" s="20"/>
      <c r="Q24" t="s">
        <v>121</v>
      </c>
      <c r="R24" s="20">
        <v>1870000</v>
      </c>
      <c r="S24" s="20"/>
      <c r="V24" s="23"/>
      <c r="W24" s="20"/>
    </row>
    <row r="25" spans="1:23" x14ac:dyDescent="0.35">
      <c r="A25" t="s">
        <v>102</v>
      </c>
      <c r="B25" s="20">
        <v>1215700</v>
      </c>
      <c r="C25" s="20"/>
      <c r="E25" t="s">
        <v>102</v>
      </c>
      <c r="F25" s="20">
        <v>1399000</v>
      </c>
      <c r="G25" s="20"/>
      <c r="H25" s="21"/>
      <c r="I25" t="s">
        <v>102</v>
      </c>
      <c r="J25" s="20">
        <v>1170308</v>
      </c>
      <c r="K25" s="20"/>
      <c r="M25" t="s">
        <v>102</v>
      </c>
      <c r="N25" s="20">
        <v>1374900</v>
      </c>
      <c r="O25" s="20"/>
      <c r="Q25" t="s">
        <v>102</v>
      </c>
      <c r="R25" s="20">
        <v>865500</v>
      </c>
      <c r="S25" s="20"/>
      <c r="V25" s="20"/>
      <c r="W25" s="20"/>
    </row>
    <row r="26" spans="1:23" x14ac:dyDescent="0.35">
      <c r="A26" t="s">
        <v>103</v>
      </c>
      <c r="B26" s="20">
        <v>499500</v>
      </c>
      <c r="C26" s="20"/>
      <c r="E26" t="s">
        <v>103</v>
      </c>
      <c r="F26" s="20">
        <v>258000</v>
      </c>
      <c r="G26" s="20"/>
      <c r="I26" t="s">
        <v>103</v>
      </c>
      <c r="J26" s="20">
        <v>474000</v>
      </c>
      <c r="K26" s="20"/>
      <c r="M26" t="s">
        <v>103</v>
      </c>
      <c r="N26" s="20">
        <v>325500</v>
      </c>
      <c r="O26" s="20"/>
      <c r="Q26" t="s">
        <v>103</v>
      </c>
      <c r="R26" s="20">
        <v>185000</v>
      </c>
      <c r="S26" s="20"/>
      <c r="V26" s="20"/>
      <c r="W26" s="20"/>
    </row>
    <row r="27" spans="1:23" ht="15.5" x14ac:dyDescent="0.35">
      <c r="A27" t="s">
        <v>153</v>
      </c>
      <c r="B27" s="39">
        <v>1372400</v>
      </c>
      <c r="C27" s="20"/>
      <c r="E27" t="s">
        <v>153</v>
      </c>
      <c r="F27" s="39">
        <v>921000</v>
      </c>
      <c r="G27" s="20"/>
      <c r="I27" t="s">
        <v>153</v>
      </c>
      <c r="J27" s="39">
        <v>623000</v>
      </c>
      <c r="K27" s="20"/>
      <c r="M27" t="s">
        <v>153</v>
      </c>
      <c r="N27" s="39">
        <v>1211004</v>
      </c>
      <c r="O27" s="20"/>
      <c r="Q27" t="s">
        <v>153</v>
      </c>
      <c r="R27" s="39">
        <v>518000</v>
      </c>
      <c r="S27" s="20"/>
      <c r="V27" s="39"/>
      <c r="W27" s="20"/>
    </row>
    <row r="28" spans="1:23" x14ac:dyDescent="0.35">
      <c r="A28" t="s">
        <v>138</v>
      </c>
      <c r="B28" s="20"/>
      <c r="C28" s="20"/>
      <c r="E28" t="s">
        <v>138</v>
      </c>
      <c r="F28" s="20"/>
      <c r="G28" s="20"/>
      <c r="I28" t="s">
        <v>138</v>
      </c>
      <c r="J28" s="20"/>
      <c r="K28" s="20"/>
      <c r="M28" t="s">
        <v>138</v>
      </c>
      <c r="N28" s="20"/>
      <c r="O28" s="20"/>
      <c r="Q28" t="s">
        <v>138</v>
      </c>
      <c r="R28" s="20"/>
      <c r="S28" s="20"/>
      <c r="V28" s="20"/>
      <c r="W28" s="20"/>
    </row>
    <row r="29" spans="1:23" x14ac:dyDescent="0.35">
      <c r="A29" t="s">
        <v>125</v>
      </c>
      <c r="B29" s="20">
        <v>705000</v>
      </c>
      <c r="C29" s="20"/>
      <c r="E29" t="s">
        <v>125</v>
      </c>
      <c r="F29" s="20">
        <v>665400</v>
      </c>
      <c r="G29" s="20"/>
      <c r="I29" t="s">
        <v>125</v>
      </c>
      <c r="J29" s="20">
        <v>896800</v>
      </c>
      <c r="K29" s="20"/>
      <c r="M29" t="s">
        <v>125</v>
      </c>
      <c r="N29" s="20">
        <v>700000</v>
      </c>
      <c r="O29" s="20"/>
      <c r="Q29" t="s">
        <v>125</v>
      </c>
      <c r="R29" s="20">
        <v>531400</v>
      </c>
      <c r="S29" s="20"/>
      <c r="V29" s="20"/>
      <c r="W29" s="20"/>
    </row>
    <row r="30" spans="1:23" x14ac:dyDescent="0.35">
      <c r="A30" t="s">
        <v>124</v>
      </c>
      <c r="B30" s="21"/>
      <c r="C30" s="29">
        <f>B29+B28+B27+B26+B25+B24</f>
        <v>6992600</v>
      </c>
      <c r="E30" t="s">
        <v>124</v>
      </c>
      <c r="F30" s="21"/>
      <c r="G30" s="29">
        <f>F29+F28+F27+F26+F25+F24</f>
        <v>6493400</v>
      </c>
      <c r="I30" t="s">
        <v>124</v>
      </c>
      <c r="J30" s="21"/>
      <c r="K30" s="29">
        <f>J29+J28+J27+J26+J25+J24</f>
        <v>6214108</v>
      </c>
      <c r="M30" t="s">
        <v>124</v>
      </c>
      <c r="N30" s="21"/>
      <c r="O30" s="29">
        <f>N29+N28+N27+N26+N25+N24</f>
        <v>6764404</v>
      </c>
      <c r="Q30" t="s">
        <v>124</v>
      </c>
      <c r="R30" s="21"/>
      <c r="S30" s="29">
        <f>R29+R28+R27+R26+R25+R24</f>
        <v>3969900</v>
      </c>
      <c r="V30" s="21"/>
      <c r="W30" s="29"/>
    </row>
    <row r="31" spans="1:23" x14ac:dyDescent="0.35">
      <c r="B31" s="21"/>
      <c r="F31" s="21"/>
      <c r="J31" s="21"/>
      <c r="N31" s="21"/>
      <c r="R31" s="21"/>
      <c r="V31" s="21"/>
    </row>
    <row r="32" spans="1:23" x14ac:dyDescent="0.35">
      <c r="A32" s="20"/>
      <c r="B32" s="20"/>
      <c r="C32" s="20"/>
      <c r="E32" s="20"/>
      <c r="F32" s="20"/>
      <c r="G32" s="20"/>
      <c r="I32" s="20"/>
      <c r="J32" s="20"/>
      <c r="K32" s="20"/>
      <c r="M32" s="20"/>
      <c r="N32" s="20"/>
      <c r="O32" s="20"/>
      <c r="Q32" s="20"/>
      <c r="R32" s="20"/>
      <c r="S32" s="20"/>
      <c r="U32" s="20"/>
      <c r="V32" s="20"/>
      <c r="W32" s="20"/>
    </row>
    <row r="33" spans="1:23" x14ac:dyDescent="0.35">
      <c r="A33" s="31" t="s">
        <v>121</v>
      </c>
      <c r="B33" s="20"/>
      <c r="C33" s="20"/>
      <c r="E33" s="31" t="s">
        <v>121</v>
      </c>
      <c r="F33" s="20"/>
      <c r="G33" s="20"/>
      <c r="I33" s="31" t="s">
        <v>121</v>
      </c>
      <c r="J33" s="20"/>
      <c r="K33" s="20"/>
      <c r="M33" s="31" t="s">
        <v>121</v>
      </c>
      <c r="N33" s="20"/>
      <c r="O33" s="20"/>
      <c r="Q33" s="31" t="s">
        <v>121</v>
      </c>
      <c r="R33" s="20"/>
      <c r="S33" s="20"/>
      <c r="U33" s="31"/>
      <c r="V33" s="20"/>
      <c r="W33" s="20"/>
    </row>
    <row r="34" spans="1:23" x14ac:dyDescent="0.35">
      <c r="A34" s="20">
        <v>100000</v>
      </c>
      <c r="B34" s="20"/>
      <c r="C34" s="20">
        <f>A34*B34</f>
        <v>0</v>
      </c>
      <c r="E34" s="20">
        <v>100000</v>
      </c>
      <c r="F34" s="20"/>
      <c r="G34" s="20">
        <f>E34*F34</f>
        <v>0</v>
      </c>
      <c r="I34" s="20">
        <v>100000</v>
      </c>
      <c r="J34" s="20"/>
      <c r="K34" s="20">
        <f>I34*J34</f>
        <v>0</v>
      </c>
      <c r="M34" s="20">
        <v>100000</v>
      </c>
      <c r="N34" s="20"/>
      <c r="O34" s="20">
        <f>M34*N34</f>
        <v>0</v>
      </c>
      <c r="Q34" s="20">
        <v>100000</v>
      </c>
      <c r="R34" s="20"/>
      <c r="S34" s="20">
        <f>Q34*R34</f>
        <v>0</v>
      </c>
      <c r="U34" s="20"/>
      <c r="V34" s="20"/>
      <c r="W34" s="20"/>
    </row>
    <row r="35" spans="1:23" x14ac:dyDescent="0.35">
      <c r="A35" s="20">
        <v>50000</v>
      </c>
      <c r="B35" s="20"/>
      <c r="C35" s="20">
        <f t="shared" ref="C35:C39" si="6">A35*B35</f>
        <v>0</v>
      </c>
      <c r="E35" s="20">
        <v>50000</v>
      </c>
      <c r="F35" s="20"/>
      <c r="G35" s="20">
        <f t="shared" ref="G35:G39" si="7">E35*F35</f>
        <v>0</v>
      </c>
      <c r="I35" s="20">
        <v>50000</v>
      </c>
      <c r="J35" s="20"/>
      <c r="K35" s="20">
        <f t="shared" ref="K35:K39" si="8">I35*J35</f>
        <v>0</v>
      </c>
      <c r="M35" s="20">
        <v>50000</v>
      </c>
      <c r="N35" s="20"/>
      <c r="O35" s="20">
        <f t="shared" ref="O35:O39" si="9">M35*N35</f>
        <v>0</v>
      </c>
      <c r="Q35" s="20">
        <v>50000</v>
      </c>
      <c r="R35" s="20"/>
      <c r="S35" s="20">
        <f t="shared" ref="S35:S39" si="10">Q35*R35</f>
        <v>0</v>
      </c>
      <c r="U35" s="20"/>
      <c r="V35" s="20"/>
      <c r="W35" s="20"/>
    </row>
    <row r="36" spans="1:23" x14ac:dyDescent="0.35">
      <c r="A36" s="20">
        <v>20000</v>
      </c>
      <c r="B36" s="20"/>
      <c r="C36" s="20">
        <f t="shared" si="6"/>
        <v>0</v>
      </c>
      <c r="E36" s="20">
        <v>20000</v>
      </c>
      <c r="F36" s="20"/>
      <c r="G36" s="20">
        <f t="shared" si="7"/>
        <v>0</v>
      </c>
      <c r="I36" s="20">
        <v>20000</v>
      </c>
      <c r="J36" s="20"/>
      <c r="K36" s="20">
        <f t="shared" si="8"/>
        <v>0</v>
      </c>
      <c r="M36" s="20">
        <v>20000</v>
      </c>
      <c r="N36" s="20"/>
      <c r="O36" s="20">
        <f t="shared" si="9"/>
        <v>0</v>
      </c>
      <c r="Q36" s="20">
        <v>20000</v>
      </c>
      <c r="R36" s="20"/>
      <c r="S36" s="20">
        <f t="shared" si="10"/>
        <v>0</v>
      </c>
      <c r="U36" s="20"/>
      <c r="V36" s="20"/>
      <c r="W36" s="20"/>
    </row>
    <row r="37" spans="1:23" x14ac:dyDescent="0.35">
      <c r="A37" s="20">
        <v>10000</v>
      </c>
      <c r="B37" s="20"/>
      <c r="C37" s="20">
        <f t="shared" si="6"/>
        <v>0</v>
      </c>
      <c r="E37" s="20">
        <v>10000</v>
      </c>
      <c r="F37" s="20"/>
      <c r="G37" s="20">
        <f t="shared" si="7"/>
        <v>0</v>
      </c>
      <c r="I37" s="20">
        <v>10000</v>
      </c>
      <c r="J37" s="20"/>
      <c r="K37" s="20">
        <f t="shared" si="8"/>
        <v>0</v>
      </c>
      <c r="M37" s="20">
        <v>10000</v>
      </c>
      <c r="N37" s="20"/>
      <c r="O37" s="20">
        <f t="shared" si="9"/>
        <v>0</v>
      </c>
      <c r="Q37" s="20">
        <v>10000</v>
      </c>
      <c r="R37" s="20"/>
      <c r="S37" s="20">
        <f t="shared" si="10"/>
        <v>0</v>
      </c>
      <c r="U37" s="20"/>
      <c r="V37" s="20"/>
      <c r="W37" s="20"/>
    </row>
    <row r="38" spans="1:23" x14ac:dyDescent="0.35">
      <c r="A38" s="20">
        <v>5000</v>
      </c>
      <c r="B38" s="20"/>
      <c r="C38" s="20">
        <f t="shared" si="6"/>
        <v>0</v>
      </c>
      <c r="E38" s="20">
        <v>5000</v>
      </c>
      <c r="F38" s="20"/>
      <c r="G38" s="20">
        <f t="shared" si="7"/>
        <v>0</v>
      </c>
      <c r="I38" s="20">
        <v>5000</v>
      </c>
      <c r="J38" s="20"/>
      <c r="K38" s="20">
        <f t="shared" si="8"/>
        <v>0</v>
      </c>
      <c r="M38" s="20">
        <v>5000</v>
      </c>
      <c r="N38" s="20"/>
      <c r="O38" s="20">
        <f t="shared" si="9"/>
        <v>0</v>
      </c>
      <c r="Q38" s="20">
        <v>5000</v>
      </c>
      <c r="R38" s="20"/>
      <c r="S38" s="20">
        <f t="shared" si="10"/>
        <v>0</v>
      </c>
      <c r="U38" s="20"/>
      <c r="V38" s="20"/>
      <c r="W38" s="20"/>
    </row>
    <row r="39" spans="1:23" x14ac:dyDescent="0.35">
      <c r="A39" s="20">
        <v>2000</v>
      </c>
      <c r="B39" s="20"/>
      <c r="C39" s="20">
        <f t="shared" si="6"/>
        <v>0</v>
      </c>
      <c r="E39" s="20">
        <v>2000</v>
      </c>
      <c r="F39" s="20"/>
      <c r="G39" s="20">
        <f t="shared" si="7"/>
        <v>0</v>
      </c>
      <c r="I39" s="20">
        <v>2000</v>
      </c>
      <c r="J39" s="20"/>
      <c r="K39" s="20">
        <f t="shared" si="8"/>
        <v>0</v>
      </c>
      <c r="M39" s="20">
        <v>2000</v>
      </c>
      <c r="N39" s="20"/>
      <c r="O39" s="20">
        <f t="shared" si="9"/>
        <v>0</v>
      </c>
      <c r="Q39" s="20">
        <v>2000</v>
      </c>
      <c r="R39" s="20"/>
      <c r="S39" s="20">
        <f t="shared" si="10"/>
        <v>0</v>
      </c>
      <c r="U39" s="20"/>
      <c r="V39" s="20"/>
      <c r="W39" s="20"/>
    </row>
    <row r="40" spans="1:23" x14ac:dyDescent="0.35">
      <c r="A40" s="28"/>
      <c r="B40" s="28"/>
      <c r="C40" s="30">
        <f>SUM(C34:C39)</f>
        <v>0</v>
      </c>
      <c r="E40" s="28"/>
      <c r="F40" s="28"/>
      <c r="G40" s="30">
        <f>SUM(G34:G39)</f>
        <v>0</v>
      </c>
      <c r="I40" s="28"/>
      <c r="J40" s="28"/>
      <c r="K40" s="30">
        <f>SUM(K34:K39)</f>
        <v>0</v>
      </c>
      <c r="M40" s="28"/>
      <c r="N40" s="28"/>
      <c r="O40" s="30">
        <f>SUM(O34:O39)</f>
        <v>0</v>
      </c>
      <c r="Q40" s="28"/>
      <c r="R40" s="28"/>
      <c r="S40" s="30">
        <f>SUM(S34:S39)</f>
        <v>0</v>
      </c>
      <c r="U40" s="28"/>
      <c r="V40" s="28"/>
      <c r="W40" s="30"/>
    </row>
    <row r="42" spans="1:23" x14ac:dyDescent="0.35">
      <c r="C42" s="21">
        <f>B44</f>
        <v>3000000</v>
      </c>
      <c r="G42" s="21">
        <f>F44</f>
        <v>3210000</v>
      </c>
      <c r="K42" s="21">
        <f>J44</f>
        <v>3000000</v>
      </c>
      <c r="O42" s="21">
        <f>N44</f>
        <v>2300000</v>
      </c>
      <c r="S42" s="21">
        <f>R44</f>
        <v>2250000</v>
      </c>
      <c r="W42" s="21">
        <f>V44</f>
        <v>1900000</v>
      </c>
    </row>
    <row r="43" spans="1:23" x14ac:dyDescent="0.35">
      <c r="A43" s="32">
        <v>46041</v>
      </c>
      <c r="B43" s="20"/>
      <c r="C43" s="20" t="s">
        <v>242</v>
      </c>
      <c r="E43" s="32">
        <v>46042</v>
      </c>
      <c r="F43" s="20"/>
      <c r="G43" s="20"/>
      <c r="I43" s="32">
        <v>46043</v>
      </c>
      <c r="J43" s="20"/>
      <c r="K43" s="20"/>
      <c r="M43" s="32">
        <v>46044</v>
      </c>
      <c r="N43" s="20"/>
      <c r="O43" s="20"/>
      <c r="Q43" s="32">
        <v>46045</v>
      </c>
      <c r="R43" s="20"/>
      <c r="S43" s="20"/>
      <c r="U43" s="32">
        <v>46046</v>
      </c>
      <c r="V43" s="20"/>
      <c r="W43" s="20"/>
    </row>
    <row r="44" spans="1:23" x14ac:dyDescent="0.35">
      <c r="A44" t="s">
        <v>121</v>
      </c>
      <c r="B44" s="20">
        <v>3000000</v>
      </c>
      <c r="C44" s="20"/>
      <c r="E44" t="s">
        <v>121</v>
      </c>
      <c r="F44" s="20">
        <v>3210000</v>
      </c>
      <c r="G44" s="20"/>
      <c r="H44" s="21"/>
      <c r="I44" t="s">
        <v>121</v>
      </c>
      <c r="J44" s="20">
        <v>3000000</v>
      </c>
      <c r="K44" s="20"/>
      <c r="M44" t="s">
        <v>121</v>
      </c>
      <c r="N44" s="20">
        <v>2300000</v>
      </c>
      <c r="O44" s="20"/>
      <c r="Q44" t="s">
        <v>121</v>
      </c>
      <c r="R44" s="20">
        <v>2250000</v>
      </c>
      <c r="S44" s="20"/>
      <c r="U44" t="s">
        <v>121</v>
      </c>
      <c r="V44" s="20">
        <v>1900000</v>
      </c>
      <c r="W44" s="20"/>
    </row>
    <row r="45" spans="1:23" x14ac:dyDescent="0.35">
      <c r="A45" t="s">
        <v>102</v>
      </c>
      <c r="B45" s="20">
        <v>1078750</v>
      </c>
      <c r="C45" s="20"/>
      <c r="E45" t="s">
        <v>102</v>
      </c>
      <c r="F45" s="20">
        <v>1417900</v>
      </c>
      <c r="G45" s="20"/>
      <c r="H45" s="21"/>
      <c r="I45" t="s">
        <v>102</v>
      </c>
      <c r="J45" s="20">
        <v>1375675</v>
      </c>
      <c r="K45" s="20"/>
      <c r="M45" t="s">
        <v>102</v>
      </c>
      <c r="N45" s="20">
        <v>1183000</v>
      </c>
      <c r="O45" s="20"/>
      <c r="Q45" t="s">
        <v>102</v>
      </c>
      <c r="R45" s="20">
        <v>920000</v>
      </c>
      <c r="S45" s="20"/>
      <c r="U45" t="s">
        <v>102</v>
      </c>
      <c r="V45" s="20">
        <v>266500</v>
      </c>
      <c r="W45" s="20"/>
    </row>
    <row r="46" spans="1:23" x14ac:dyDescent="0.35">
      <c r="A46" t="s">
        <v>103</v>
      </c>
      <c r="B46" s="20">
        <v>152000</v>
      </c>
      <c r="C46" s="20"/>
      <c r="E46" t="s">
        <v>103</v>
      </c>
      <c r="F46" s="20">
        <v>614000</v>
      </c>
      <c r="G46" s="20"/>
      <c r="I46" t="s">
        <v>103</v>
      </c>
      <c r="J46" s="20">
        <v>332000</v>
      </c>
      <c r="K46" s="20"/>
      <c r="M46" t="s">
        <v>103</v>
      </c>
      <c r="N46" s="20">
        <v>315100</v>
      </c>
      <c r="O46" s="20"/>
      <c r="Q46" t="s">
        <v>103</v>
      </c>
      <c r="R46" s="20">
        <v>290300</v>
      </c>
      <c r="S46" s="20"/>
      <c r="U46" t="s">
        <v>103</v>
      </c>
      <c r="V46" s="20">
        <v>72000</v>
      </c>
      <c r="W46" s="20"/>
    </row>
    <row r="47" spans="1:23" ht="15.5" x14ac:dyDescent="0.35">
      <c r="A47" t="s">
        <v>153</v>
      </c>
      <c r="B47" s="39">
        <v>1050500</v>
      </c>
      <c r="C47" s="20"/>
      <c r="E47" t="s">
        <v>153</v>
      </c>
      <c r="F47" s="39">
        <v>720000</v>
      </c>
      <c r="G47" s="20"/>
      <c r="I47" t="s">
        <v>153</v>
      </c>
      <c r="J47" s="39">
        <v>920000</v>
      </c>
      <c r="K47" s="20"/>
      <c r="M47" t="s">
        <v>153</v>
      </c>
      <c r="N47" s="39">
        <v>820000</v>
      </c>
      <c r="O47" s="20"/>
      <c r="Q47" t="s">
        <v>153</v>
      </c>
      <c r="R47" s="39">
        <v>790000</v>
      </c>
      <c r="S47" s="20"/>
      <c r="U47" t="s">
        <v>153</v>
      </c>
      <c r="V47" s="39">
        <v>910000</v>
      </c>
      <c r="W47" s="20"/>
    </row>
    <row r="48" spans="1:23" x14ac:dyDescent="0.35">
      <c r="A48" t="s">
        <v>138</v>
      </c>
      <c r="B48" s="20"/>
      <c r="C48" s="20"/>
      <c r="E48" t="s">
        <v>138</v>
      </c>
      <c r="F48" s="20"/>
      <c r="G48" s="20"/>
      <c r="I48" t="s">
        <v>138</v>
      </c>
      <c r="J48" s="20"/>
      <c r="K48" s="20"/>
      <c r="M48" t="s">
        <v>138</v>
      </c>
      <c r="N48" s="20"/>
      <c r="O48" s="20"/>
      <c r="Q48" t="s">
        <v>138</v>
      </c>
      <c r="R48" s="20"/>
      <c r="S48" s="20"/>
      <c r="U48" t="s">
        <v>138</v>
      </c>
      <c r="V48" s="20"/>
      <c r="W48" s="20"/>
    </row>
    <row r="49" spans="1:23" x14ac:dyDescent="0.35">
      <c r="A49" t="s">
        <v>125</v>
      </c>
      <c r="B49" s="20">
        <v>803500</v>
      </c>
      <c r="C49" s="20"/>
      <c r="E49" t="s">
        <v>125</v>
      </c>
      <c r="F49" s="20">
        <v>1005222</v>
      </c>
      <c r="G49" s="20"/>
      <c r="I49" t="s">
        <v>125</v>
      </c>
      <c r="J49" s="20">
        <v>975000</v>
      </c>
      <c r="K49" s="20"/>
      <c r="M49" t="s">
        <v>125</v>
      </c>
      <c r="N49" s="20">
        <v>752000</v>
      </c>
      <c r="O49" s="20"/>
      <c r="Q49" t="s">
        <v>125</v>
      </c>
      <c r="R49" s="20">
        <v>983200</v>
      </c>
      <c r="S49" s="20"/>
      <c r="U49" t="s">
        <v>125</v>
      </c>
      <c r="V49" s="20">
        <v>478000</v>
      </c>
      <c r="W49" s="20"/>
    </row>
    <row r="50" spans="1:23" x14ac:dyDescent="0.35">
      <c r="A50" t="s">
        <v>124</v>
      </c>
      <c r="B50" s="21"/>
      <c r="C50" s="29">
        <f>B49+B48+B47+B46+B45+B44</f>
        <v>6084750</v>
      </c>
      <c r="E50" t="s">
        <v>124</v>
      </c>
      <c r="F50" s="21"/>
      <c r="G50" s="29">
        <f>F49+F48+F47+F46+F45+F44</f>
        <v>6967122</v>
      </c>
      <c r="I50" t="s">
        <v>124</v>
      </c>
      <c r="J50" s="21"/>
      <c r="K50" s="29">
        <f>J49+J48+J47+J46+J45+J44</f>
        <v>6602675</v>
      </c>
      <c r="M50" t="s">
        <v>124</v>
      </c>
      <c r="N50" s="21"/>
      <c r="O50" s="29">
        <f>N49+N48+N47+N46+N45+N44</f>
        <v>5370100</v>
      </c>
      <c r="Q50" t="s">
        <v>124</v>
      </c>
      <c r="R50" s="21"/>
      <c r="S50" s="29">
        <f>R49+R48+R47+R46+R45+R44</f>
        <v>5233500</v>
      </c>
      <c r="U50" t="s">
        <v>124</v>
      </c>
      <c r="V50" s="21"/>
      <c r="W50" s="29">
        <f>V49+V48+V47+V46+V45+V44</f>
        <v>3626500</v>
      </c>
    </row>
    <row r="51" spans="1:23" x14ac:dyDescent="0.35">
      <c r="B51" s="21"/>
      <c r="F51" s="21"/>
      <c r="J51" s="21"/>
      <c r="N51" s="21"/>
      <c r="R51" s="21"/>
      <c r="V51" s="21"/>
    </row>
    <row r="52" spans="1:23" x14ac:dyDescent="0.35">
      <c r="A52" s="20"/>
      <c r="B52" s="20"/>
      <c r="C52" s="20"/>
      <c r="E52" s="20"/>
      <c r="F52" s="20"/>
      <c r="G52" s="20"/>
      <c r="I52" s="20"/>
      <c r="J52" s="20"/>
      <c r="K52" s="20"/>
      <c r="M52" s="20"/>
      <c r="N52" s="20"/>
      <c r="O52" s="20"/>
      <c r="Q52" s="20"/>
      <c r="R52" s="20"/>
      <c r="S52" s="20"/>
      <c r="U52" s="20"/>
      <c r="V52" s="20"/>
      <c r="W52" s="20"/>
    </row>
    <row r="53" spans="1:23" x14ac:dyDescent="0.35">
      <c r="A53" s="31" t="s">
        <v>121</v>
      </c>
      <c r="B53" s="20"/>
      <c r="C53" s="20"/>
      <c r="E53" s="31" t="s">
        <v>121</v>
      </c>
      <c r="F53" s="20"/>
      <c r="G53" s="20"/>
      <c r="I53" s="31" t="s">
        <v>121</v>
      </c>
      <c r="J53" s="20"/>
      <c r="K53" s="20"/>
      <c r="M53" s="31" t="s">
        <v>121</v>
      </c>
      <c r="N53" s="20"/>
      <c r="O53" s="20"/>
      <c r="Q53" s="31" t="s">
        <v>121</v>
      </c>
      <c r="R53" s="20"/>
      <c r="S53" s="20"/>
      <c r="U53" s="31" t="s">
        <v>121</v>
      </c>
      <c r="V53" s="20"/>
      <c r="W53" s="20"/>
    </row>
    <row r="54" spans="1:23" x14ac:dyDescent="0.35">
      <c r="A54" s="20">
        <v>100000</v>
      </c>
      <c r="B54" s="20"/>
      <c r="C54" s="20">
        <f>A54*B54</f>
        <v>0</v>
      </c>
      <c r="E54" s="20">
        <v>100000</v>
      </c>
      <c r="F54" s="20"/>
      <c r="G54" s="20">
        <f>E54*F54</f>
        <v>0</v>
      </c>
      <c r="I54" s="20">
        <v>100000</v>
      </c>
      <c r="J54" s="20"/>
      <c r="K54" s="20">
        <f>I54*J54</f>
        <v>0</v>
      </c>
      <c r="M54" s="20">
        <v>100000</v>
      </c>
      <c r="N54" s="20"/>
      <c r="O54" s="20">
        <f>M54*N54</f>
        <v>0</v>
      </c>
      <c r="Q54" s="20">
        <v>100000</v>
      </c>
      <c r="R54" s="20"/>
      <c r="S54" s="20">
        <f>Q54*R54</f>
        <v>0</v>
      </c>
      <c r="U54" s="20">
        <v>100000</v>
      </c>
      <c r="V54" s="20"/>
      <c r="W54" s="20">
        <f>U54*V54</f>
        <v>0</v>
      </c>
    </row>
    <row r="55" spans="1:23" x14ac:dyDescent="0.35">
      <c r="A55" s="20">
        <v>50000</v>
      </c>
      <c r="B55" s="20"/>
      <c r="C55" s="20">
        <f t="shared" ref="C55:C59" si="11">A55*B55</f>
        <v>0</v>
      </c>
      <c r="E55" s="20">
        <v>50000</v>
      </c>
      <c r="F55" s="20"/>
      <c r="G55" s="20">
        <f t="shared" ref="G55:G59" si="12">E55*F55</f>
        <v>0</v>
      </c>
      <c r="I55" s="20">
        <v>50000</v>
      </c>
      <c r="J55" s="20"/>
      <c r="K55" s="20">
        <f t="shared" ref="K55:K59" si="13">I55*J55</f>
        <v>0</v>
      </c>
      <c r="M55" s="20">
        <v>50000</v>
      </c>
      <c r="N55" s="20"/>
      <c r="O55" s="20">
        <f t="shared" ref="O55:O59" si="14">M55*N55</f>
        <v>0</v>
      </c>
      <c r="Q55" s="20">
        <v>50000</v>
      </c>
      <c r="R55" s="20"/>
      <c r="S55" s="20">
        <f t="shared" ref="S55:S59" si="15">Q55*R55</f>
        <v>0</v>
      </c>
      <c r="U55" s="20">
        <v>50000</v>
      </c>
      <c r="V55" s="20"/>
      <c r="W55" s="20">
        <f t="shared" ref="W55:W59" si="16">U55*V55</f>
        <v>0</v>
      </c>
    </row>
    <row r="56" spans="1:23" x14ac:dyDescent="0.35">
      <c r="A56" s="20">
        <v>20000</v>
      </c>
      <c r="B56" s="20"/>
      <c r="C56" s="20">
        <f t="shared" si="11"/>
        <v>0</v>
      </c>
      <c r="E56" s="20">
        <v>20000</v>
      </c>
      <c r="F56" s="20"/>
      <c r="G56" s="20">
        <f t="shared" si="12"/>
        <v>0</v>
      </c>
      <c r="I56" s="20">
        <v>20000</v>
      </c>
      <c r="J56" s="20"/>
      <c r="K56" s="20">
        <f t="shared" si="13"/>
        <v>0</v>
      </c>
      <c r="M56" s="20">
        <v>20000</v>
      </c>
      <c r="N56" s="20"/>
      <c r="O56" s="20">
        <f t="shared" si="14"/>
        <v>0</v>
      </c>
      <c r="Q56" s="20">
        <v>20000</v>
      </c>
      <c r="R56" s="20"/>
      <c r="S56" s="20">
        <f t="shared" si="15"/>
        <v>0</v>
      </c>
      <c r="U56" s="20">
        <v>20000</v>
      </c>
      <c r="V56" s="20"/>
      <c r="W56" s="20">
        <f t="shared" si="16"/>
        <v>0</v>
      </c>
    </row>
    <row r="57" spans="1:23" x14ac:dyDescent="0.35">
      <c r="A57" s="20">
        <v>10000</v>
      </c>
      <c r="B57" s="20"/>
      <c r="C57" s="20">
        <f t="shared" si="11"/>
        <v>0</v>
      </c>
      <c r="E57" s="20">
        <v>10000</v>
      </c>
      <c r="F57" s="20"/>
      <c r="G57" s="20">
        <f t="shared" si="12"/>
        <v>0</v>
      </c>
      <c r="I57" s="20">
        <v>10000</v>
      </c>
      <c r="J57" s="20"/>
      <c r="K57" s="20">
        <f t="shared" si="13"/>
        <v>0</v>
      </c>
      <c r="M57" s="20">
        <v>10000</v>
      </c>
      <c r="N57" s="20"/>
      <c r="O57" s="20">
        <f t="shared" si="14"/>
        <v>0</v>
      </c>
      <c r="Q57" s="20">
        <v>10000</v>
      </c>
      <c r="R57" s="20"/>
      <c r="S57" s="20">
        <f t="shared" si="15"/>
        <v>0</v>
      </c>
      <c r="U57" s="20">
        <v>10000</v>
      </c>
      <c r="V57" s="20"/>
      <c r="W57" s="20">
        <f t="shared" si="16"/>
        <v>0</v>
      </c>
    </row>
    <row r="58" spans="1:23" x14ac:dyDescent="0.35">
      <c r="A58" s="20">
        <v>5000</v>
      </c>
      <c r="B58" s="20"/>
      <c r="C58" s="20">
        <f t="shared" si="11"/>
        <v>0</v>
      </c>
      <c r="E58" s="20">
        <v>5000</v>
      </c>
      <c r="F58" s="20"/>
      <c r="G58" s="20">
        <f t="shared" si="12"/>
        <v>0</v>
      </c>
      <c r="I58" s="20">
        <v>5000</v>
      </c>
      <c r="J58" s="20"/>
      <c r="K58" s="20">
        <f t="shared" si="13"/>
        <v>0</v>
      </c>
      <c r="M58" s="20">
        <v>5000</v>
      </c>
      <c r="N58" s="20"/>
      <c r="O58" s="20">
        <f t="shared" si="14"/>
        <v>0</v>
      </c>
      <c r="Q58" s="20">
        <v>5000</v>
      </c>
      <c r="R58" s="20"/>
      <c r="S58" s="20">
        <f t="shared" si="15"/>
        <v>0</v>
      </c>
      <c r="U58" s="20">
        <v>5000</v>
      </c>
      <c r="V58" s="20"/>
      <c r="W58" s="20">
        <f t="shared" si="16"/>
        <v>0</v>
      </c>
    </row>
    <row r="59" spans="1:23" x14ac:dyDescent="0.35">
      <c r="A59" s="20">
        <v>2000</v>
      </c>
      <c r="B59" s="20"/>
      <c r="C59" s="20">
        <f t="shared" si="11"/>
        <v>0</v>
      </c>
      <c r="E59" s="20">
        <v>2000</v>
      </c>
      <c r="F59" s="20"/>
      <c r="G59" s="20">
        <f t="shared" si="12"/>
        <v>0</v>
      </c>
      <c r="I59" s="20">
        <v>2000</v>
      </c>
      <c r="J59" s="20"/>
      <c r="K59" s="20">
        <f t="shared" si="13"/>
        <v>0</v>
      </c>
      <c r="M59" s="20">
        <v>2000</v>
      </c>
      <c r="N59" s="20"/>
      <c r="O59" s="20">
        <f t="shared" si="14"/>
        <v>0</v>
      </c>
      <c r="Q59" s="20">
        <v>2000</v>
      </c>
      <c r="R59" s="20"/>
      <c r="S59" s="20">
        <f t="shared" si="15"/>
        <v>0</v>
      </c>
      <c r="U59" s="20">
        <v>2000</v>
      </c>
      <c r="V59" s="20"/>
      <c r="W59" s="20">
        <f t="shared" si="16"/>
        <v>0</v>
      </c>
    </row>
    <row r="60" spans="1:23" x14ac:dyDescent="0.35">
      <c r="A60" s="28"/>
      <c r="B60" s="28"/>
      <c r="C60" s="30">
        <f>SUM(C54:C59)</f>
        <v>0</v>
      </c>
      <c r="E60" s="28"/>
      <c r="F60" s="28"/>
      <c r="G60" s="30">
        <f>SUM(G54:G59)</f>
        <v>0</v>
      </c>
      <c r="I60" s="28"/>
      <c r="J60" s="28"/>
      <c r="K60" s="30">
        <f>SUM(K54:K59)</f>
        <v>0</v>
      </c>
      <c r="M60" s="28"/>
      <c r="N60" s="28"/>
      <c r="O60" s="30">
        <f>SUM(O54:O59)</f>
        <v>0</v>
      </c>
      <c r="Q60" s="28"/>
      <c r="R60" s="28"/>
      <c r="S60" s="30">
        <f>SUM(S54:S59)</f>
        <v>0</v>
      </c>
      <c r="U60" s="28"/>
      <c r="V60" s="28"/>
      <c r="W60" s="30">
        <f>SUM(W54:W59)</f>
        <v>0</v>
      </c>
    </row>
    <row r="62" spans="1:23" x14ac:dyDescent="0.35">
      <c r="C62" s="21">
        <f>B64</f>
        <v>2950000</v>
      </c>
      <c r="G62" s="21">
        <f>F64</f>
        <v>2650000</v>
      </c>
      <c r="K62" s="21">
        <f>J64</f>
        <v>2700000</v>
      </c>
      <c r="O62" s="21">
        <f>N64</f>
        <v>2600000</v>
      </c>
      <c r="S62" s="21">
        <f>R64</f>
        <v>2550000</v>
      </c>
      <c r="W62" s="21">
        <f>V64</f>
        <v>1700000</v>
      </c>
    </row>
    <row r="63" spans="1:23" x14ac:dyDescent="0.35">
      <c r="A63" s="32">
        <v>46048</v>
      </c>
      <c r="B63" s="20"/>
      <c r="C63" s="20"/>
      <c r="E63" s="32">
        <v>46049</v>
      </c>
      <c r="F63" s="20"/>
      <c r="G63" s="20"/>
      <c r="I63" s="32">
        <v>46050</v>
      </c>
      <c r="J63" s="20"/>
      <c r="K63" s="20"/>
      <c r="M63" s="32">
        <v>46051</v>
      </c>
      <c r="N63" s="20"/>
      <c r="O63" s="20"/>
      <c r="Q63" s="32">
        <v>46052</v>
      </c>
      <c r="R63" s="20"/>
      <c r="S63" s="20"/>
      <c r="U63" s="32">
        <v>46053</v>
      </c>
      <c r="V63" s="20"/>
      <c r="W63" s="20"/>
    </row>
    <row r="64" spans="1:23" x14ac:dyDescent="0.35">
      <c r="A64" t="s">
        <v>121</v>
      </c>
      <c r="B64" s="20">
        <v>2950000</v>
      </c>
      <c r="C64" s="20"/>
      <c r="E64" t="s">
        <v>121</v>
      </c>
      <c r="F64" s="20">
        <v>2650000</v>
      </c>
      <c r="G64" s="20"/>
      <c r="H64" s="21"/>
      <c r="I64" t="s">
        <v>121</v>
      </c>
      <c r="J64" s="20">
        <v>2700000</v>
      </c>
      <c r="K64" s="20"/>
      <c r="M64" t="s">
        <v>121</v>
      </c>
      <c r="N64" s="20">
        <v>2600000</v>
      </c>
      <c r="O64" s="20"/>
      <c r="Q64" t="s">
        <v>121</v>
      </c>
      <c r="R64" s="20">
        <v>2550000</v>
      </c>
      <c r="S64" s="20"/>
      <c r="U64" t="s">
        <v>121</v>
      </c>
      <c r="V64" s="20">
        <v>1700000</v>
      </c>
      <c r="W64" s="20"/>
    </row>
    <row r="65" spans="1:23" x14ac:dyDescent="0.35">
      <c r="A65" t="s">
        <v>102</v>
      </c>
      <c r="B65" s="20">
        <v>1203100</v>
      </c>
      <c r="C65" s="20"/>
      <c r="E65" t="s">
        <v>102</v>
      </c>
      <c r="F65" s="20">
        <v>950000</v>
      </c>
      <c r="G65" s="20"/>
      <c r="H65" s="21"/>
      <c r="I65" t="s">
        <v>102</v>
      </c>
      <c r="J65" s="20">
        <v>1505000</v>
      </c>
      <c r="K65" s="20"/>
      <c r="M65" t="s">
        <v>102</v>
      </c>
      <c r="N65" s="20">
        <v>1595000</v>
      </c>
      <c r="O65" s="20"/>
      <c r="Q65" t="s">
        <v>102</v>
      </c>
      <c r="R65" s="20">
        <v>1443800</v>
      </c>
      <c r="S65" s="20"/>
      <c r="U65" t="s">
        <v>102</v>
      </c>
      <c r="V65" s="20">
        <v>819500</v>
      </c>
      <c r="W65" s="20"/>
    </row>
    <row r="66" spans="1:23" x14ac:dyDescent="0.35">
      <c r="A66" t="s">
        <v>103</v>
      </c>
      <c r="B66" s="20">
        <v>178000</v>
      </c>
      <c r="C66" s="20"/>
      <c r="E66" t="s">
        <v>103</v>
      </c>
      <c r="F66" s="20">
        <v>299000</v>
      </c>
      <c r="G66" s="20"/>
      <c r="I66" t="s">
        <v>103</v>
      </c>
      <c r="J66" s="20">
        <v>471000</v>
      </c>
      <c r="K66" s="20"/>
      <c r="M66" t="s">
        <v>103</v>
      </c>
      <c r="N66" s="20">
        <v>273500</v>
      </c>
      <c r="O66" s="20"/>
      <c r="Q66" t="s">
        <v>103</v>
      </c>
      <c r="R66" s="20">
        <v>200500</v>
      </c>
      <c r="S66" s="20"/>
      <c r="U66" t="s">
        <v>103</v>
      </c>
      <c r="V66" s="20">
        <v>521000</v>
      </c>
      <c r="W66" s="20"/>
    </row>
    <row r="67" spans="1:23" ht="15.5" x14ac:dyDescent="0.35">
      <c r="A67" t="s">
        <v>153</v>
      </c>
      <c r="B67" s="39">
        <v>877500</v>
      </c>
      <c r="C67" s="20"/>
      <c r="E67" t="s">
        <v>153</v>
      </c>
      <c r="F67" s="39">
        <v>1097800</v>
      </c>
      <c r="G67" s="20"/>
      <c r="I67" t="s">
        <v>153</v>
      </c>
      <c r="J67" s="39">
        <v>1084800</v>
      </c>
      <c r="K67" s="20"/>
      <c r="M67" t="s">
        <v>153</v>
      </c>
      <c r="N67" s="39">
        <v>1271000</v>
      </c>
      <c r="O67" s="20"/>
      <c r="Q67" t="s">
        <v>153</v>
      </c>
      <c r="R67" s="39">
        <v>1225000</v>
      </c>
      <c r="S67" s="20"/>
      <c r="U67" t="s">
        <v>153</v>
      </c>
      <c r="V67" s="39">
        <v>730000</v>
      </c>
      <c r="W67" s="78" t="s">
        <v>272</v>
      </c>
    </row>
    <row r="68" spans="1:23" x14ac:dyDescent="0.35">
      <c r="A68" t="s">
        <v>138</v>
      </c>
      <c r="B68" s="20"/>
      <c r="C68" s="20"/>
      <c r="E68" t="s">
        <v>138</v>
      </c>
      <c r="F68" s="20"/>
      <c r="G68" s="20"/>
      <c r="I68" t="s">
        <v>138</v>
      </c>
      <c r="J68" s="20"/>
      <c r="K68" s="20"/>
      <c r="M68" t="s">
        <v>138</v>
      </c>
      <c r="N68" s="20"/>
      <c r="O68" s="20"/>
      <c r="Q68" t="s">
        <v>138</v>
      </c>
      <c r="R68" s="20"/>
      <c r="S68" s="20"/>
      <c r="U68" t="s">
        <v>138</v>
      </c>
      <c r="V68" s="20"/>
      <c r="W68" s="20"/>
    </row>
    <row r="69" spans="1:23" x14ac:dyDescent="0.35">
      <c r="A69" t="s">
        <v>125</v>
      </c>
      <c r="B69" s="20">
        <v>1046200</v>
      </c>
      <c r="C69" s="20"/>
      <c r="E69" t="s">
        <v>125</v>
      </c>
      <c r="F69" s="20">
        <v>589000</v>
      </c>
      <c r="G69" s="20"/>
      <c r="I69" t="s">
        <v>125</v>
      </c>
      <c r="J69" s="20">
        <v>595000</v>
      </c>
      <c r="K69" s="20"/>
      <c r="M69" t="s">
        <v>125</v>
      </c>
      <c r="N69" s="20">
        <v>643400</v>
      </c>
      <c r="O69" s="20"/>
      <c r="Q69" t="s">
        <v>125</v>
      </c>
      <c r="R69" s="20">
        <v>930000</v>
      </c>
      <c r="S69" s="20"/>
      <c r="U69" t="s">
        <v>125</v>
      </c>
      <c r="V69" s="20">
        <v>590000</v>
      </c>
      <c r="W69" s="20"/>
    </row>
    <row r="70" spans="1:23" x14ac:dyDescent="0.35">
      <c r="A70" t="s">
        <v>124</v>
      </c>
      <c r="B70" s="21"/>
      <c r="C70" s="29">
        <f>B69+B68+B67+B66+B65+B64</f>
        <v>6254800</v>
      </c>
      <c r="E70" t="s">
        <v>124</v>
      </c>
      <c r="F70" s="21"/>
      <c r="G70" s="29">
        <f>F69+F68+F67+F66+F65+F64</f>
        <v>5585800</v>
      </c>
      <c r="I70" t="s">
        <v>124</v>
      </c>
      <c r="J70" s="21"/>
      <c r="K70" s="29">
        <f>J69+J68+J67+J66+J65+J64</f>
        <v>6355800</v>
      </c>
      <c r="M70" t="s">
        <v>124</v>
      </c>
      <c r="N70" s="76">
        <v>351</v>
      </c>
      <c r="O70" s="29">
        <f>N69+N68+N67+N66+N65+N64</f>
        <v>6382900</v>
      </c>
      <c r="Q70" t="s">
        <v>124</v>
      </c>
      <c r="R70" s="76">
        <v>344</v>
      </c>
      <c r="S70" s="29">
        <f>R69+R68+R67+R66+R65+R64</f>
        <v>6349300</v>
      </c>
      <c r="U70" t="s">
        <v>124</v>
      </c>
      <c r="V70" s="21">
        <v>234</v>
      </c>
      <c r="W70" s="29">
        <f>V69+V68+V67+V66+V65+V64</f>
        <v>4360500</v>
      </c>
    </row>
    <row r="71" spans="1:23" x14ac:dyDescent="0.35">
      <c r="B71" s="21"/>
      <c r="F71" s="21"/>
      <c r="J71" s="21"/>
      <c r="N71" s="21"/>
      <c r="R71" s="21"/>
      <c r="V71" s="21"/>
    </row>
    <row r="72" spans="1:23" x14ac:dyDescent="0.35">
      <c r="A72" s="20"/>
      <c r="B72" s="20"/>
      <c r="C72" s="20"/>
      <c r="E72" s="20"/>
      <c r="F72" s="20"/>
      <c r="G72" s="20"/>
      <c r="I72" s="20"/>
      <c r="J72" s="20"/>
      <c r="K72" s="20"/>
      <c r="M72" s="20"/>
      <c r="N72" s="20"/>
      <c r="O72" s="20"/>
      <c r="Q72" s="20"/>
      <c r="R72" s="20"/>
      <c r="S72" s="20"/>
      <c r="U72" s="20"/>
      <c r="V72" s="20"/>
      <c r="W72" s="20"/>
    </row>
    <row r="73" spans="1:23" x14ac:dyDescent="0.35">
      <c r="A73" s="31" t="s">
        <v>121</v>
      </c>
      <c r="B73" s="20"/>
      <c r="C73" s="20"/>
      <c r="E73" s="31" t="s">
        <v>121</v>
      </c>
      <c r="F73" s="20"/>
      <c r="G73" s="20"/>
      <c r="I73" s="31" t="s">
        <v>121</v>
      </c>
      <c r="J73" s="20"/>
      <c r="K73" s="20"/>
      <c r="M73" s="31" t="s">
        <v>121</v>
      </c>
      <c r="N73" s="20"/>
      <c r="O73" s="20"/>
      <c r="Q73" s="31" t="s">
        <v>121</v>
      </c>
      <c r="R73" s="20"/>
      <c r="S73" s="20"/>
      <c r="U73" s="31" t="s">
        <v>121</v>
      </c>
      <c r="V73" s="20"/>
      <c r="W73" s="20"/>
    </row>
    <row r="74" spans="1:23" x14ac:dyDescent="0.35">
      <c r="A74" s="20">
        <v>100000</v>
      </c>
      <c r="B74" s="20"/>
      <c r="C74" s="20">
        <f>A74*B74</f>
        <v>0</v>
      </c>
      <c r="E74" s="20">
        <v>100000</v>
      </c>
      <c r="F74" s="20"/>
      <c r="G74" s="20">
        <f>E74*F74</f>
        <v>0</v>
      </c>
      <c r="I74" s="20">
        <v>100000</v>
      </c>
      <c r="J74" s="20"/>
      <c r="K74" s="20">
        <f>I74*J74</f>
        <v>0</v>
      </c>
      <c r="M74" s="20">
        <v>100000</v>
      </c>
      <c r="N74" s="20"/>
      <c r="O74" s="20">
        <f>M74*N74</f>
        <v>0</v>
      </c>
      <c r="Q74" s="20">
        <v>100000</v>
      </c>
      <c r="R74" s="20"/>
      <c r="S74" s="20">
        <f>Q74*R74</f>
        <v>0</v>
      </c>
      <c r="U74" s="20">
        <v>100000</v>
      </c>
      <c r="V74" s="20"/>
      <c r="W74" s="20">
        <f>U74*V74</f>
        <v>0</v>
      </c>
    </row>
    <row r="75" spans="1:23" x14ac:dyDescent="0.35">
      <c r="A75" s="20">
        <v>50000</v>
      </c>
      <c r="B75" s="20"/>
      <c r="C75" s="20">
        <f t="shared" ref="C75:C79" si="17">A75*B75</f>
        <v>0</v>
      </c>
      <c r="E75" s="20">
        <v>50000</v>
      </c>
      <c r="F75" s="20"/>
      <c r="G75" s="20">
        <f t="shared" ref="G75:G79" si="18">E75*F75</f>
        <v>0</v>
      </c>
      <c r="I75" s="20">
        <v>50000</v>
      </c>
      <c r="J75" s="20"/>
      <c r="K75" s="20">
        <f t="shared" ref="K75:K79" si="19">I75*J75</f>
        <v>0</v>
      </c>
      <c r="M75" s="20">
        <v>50000</v>
      </c>
      <c r="N75" s="20"/>
      <c r="O75" s="20">
        <f t="shared" ref="O75:O79" si="20">M75*N75</f>
        <v>0</v>
      </c>
      <c r="Q75" s="20">
        <v>50000</v>
      </c>
      <c r="R75" s="20"/>
      <c r="S75" s="20">
        <f t="shared" ref="S75:S79" si="21">Q75*R75</f>
        <v>0</v>
      </c>
      <c r="U75" s="20">
        <v>50000</v>
      </c>
      <c r="V75" s="20"/>
      <c r="W75" s="20">
        <f t="shared" ref="W75:W79" si="22">U75*V75</f>
        <v>0</v>
      </c>
    </row>
    <row r="76" spans="1:23" x14ac:dyDescent="0.35">
      <c r="A76" s="20">
        <v>20000</v>
      </c>
      <c r="B76" s="20"/>
      <c r="C76" s="20">
        <f t="shared" si="17"/>
        <v>0</v>
      </c>
      <c r="E76" s="20">
        <v>20000</v>
      </c>
      <c r="F76" s="20"/>
      <c r="G76" s="20">
        <f t="shared" si="18"/>
        <v>0</v>
      </c>
      <c r="I76" s="20">
        <v>20000</v>
      </c>
      <c r="J76" s="20"/>
      <c r="K76" s="20">
        <f t="shared" si="19"/>
        <v>0</v>
      </c>
      <c r="M76" s="20">
        <v>20000</v>
      </c>
      <c r="N76" s="20"/>
      <c r="O76" s="20">
        <f t="shared" si="20"/>
        <v>0</v>
      </c>
      <c r="Q76" s="20">
        <v>20000</v>
      </c>
      <c r="R76" s="20"/>
      <c r="S76" s="20">
        <f t="shared" si="21"/>
        <v>0</v>
      </c>
      <c r="U76" s="20">
        <v>20000</v>
      </c>
      <c r="V76" s="20"/>
      <c r="W76" s="20">
        <f t="shared" si="22"/>
        <v>0</v>
      </c>
    </row>
    <row r="77" spans="1:23" x14ac:dyDescent="0.35">
      <c r="A77" s="20">
        <v>10000</v>
      </c>
      <c r="B77" s="20"/>
      <c r="C77" s="20">
        <f t="shared" si="17"/>
        <v>0</v>
      </c>
      <c r="E77" s="20">
        <v>10000</v>
      </c>
      <c r="F77" s="20"/>
      <c r="G77" s="20">
        <f t="shared" si="18"/>
        <v>0</v>
      </c>
      <c r="I77" s="20">
        <v>10000</v>
      </c>
      <c r="J77" s="20"/>
      <c r="K77" s="20">
        <f t="shared" si="19"/>
        <v>0</v>
      </c>
      <c r="M77" s="20">
        <v>10000</v>
      </c>
      <c r="N77" s="20"/>
      <c r="O77" s="20">
        <f t="shared" si="20"/>
        <v>0</v>
      </c>
      <c r="Q77" s="20">
        <v>10000</v>
      </c>
      <c r="R77" s="20"/>
      <c r="S77" s="20">
        <f t="shared" si="21"/>
        <v>0</v>
      </c>
      <c r="U77" s="20">
        <v>10000</v>
      </c>
      <c r="V77" s="20"/>
      <c r="W77" s="20">
        <f t="shared" si="22"/>
        <v>0</v>
      </c>
    </row>
    <row r="78" spans="1:23" x14ac:dyDescent="0.35">
      <c r="A78" s="20">
        <v>5000</v>
      </c>
      <c r="B78" s="20"/>
      <c r="C78" s="20">
        <f t="shared" si="17"/>
        <v>0</v>
      </c>
      <c r="E78" s="20">
        <v>5000</v>
      </c>
      <c r="F78" s="20"/>
      <c r="G78" s="20">
        <f t="shared" si="18"/>
        <v>0</v>
      </c>
      <c r="I78" s="20">
        <v>5000</v>
      </c>
      <c r="J78" s="20"/>
      <c r="K78" s="20">
        <f t="shared" si="19"/>
        <v>0</v>
      </c>
      <c r="M78" s="20">
        <v>5000</v>
      </c>
      <c r="N78" s="20"/>
      <c r="O78" s="20">
        <f t="shared" si="20"/>
        <v>0</v>
      </c>
      <c r="Q78" s="20">
        <v>5000</v>
      </c>
      <c r="R78" s="20"/>
      <c r="S78" s="20">
        <f t="shared" si="21"/>
        <v>0</v>
      </c>
      <c r="U78" s="20">
        <v>5000</v>
      </c>
      <c r="V78" s="20"/>
      <c r="W78" s="20">
        <f t="shared" si="22"/>
        <v>0</v>
      </c>
    </row>
    <row r="79" spans="1:23" x14ac:dyDescent="0.35">
      <c r="A79" s="20">
        <v>2000</v>
      </c>
      <c r="B79" s="20"/>
      <c r="C79" s="20">
        <f t="shared" si="17"/>
        <v>0</v>
      </c>
      <c r="E79" s="20">
        <v>2000</v>
      </c>
      <c r="F79" s="20"/>
      <c r="G79" s="20">
        <f t="shared" si="18"/>
        <v>0</v>
      </c>
      <c r="I79" s="20">
        <v>2000</v>
      </c>
      <c r="J79" s="20"/>
      <c r="K79" s="20">
        <f t="shared" si="19"/>
        <v>0</v>
      </c>
      <c r="M79" s="20">
        <v>2000</v>
      </c>
      <c r="N79" s="20"/>
      <c r="O79" s="20">
        <f t="shared" si="20"/>
        <v>0</v>
      </c>
      <c r="Q79" s="20">
        <v>2000</v>
      </c>
      <c r="R79" s="20"/>
      <c r="S79" s="20">
        <f t="shared" si="21"/>
        <v>0</v>
      </c>
      <c r="U79" s="20">
        <v>2000</v>
      </c>
      <c r="V79" s="20"/>
      <c r="W79" s="20">
        <f t="shared" si="22"/>
        <v>0</v>
      </c>
    </row>
    <row r="80" spans="1:23" x14ac:dyDescent="0.35">
      <c r="A80" s="28"/>
      <c r="B80" s="28"/>
      <c r="C80" s="30">
        <f>SUM(C74:C79)</f>
        <v>0</v>
      </c>
      <c r="E80" s="28"/>
      <c r="F80" s="28"/>
      <c r="G80" s="30">
        <f>SUM(G74:G79)</f>
        <v>0</v>
      </c>
      <c r="I80" s="28"/>
      <c r="J80" s="28"/>
      <c r="K80" s="30">
        <f>SUM(K74:K79)</f>
        <v>0</v>
      </c>
      <c r="M80" s="28"/>
      <c r="N80" s="28"/>
      <c r="O80" s="30">
        <f>SUM(O74:O79)</f>
        <v>0</v>
      </c>
      <c r="Q80" s="28"/>
      <c r="R80" s="28"/>
      <c r="S80" s="30">
        <f>SUM(S74:S79)</f>
        <v>0</v>
      </c>
      <c r="U80" s="28"/>
      <c r="V80" s="28"/>
      <c r="W80" s="30">
        <f>SUM(W74:W79)</f>
        <v>0</v>
      </c>
    </row>
    <row r="82" spans="1:23" x14ac:dyDescent="0.35">
      <c r="C82" s="21">
        <f>B84</f>
        <v>1900000</v>
      </c>
      <c r="G82" s="21">
        <f>F84</f>
        <v>2550000</v>
      </c>
      <c r="K82" s="21">
        <f>J84</f>
        <v>3250000</v>
      </c>
      <c r="O82" s="21">
        <f>N84</f>
        <v>1850000</v>
      </c>
      <c r="S82" s="21">
        <f>R84</f>
        <v>1850000</v>
      </c>
      <c r="W82" s="21">
        <f>V84</f>
        <v>1920000</v>
      </c>
    </row>
    <row r="83" spans="1:23" x14ac:dyDescent="0.35">
      <c r="A83" s="32">
        <v>46055</v>
      </c>
      <c r="B83" s="20"/>
      <c r="C83" s="20"/>
      <c r="E83" s="32">
        <v>46056</v>
      </c>
      <c r="F83" s="20"/>
      <c r="G83" s="20"/>
      <c r="I83" s="32">
        <v>46057</v>
      </c>
      <c r="J83" s="20"/>
      <c r="K83" s="20"/>
      <c r="M83" s="32">
        <v>46027</v>
      </c>
      <c r="N83" s="20"/>
      <c r="O83" s="20"/>
      <c r="Q83" s="32">
        <v>46059</v>
      </c>
      <c r="R83" s="20"/>
      <c r="S83" s="20"/>
      <c r="U83" s="32">
        <v>46060</v>
      </c>
      <c r="V83" s="20"/>
      <c r="W83" s="20"/>
    </row>
    <row r="84" spans="1:23" x14ac:dyDescent="0.35">
      <c r="A84" t="s">
        <v>121</v>
      </c>
      <c r="B84" s="20">
        <v>1900000</v>
      </c>
      <c r="C84" s="20"/>
      <c r="E84" t="s">
        <v>121</v>
      </c>
      <c r="F84" s="20">
        <v>2550000</v>
      </c>
      <c r="G84" s="20"/>
      <c r="H84" s="21"/>
      <c r="I84" t="s">
        <v>121</v>
      </c>
      <c r="J84" s="20">
        <v>3250000</v>
      </c>
      <c r="K84" s="20"/>
      <c r="M84" t="s">
        <v>121</v>
      </c>
      <c r="N84" s="20">
        <v>1850000</v>
      </c>
      <c r="O84" s="20"/>
      <c r="Q84" t="s">
        <v>121</v>
      </c>
      <c r="R84" s="20">
        <v>1850000</v>
      </c>
      <c r="S84" s="20"/>
      <c r="U84" t="s">
        <v>121</v>
      </c>
      <c r="V84" s="20">
        <v>1920000</v>
      </c>
      <c r="W84" s="20"/>
    </row>
    <row r="85" spans="1:23" x14ac:dyDescent="0.35">
      <c r="A85" t="s">
        <v>102</v>
      </c>
      <c r="B85" s="20">
        <v>1682000</v>
      </c>
      <c r="C85" s="20"/>
      <c r="E85" t="s">
        <v>102</v>
      </c>
      <c r="F85" s="20">
        <v>594250</v>
      </c>
      <c r="G85" s="20"/>
      <c r="H85" s="21"/>
      <c r="I85" t="s">
        <v>102</v>
      </c>
      <c r="J85" s="20">
        <v>920000</v>
      </c>
      <c r="K85" s="20"/>
      <c r="M85" t="s">
        <v>102</v>
      </c>
      <c r="N85" s="20">
        <v>641500</v>
      </c>
      <c r="O85" s="20"/>
      <c r="Q85" t="s">
        <v>102</v>
      </c>
      <c r="R85" s="20">
        <v>1709000</v>
      </c>
      <c r="S85" s="20"/>
      <c r="U85" t="s">
        <v>102</v>
      </c>
      <c r="V85" s="20">
        <v>1274500</v>
      </c>
      <c r="W85" s="20"/>
    </row>
    <row r="86" spans="1:23" x14ac:dyDescent="0.35">
      <c r="A86" t="s">
        <v>103</v>
      </c>
      <c r="B86" s="20">
        <v>218500</v>
      </c>
      <c r="C86" s="20"/>
      <c r="E86" t="s">
        <v>103</v>
      </c>
      <c r="F86" s="20">
        <v>768250</v>
      </c>
      <c r="G86" s="20"/>
      <c r="I86" t="s">
        <v>103</v>
      </c>
      <c r="J86" s="20">
        <v>512500</v>
      </c>
      <c r="K86" s="20"/>
      <c r="M86" t="s">
        <v>103</v>
      </c>
      <c r="N86" s="20">
        <v>209000</v>
      </c>
      <c r="O86" s="20"/>
      <c r="Q86" t="s">
        <v>103</v>
      </c>
      <c r="R86" s="20">
        <v>472500</v>
      </c>
      <c r="S86" s="20"/>
      <c r="U86" t="s">
        <v>103</v>
      </c>
      <c r="V86" s="20">
        <v>165500</v>
      </c>
      <c r="W86" s="20"/>
    </row>
    <row r="87" spans="1:23" ht="15.5" x14ac:dyDescent="0.35">
      <c r="A87" t="s">
        <v>153</v>
      </c>
      <c r="B87" s="39">
        <v>893000</v>
      </c>
      <c r="C87" s="20"/>
      <c r="E87" t="s">
        <v>153</v>
      </c>
      <c r="F87" s="39">
        <v>1248000</v>
      </c>
      <c r="G87" s="20"/>
      <c r="I87" t="s">
        <v>153</v>
      </c>
      <c r="J87" s="39">
        <v>1065000</v>
      </c>
      <c r="K87" s="20"/>
      <c r="M87" t="s">
        <v>153</v>
      </c>
      <c r="N87" s="39">
        <v>707000</v>
      </c>
      <c r="O87" s="20"/>
      <c r="Q87" t="s">
        <v>153</v>
      </c>
      <c r="R87" s="39">
        <v>1220500</v>
      </c>
      <c r="S87" s="20"/>
      <c r="U87" t="s">
        <v>153</v>
      </c>
      <c r="V87" s="39">
        <v>933500</v>
      </c>
      <c r="W87" s="20"/>
    </row>
    <row r="88" spans="1:23" x14ac:dyDescent="0.35">
      <c r="A88" t="s">
        <v>138</v>
      </c>
      <c r="B88" s="20"/>
      <c r="C88" s="20"/>
      <c r="E88" t="s">
        <v>138</v>
      </c>
      <c r="F88" s="20"/>
      <c r="G88" s="20"/>
      <c r="I88" t="s">
        <v>138</v>
      </c>
      <c r="J88" s="20"/>
      <c r="K88" s="20"/>
      <c r="M88" t="s">
        <v>138</v>
      </c>
      <c r="N88" s="20"/>
      <c r="O88" s="20"/>
      <c r="Q88" t="s">
        <v>138</v>
      </c>
      <c r="R88" s="20"/>
      <c r="S88" s="20"/>
      <c r="U88" t="s">
        <v>138</v>
      </c>
      <c r="V88" s="20"/>
      <c r="W88" s="20"/>
    </row>
    <row r="89" spans="1:23" x14ac:dyDescent="0.35">
      <c r="A89" t="s">
        <v>125</v>
      </c>
      <c r="B89" s="20">
        <v>1230500</v>
      </c>
      <c r="C89" s="20"/>
      <c r="E89" t="s">
        <v>125</v>
      </c>
      <c r="F89" s="20">
        <v>790000</v>
      </c>
      <c r="G89" s="20"/>
      <c r="I89" t="s">
        <v>125</v>
      </c>
      <c r="J89" s="20">
        <v>882352</v>
      </c>
      <c r="K89" s="20"/>
      <c r="M89" t="s">
        <v>125</v>
      </c>
      <c r="N89" s="20">
        <v>537000</v>
      </c>
      <c r="O89" s="20"/>
      <c r="Q89" t="s">
        <v>125</v>
      </c>
      <c r="R89" s="20">
        <v>999500</v>
      </c>
      <c r="S89" s="20"/>
      <c r="U89" t="s">
        <v>125</v>
      </c>
      <c r="V89" s="20">
        <v>448750</v>
      </c>
      <c r="W89" s="20"/>
    </row>
    <row r="90" spans="1:23" x14ac:dyDescent="0.35">
      <c r="A90" t="s">
        <v>124</v>
      </c>
      <c r="B90" s="79">
        <v>324</v>
      </c>
      <c r="C90" s="29">
        <f>B89+B88+B87+B86+B85+B84</f>
        <v>5924000</v>
      </c>
      <c r="E90" t="s">
        <v>124</v>
      </c>
      <c r="F90" s="79">
        <v>325</v>
      </c>
      <c r="G90" s="29">
        <f>F89+F88+F87+F86+F85+F84</f>
        <v>5950500</v>
      </c>
      <c r="I90" t="s">
        <v>124</v>
      </c>
      <c r="J90" s="79">
        <v>356</v>
      </c>
      <c r="K90" s="29">
        <f>J89+J88+J87+J86+J85+J84</f>
        <v>6629852</v>
      </c>
      <c r="M90" t="s">
        <v>124</v>
      </c>
      <c r="N90" s="79">
        <v>209</v>
      </c>
      <c r="O90" s="29">
        <f>N89+N88+N87+N86+N85+N84</f>
        <v>3944500</v>
      </c>
      <c r="Q90" t="s">
        <v>124</v>
      </c>
      <c r="R90" s="79">
        <v>343</v>
      </c>
      <c r="S90" s="29">
        <f>R89+R88+R87+R86+R85+R84</f>
        <v>6251500</v>
      </c>
      <c r="U90" t="s">
        <v>124</v>
      </c>
      <c r="V90" s="79">
        <v>259</v>
      </c>
      <c r="W90" s="29">
        <f>V89+V88+V87+V86+V85+V84</f>
        <v>4742250</v>
      </c>
    </row>
    <row r="91" spans="1:23" x14ac:dyDescent="0.35">
      <c r="B91" s="79"/>
      <c r="C91" s="82"/>
      <c r="F91" s="79"/>
      <c r="G91" s="82"/>
      <c r="J91" s="79"/>
      <c r="K91" s="82"/>
      <c r="N91" s="79"/>
      <c r="O91" s="82"/>
      <c r="R91" s="79"/>
      <c r="S91" s="82"/>
      <c r="V91" s="79"/>
      <c r="W91" s="82"/>
    </row>
    <row r="92" spans="1:23" x14ac:dyDescent="0.35">
      <c r="B92" s="79"/>
      <c r="C92" s="79"/>
      <c r="F92" s="79"/>
      <c r="G92" s="79"/>
      <c r="J92" s="79"/>
      <c r="K92" s="82"/>
      <c r="N92" s="79"/>
      <c r="O92" s="82"/>
      <c r="R92" s="79"/>
      <c r="S92" s="82"/>
      <c r="V92" s="79"/>
      <c r="W92" s="82"/>
    </row>
    <row r="93" spans="1:23" x14ac:dyDescent="0.35">
      <c r="B93" s="21"/>
      <c r="F93" s="21"/>
      <c r="J93" s="21"/>
      <c r="N93" s="21"/>
      <c r="R93" s="21"/>
      <c r="V93" s="21"/>
    </row>
    <row r="94" spans="1:23" x14ac:dyDescent="0.35">
      <c r="C94" s="21">
        <f>B96</f>
        <v>2870000</v>
      </c>
      <c r="G94" s="21">
        <f>F96</f>
        <v>2800000</v>
      </c>
      <c r="K94" s="21">
        <f>J96</f>
        <v>2900000</v>
      </c>
      <c r="O94" s="21">
        <f>N96</f>
        <v>2660000</v>
      </c>
      <c r="S94" s="21">
        <f>R96</f>
        <v>2600000</v>
      </c>
      <c r="W94" s="21">
        <f>V96</f>
        <v>1750000</v>
      </c>
    </row>
    <row r="95" spans="1:23" x14ac:dyDescent="0.35">
      <c r="A95" s="32">
        <v>46062</v>
      </c>
      <c r="B95" s="20"/>
      <c r="C95" s="20"/>
      <c r="E95" s="32">
        <v>46063</v>
      </c>
      <c r="F95" s="20"/>
      <c r="G95" s="20"/>
      <c r="I95" s="32">
        <v>46064</v>
      </c>
      <c r="J95" s="20"/>
      <c r="K95" s="20"/>
      <c r="M95" s="32">
        <v>46065</v>
      </c>
      <c r="N95" s="20"/>
      <c r="O95" s="20"/>
      <c r="Q95" s="32">
        <v>46066</v>
      </c>
      <c r="R95" s="20"/>
      <c r="S95" s="20"/>
      <c r="U95" s="32">
        <v>46067</v>
      </c>
      <c r="V95" s="20"/>
      <c r="W95" s="20"/>
    </row>
    <row r="96" spans="1:23" x14ac:dyDescent="0.35">
      <c r="A96" t="s">
        <v>121</v>
      </c>
      <c r="B96" s="20">
        <v>2870000</v>
      </c>
      <c r="C96" s="20"/>
      <c r="E96" t="s">
        <v>121</v>
      </c>
      <c r="F96" s="20">
        <v>2800000</v>
      </c>
      <c r="G96" s="20"/>
      <c r="H96" s="21"/>
      <c r="I96" t="s">
        <v>121</v>
      </c>
      <c r="J96" s="20">
        <v>2900000</v>
      </c>
      <c r="K96" s="20"/>
      <c r="M96" t="s">
        <v>121</v>
      </c>
      <c r="N96" s="20">
        <v>2660000</v>
      </c>
      <c r="O96" s="20"/>
      <c r="Q96" t="s">
        <v>121</v>
      </c>
      <c r="R96" s="20">
        <v>2600000</v>
      </c>
      <c r="S96" s="20"/>
      <c r="U96" t="s">
        <v>121</v>
      </c>
      <c r="V96" s="20">
        <v>1750000</v>
      </c>
      <c r="W96" s="20"/>
    </row>
    <row r="97" spans="1:23" x14ac:dyDescent="0.35">
      <c r="A97" t="s">
        <v>102</v>
      </c>
      <c r="B97" s="20">
        <v>1139500</v>
      </c>
      <c r="C97" s="20"/>
      <c r="E97" t="s">
        <v>102</v>
      </c>
      <c r="F97" s="20">
        <v>1624000</v>
      </c>
      <c r="G97" s="20"/>
      <c r="H97" s="21"/>
      <c r="I97" t="s">
        <v>102</v>
      </c>
      <c r="J97" s="20">
        <v>1170500</v>
      </c>
      <c r="K97" s="20"/>
      <c r="M97" t="s">
        <v>102</v>
      </c>
      <c r="N97" s="20">
        <v>1301715</v>
      </c>
      <c r="O97" s="20"/>
      <c r="Q97" t="s">
        <v>102</v>
      </c>
      <c r="R97" s="20">
        <v>1460000</v>
      </c>
      <c r="S97" s="20"/>
      <c r="U97" t="s">
        <v>102</v>
      </c>
      <c r="V97" s="20">
        <v>760000</v>
      </c>
      <c r="W97" s="20"/>
    </row>
    <row r="98" spans="1:23" x14ac:dyDescent="0.35">
      <c r="A98" t="s">
        <v>103</v>
      </c>
      <c r="B98" s="20">
        <v>356500</v>
      </c>
      <c r="C98" s="20"/>
      <c r="E98" t="s">
        <v>103</v>
      </c>
      <c r="F98" s="20">
        <v>423500</v>
      </c>
      <c r="G98" s="20"/>
      <c r="I98" t="s">
        <v>103</v>
      </c>
      <c r="J98" s="20">
        <v>285500</v>
      </c>
      <c r="K98" s="20"/>
      <c r="M98" t="s">
        <v>103</v>
      </c>
      <c r="N98" s="20">
        <v>230500</v>
      </c>
      <c r="O98" s="20"/>
      <c r="Q98" t="s">
        <v>103</v>
      </c>
      <c r="R98" s="20">
        <v>319500</v>
      </c>
      <c r="S98" s="20"/>
      <c r="U98" t="s">
        <v>103</v>
      </c>
      <c r="V98" s="20">
        <v>275000</v>
      </c>
      <c r="W98" s="20"/>
    </row>
    <row r="99" spans="1:23" ht="15.5" x14ac:dyDescent="0.35">
      <c r="A99" t="s">
        <v>153</v>
      </c>
      <c r="B99" s="39">
        <v>970000</v>
      </c>
      <c r="C99" s="20"/>
      <c r="E99" t="s">
        <v>153</v>
      </c>
      <c r="F99" s="39">
        <v>772500</v>
      </c>
      <c r="G99" s="20"/>
      <c r="I99" t="s">
        <v>153</v>
      </c>
      <c r="J99" s="39">
        <v>566000</v>
      </c>
      <c r="K99" s="20"/>
      <c r="M99" t="s">
        <v>153</v>
      </c>
      <c r="N99" s="39">
        <v>1296500</v>
      </c>
      <c r="O99" s="20"/>
      <c r="Q99" t="s">
        <v>153</v>
      </c>
      <c r="R99" s="39">
        <v>1126500</v>
      </c>
      <c r="S99" s="20"/>
      <c r="U99" t="s">
        <v>153</v>
      </c>
      <c r="V99" s="39">
        <v>585500</v>
      </c>
      <c r="W99" s="20"/>
    </row>
    <row r="100" spans="1:23" x14ac:dyDescent="0.35">
      <c r="A100" t="s">
        <v>138</v>
      </c>
      <c r="B100" s="20"/>
      <c r="C100" s="20"/>
      <c r="E100" t="s">
        <v>138</v>
      </c>
      <c r="F100" s="20"/>
      <c r="G100" s="20"/>
      <c r="I100" t="s">
        <v>138</v>
      </c>
      <c r="J100" s="20"/>
      <c r="K100" s="20"/>
      <c r="M100" t="s">
        <v>138</v>
      </c>
      <c r="N100" s="20"/>
      <c r="O100" s="20"/>
      <c r="Q100" t="s">
        <v>138</v>
      </c>
      <c r="R100" s="20"/>
      <c r="S100" s="20"/>
      <c r="U100" t="s">
        <v>138</v>
      </c>
      <c r="V100" s="20"/>
      <c r="W100" s="20"/>
    </row>
    <row r="101" spans="1:23" x14ac:dyDescent="0.35">
      <c r="A101" t="s">
        <v>125</v>
      </c>
      <c r="B101" s="20">
        <v>924000</v>
      </c>
      <c r="C101" s="20"/>
      <c r="E101" t="s">
        <v>125</v>
      </c>
      <c r="F101" s="20">
        <v>1120000</v>
      </c>
      <c r="G101" s="20"/>
      <c r="I101" t="s">
        <v>125</v>
      </c>
      <c r="J101" s="20">
        <v>840000</v>
      </c>
      <c r="K101" s="20"/>
      <c r="M101" t="s">
        <v>125</v>
      </c>
      <c r="N101" s="20">
        <v>845000</v>
      </c>
      <c r="O101" s="20"/>
      <c r="Q101" t="s">
        <v>125</v>
      </c>
      <c r="R101" s="20">
        <v>1092000</v>
      </c>
      <c r="S101" s="20"/>
      <c r="U101" t="s">
        <v>125</v>
      </c>
      <c r="V101" s="20">
        <v>495000</v>
      </c>
      <c r="W101" s="20"/>
    </row>
    <row r="102" spans="1:23" x14ac:dyDescent="0.35">
      <c r="A102" t="s">
        <v>124</v>
      </c>
      <c r="B102" s="79">
        <v>328</v>
      </c>
      <c r="C102" s="29">
        <f>B101+B100+B99+B98+B97+B96</f>
        <v>6260000</v>
      </c>
      <c r="E102" t="s">
        <v>124</v>
      </c>
      <c r="F102" s="79">
        <v>361</v>
      </c>
      <c r="G102" s="29">
        <f>F101+F100+F99+F98+F97+F96</f>
        <v>6740000</v>
      </c>
      <c r="I102" t="s">
        <v>124</v>
      </c>
      <c r="J102" s="79">
        <v>302</v>
      </c>
      <c r="K102" s="29">
        <f>J101+J100+J99+J98+J97+J96</f>
        <v>5762000</v>
      </c>
      <c r="M102" t="s">
        <v>124</v>
      </c>
      <c r="N102" s="79">
        <v>333</v>
      </c>
      <c r="O102" s="29">
        <f>N101+N100+N99+N98+N97+N96</f>
        <v>6333715</v>
      </c>
      <c r="Q102" t="s">
        <v>124</v>
      </c>
      <c r="R102" s="79">
        <v>338</v>
      </c>
      <c r="S102" s="29">
        <f>R101+R100+R99+R98+R97+R96</f>
        <v>6598000</v>
      </c>
      <c r="U102" t="s">
        <v>124</v>
      </c>
      <c r="V102" s="79">
        <v>203</v>
      </c>
      <c r="W102" s="29">
        <f>V101+V100+V99+V98+V97+V96</f>
        <v>3865500</v>
      </c>
    </row>
    <row r="103" spans="1:23" x14ac:dyDescent="0.35">
      <c r="B103" s="21"/>
      <c r="F103" s="21"/>
      <c r="J103" s="21"/>
      <c r="N103" s="21"/>
      <c r="R103" s="21"/>
      <c r="V103" s="21"/>
    </row>
    <row r="106" spans="1:23" x14ac:dyDescent="0.35">
      <c r="C106" s="21">
        <f>B108</f>
        <v>3150000</v>
      </c>
      <c r="G106" s="21">
        <f>F108</f>
        <v>2350000</v>
      </c>
      <c r="K106" s="21">
        <f>J108</f>
        <v>2550000</v>
      </c>
      <c r="O106" s="21">
        <f>N108</f>
        <v>3050000</v>
      </c>
      <c r="S106" s="21">
        <f>R108</f>
        <v>2300000</v>
      </c>
      <c r="W106" s="21">
        <f>V108</f>
        <v>2050000</v>
      </c>
    </row>
    <row r="107" spans="1:23" x14ac:dyDescent="0.35">
      <c r="A107" s="32">
        <v>46069</v>
      </c>
      <c r="B107" s="20"/>
      <c r="C107" s="20"/>
      <c r="E107" s="32">
        <v>46070</v>
      </c>
      <c r="F107" s="20"/>
      <c r="G107" s="20"/>
      <c r="I107" s="32">
        <v>46071</v>
      </c>
      <c r="J107" s="20"/>
      <c r="K107" s="20"/>
      <c r="M107" s="32">
        <v>46072</v>
      </c>
      <c r="N107" s="20"/>
      <c r="O107" s="20"/>
      <c r="Q107" s="32">
        <v>46073</v>
      </c>
      <c r="R107" s="20"/>
      <c r="S107" s="20"/>
      <c r="U107" s="32">
        <v>46074</v>
      </c>
      <c r="V107" s="20"/>
      <c r="W107" s="20"/>
    </row>
    <row r="108" spans="1:23" x14ac:dyDescent="0.35">
      <c r="A108" t="s">
        <v>121</v>
      </c>
      <c r="B108" s="20">
        <v>3150000</v>
      </c>
      <c r="C108" s="20"/>
      <c r="E108" t="s">
        <v>121</v>
      </c>
      <c r="F108" s="20">
        <v>2350000</v>
      </c>
      <c r="G108" s="20"/>
      <c r="I108" t="s">
        <v>121</v>
      </c>
      <c r="J108" s="20">
        <v>2550000</v>
      </c>
      <c r="K108" s="20"/>
      <c r="M108" t="s">
        <v>121</v>
      </c>
      <c r="N108" s="20">
        <v>3050000</v>
      </c>
      <c r="O108" s="20"/>
      <c r="Q108" t="s">
        <v>121</v>
      </c>
      <c r="R108" s="20">
        <v>2300000</v>
      </c>
      <c r="S108" s="20"/>
      <c r="U108" t="s">
        <v>121</v>
      </c>
      <c r="V108" s="20">
        <v>2050000</v>
      </c>
      <c r="W108" s="20"/>
    </row>
    <row r="109" spans="1:23" x14ac:dyDescent="0.35">
      <c r="A109" t="s">
        <v>102</v>
      </c>
      <c r="B109" s="20">
        <v>1066000</v>
      </c>
      <c r="C109" s="20"/>
      <c r="E109" t="s">
        <v>102</v>
      </c>
      <c r="F109" s="20">
        <v>1047000</v>
      </c>
      <c r="G109" s="20"/>
      <c r="I109" t="s">
        <v>102</v>
      </c>
      <c r="J109" s="20">
        <v>1263000</v>
      </c>
      <c r="K109" s="20"/>
      <c r="M109" t="s">
        <v>102</v>
      </c>
      <c r="N109" s="20">
        <v>1300500</v>
      </c>
      <c r="O109" s="20"/>
      <c r="Q109" t="s">
        <v>102</v>
      </c>
      <c r="R109" s="20">
        <v>1108000</v>
      </c>
      <c r="S109" s="20"/>
      <c r="U109" t="s">
        <v>102</v>
      </c>
      <c r="V109" s="20">
        <v>1233500</v>
      </c>
      <c r="W109" s="20"/>
    </row>
    <row r="110" spans="1:23" x14ac:dyDescent="0.35">
      <c r="A110" t="s">
        <v>103</v>
      </c>
      <c r="B110" s="20">
        <v>464000</v>
      </c>
      <c r="C110" s="20"/>
      <c r="E110" t="s">
        <v>103</v>
      </c>
      <c r="F110" s="20">
        <v>194500</v>
      </c>
      <c r="G110" s="20"/>
      <c r="I110" t="s">
        <v>103</v>
      </c>
      <c r="J110" s="20">
        <v>402000</v>
      </c>
      <c r="K110" s="20"/>
      <c r="M110" t="s">
        <v>103</v>
      </c>
      <c r="N110" s="20">
        <v>234500</v>
      </c>
      <c r="O110" s="20"/>
      <c r="Q110" t="s">
        <v>103</v>
      </c>
      <c r="R110" s="20">
        <v>488000</v>
      </c>
      <c r="S110" s="20"/>
      <c r="U110" t="s">
        <v>103</v>
      </c>
      <c r="V110" s="20">
        <v>135500</v>
      </c>
      <c r="W110" s="20"/>
    </row>
    <row r="111" spans="1:23" ht="15.5" x14ac:dyDescent="0.35">
      <c r="A111" t="s">
        <v>153</v>
      </c>
      <c r="B111" s="39">
        <v>903500</v>
      </c>
      <c r="C111" s="20"/>
      <c r="E111" t="s">
        <v>153</v>
      </c>
      <c r="F111" s="39">
        <v>1329300</v>
      </c>
      <c r="G111" s="20"/>
      <c r="I111" t="s">
        <v>153</v>
      </c>
      <c r="J111" s="39">
        <v>820800</v>
      </c>
      <c r="K111" s="20"/>
      <c r="M111" t="s">
        <v>153</v>
      </c>
      <c r="N111" s="39">
        <v>816300</v>
      </c>
      <c r="O111" s="20"/>
      <c r="Q111" t="s">
        <v>153</v>
      </c>
      <c r="R111" s="39">
        <v>1367500</v>
      </c>
      <c r="S111" s="20"/>
      <c r="U111" t="s">
        <v>153</v>
      </c>
      <c r="V111" s="39">
        <v>682500</v>
      </c>
      <c r="W111" s="78"/>
    </row>
    <row r="112" spans="1:23" x14ac:dyDescent="0.35">
      <c r="A112" t="s">
        <v>138</v>
      </c>
      <c r="B112" s="20"/>
      <c r="C112" s="20"/>
      <c r="E112" t="s">
        <v>138</v>
      </c>
      <c r="F112" s="20"/>
      <c r="G112" s="20"/>
      <c r="I112" t="s">
        <v>138</v>
      </c>
      <c r="J112" s="20"/>
      <c r="K112" s="20"/>
      <c r="M112" t="s">
        <v>138</v>
      </c>
      <c r="N112" s="20"/>
      <c r="O112" s="20"/>
      <c r="Q112" t="s">
        <v>138</v>
      </c>
      <c r="R112" s="20"/>
      <c r="S112" s="20"/>
      <c r="U112" t="s">
        <v>138</v>
      </c>
      <c r="V112" s="20"/>
      <c r="W112" s="20"/>
    </row>
    <row r="113" spans="1:23" x14ac:dyDescent="0.35">
      <c r="A113" t="s">
        <v>125</v>
      </c>
      <c r="B113" s="20">
        <v>924400</v>
      </c>
      <c r="C113" s="20"/>
      <c r="E113" t="s">
        <v>125</v>
      </c>
      <c r="F113" s="20">
        <v>845000</v>
      </c>
      <c r="G113" s="20"/>
      <c r="I113" t="s">
        <v>125</v>
      </c>
      <c r="J113" s="20">
        <v>1147500</v>
      </c>
      <c r="K113" s="20"/>
      <c r="M113" t="s">
        <v>125</v>
      </c>
      <c r="N113" s="20">
        <v>605000</v>
      </c>
      <c r="O113" s="20"/>
      <c r="Q113" t="s">
        <v>125</v>
      </c>
      <c r="R113" s="20">
        <v>972000</v>
      </c>
      <c r="S113" s="20"/>
      <c r="U113" t="s">
        <v>125</v>
      </c>
      <c r="V113" s="20">
        <v>225000</v>
      </c>
      <c r="W113" s="20"/>
    </row>
    <row r="114" spans="1:23" x14ac:dyDescent="0.35">
      <c r="A114" t="s">
        <v>124</v>
      </c>
      <c r="B114" s="79">
        <v>294</v>
      </c>
      <c r="C114" s="29">
        <f>B113+B112+B111+B110+B109+B108</f>
        <v>6507900</v>
      </c>
      <c r="E114" t="s">
        <v>124</v>
      </c>
      <c r="F114" s="79">
        <v>274</v>
      </c>
      <c r="G114" s="29">
        <f>F113+F112+F111+F110+F109+F108</f>
        <v>5765800</v>
      </c>
      <c r="I114" t="s">
        <v>124</v>
      </c>
      <c r="J114" s="79">
        <v>298</v>
      </c>
      <c r="K114" s="29">
        <f>J113+J112+J111+J110+J109+J108</f>
        <v>6183300</v>
      </c>
      <c r="M114" t="s">
        <v>124</v>
      </c>
      <c r="N114" s="79">
        <v>295</v>
      </c>
      <c r="O114" s="29">
        <f>N113+N112+N111+N110+N109+N108</f>
        <v>6006300</v>
      </c>
      <c r="Q114" t="s">
        <v>124</v>
      </c>
      <c r="R114" s="79">
        <v>329</v>
      </c>
      <c r="S114" s="29">
        <f>R113+R112+R111+R110+R109+R108</f>
        <v>6235500</v>
      </c>
      <c r="U114" t="s">
        <v>124</v>
      </c>
      <c r="V114" s="79">
        <v>241</v>
      </c>
      <c r="W114" s="29">
        <f>V113+V112+V111+V110+V109+V108</f>
        <v>4326500</v>
      </c>
    </row>
    <row r="117" spans="1:23" x14ac:dyDescent="0.35">
      <c r="C117" s="21">
        <f>B119</f>
        <v>3250000</v>
      </c>
      <c r="G117" s="21">
        <f>F119</f>
        <v>2900000</v>
      </c>
      <c r="K117" s="21">
        <f>J119</f>
        <v>3200000</v>
      </c>
      <c r="O117" s="21">
        <f>N119</f>
        <v>3300000</v>
      </c>
      <c r="S117" s="21">
        <f>R119</f>
        <v>2450000</v>
      </c>
      <c r="W117" s="21">
        <f>V119</f>
        <v>2050000</v>
      </c>
    </row>
    <row r="118" spans="1:23" x14ac:dyDescent="0.35">
      <c r="A118" s="32">
        <v>46076</v>
      </c>
      <c r="B118" s="20"/>
      <c r="C118" s="20"/>
      <c r="E118" s="32">
        <v>46077</v>
      </c>
      <c r="F118" s="20"/>
      <c r="G118" s="20"/>
      <c r="I118" s="32">
        <v>46078</v>
      </c>
      <c r="J118" s="20"/>
      <c r="K118" s="20"/>
      <c r="M118" s="32">
        <v>46079</v>
      </c>
      <c r="N118" s="20"/>
      <c r="O118" s="20"/>
      <c r="Q118" s="32">
        <v>46080</v>
      </c>
      <c r="R118" s="20"/>
      <c r="S118" s="20"/>
      <c r="U118" s="32">
        <v>46081</v>
      </c>
      <c r="V118" s="20"/>
      <c r="W118" s="20"/>
    </row>
    <row r="119" spans="1:23" x14ac:dyDescent="0.35">
      <c r="A119" t="s">
        <v>121</v>
      </c>
      <c r="B119" s="20">
        <v>3250000</v>
      </c>
      <c r="C119" s="20"/>
      <c r="E119" t="s">
        <v>121</v>
      </c>
      <c r="F119" s="20">
        <v>2900000</v>
      </c>
      <c r="G119" s="20"/>
      <c r="I119" t="s">
        <v>121</v>
      </c>
      <c r="J119" s="20">
        <v>3200000</v>
      </c>
      <c r="K119" s="20"/>
      <c r="M119" t="s">
        <v>121</v>
      </c>
      <c r="N119" s="20">
        <v>3300000</v>
      </c>
      <c r="O119" s="20"/>
      <c r="Q119" t="s">
        <v>121</v>
      </c>
      <c r="R119" s="20">
        <v>2450000</v>
      </c>
      <c r="S119" s="20"/>
      <c r="U119" t="s">
        <v>121</v>
      </c>
      <c r="V119" s="20">
        <v>2050000</v>
      </c>
      <c r="W119" s="20"/>
    </row>
    <row r="120" spans="1:23" x14ac:dyDescent="0.35">
      <c r="A120" t="s">
        <v>102</v>
      </c>
      <c r="B120" s="20">
        <v>1426900</v>
      </c>
      <c r="C120" s="20"/>
      <c r="E120" t="s">
        <v>102</v>
      </c>
      <c r="F120" s="20">
        <v>1501175</v>
      </c>
      <c r="G120" s="20"/>
      <c r="I120" t="s">
        <v>102</v>
      </c>
      <c r="J120" s="20">
        <v>1301000</v>
      </c>
      <c r="K120" s="20"/>
      <c r="M120" t="s">
        <v>102</v>
      </c>
      <c r="N120" s="20">
        <v>1343500</v>
      </c>
      <c r="O120" s="20"/>
      <c r="Q120" t="s">
        <v>102</v>
      </c>
      <c r="R120" s="20">
        <v>1311500</v>
      </c>
      <c r="S120" s="20"/>
      <c r="U120" t="s">
        <v>102</v>
      </c>
      <c r="V120" s="20">
        <v>541000</v>
      </c>
      <c r="W120" s="20"/>
    </row>
    <row r="121" spans="1:23" x14ac:dyDescent="0.35">
      <c r="A121" t="s">
        <v>103</v>
      </c>
      <c r="B121" s="20">
        <v>522000</v>
      </c>
      <c r="C121" s="20"/>
      <c r="E121" t="s">
        <v>103</v>
      </c>
      <c r="F121" s="20">
        <v>369000</v>
      </c>
      <c r="G121" s="20"/>
      <c r="I121" t="s">
        <v>103</v>
      </c>
      <c r="J121" s="20">
        <v>303000</v>
      </c>
      <c r="K121" s="20"/>
      <c r="M121" t="s">
        <v>103</v>
      </c>
      <c r="N121" s="20">
        <v>323500</v>
      </c>
      <c r="O121" s="20"/>
      <c r="Q121" t="s">
        <v>103</v>
      </c>
      <c r="R121" s="20">
        <v>262000</v>
      </c>
      <c r="S121" s="20"/>
      <c r="U121" t="s">
        <v>103</v>
      </c>
      <c r="V121" s="20">
        <v>72000</v>
      </c>
      <c r="W121" s="20"/>
    </row>
    <row r="122" spans="1:23" ht="15.5" x14ac:dyDescent="0.35">
      <c r="A122" t="s">
        <v>153</v>
      </c>
      <c r="B122" s="39">
        <v>70000</v>
      </c>
      <c r="C122" s="20"/>
      <c r="E122" t="s">
        <v>153</v>
      </c>
      <c r="F122" s="39">
        <v>799500</v>
      </c>
      <c r="G122" s="20"/>
      <c r="I122" t="s">
        <v>153</v>
      </c>
      <c r="J122" s="39">
        <v>1253500</v>
      </c>
      <c r="K122" s="20"/>
      <c r="M122" t="s">
        <v>153</v>
      </c>
      <c r="N122" s="39">
        <v>1321500</v>
      </c>
      <c r="O122" s="20"/>
      <c r="Q122" t="s">
        <v>153</v>
      </c>
      <c r="R122" s="39">
        <v>860000</v>
      </c>
      <c r="S122" s="20"/>
      <c r="U122" t="s">
        <v>153</v>
      </c>
      <c r="V122" s="39">
        <v>1125500</v>
      </c>
      <c r="W122" s="20"/>
    </row>
    <row r="123" spans="1:23" x14ac:dyDescent="0.35">
      <c r="A123" t="s">
        <v>138</v>
      </c>
      <c r="B123" s="20"/>
      <c r="C123" s="20"/>
      <c r="E123" t="s">
        <v>138</v>
      </c>
      <c r="F123" s="20"/>
      <c r="G123" s="20"/>
      <c r="I123" t="s">
        <v>138</v>
      </c>
      <c r="J123" s="20"/>
      <c r="K123" s="20"/>
      <c r="M123" t="s">
        <v>138</v>
      </c>
      <c r="N123" s="20"/>
      <c r="O123" s="20"/>
      <c r="Q123" t="s">
        <v>138</v>
      </c>
      <c r="R123" s="20"/>
      <c r="S123" s="20"/>
      <c r="U123" t="s">
        <v>138</v>
      </c>
      <c r="V123" s="20"/>
      <c r="W123" s="20"/>
    </row>
    <row r="124" spans="1:23" x14ac:dyDescent="0.35">
      <c r="A124" t="s">
        <v>125</v>
      </c>
      <c r="B124" s="20">
        <v>520000</v>
      </c>
      <c r="C124" s="20"/>
      <c r="E124" t="s">
        <v>125</v>
      </c>
      <c r="F124" s="20">
        <v>515212</v>
      </c>
      <c r="G124" s="20"/>
      <c r="I124" t="s">
        <v>125</v>
      </c>
      <c r="J124" s="20">
        <v>450000</v>
      </c>
      <c r="K124" s="20"/>
      <c r="M124" t="s">
        <v>125</v>
      </c>
      <c r="N124" s="20">
        <v>1145000</v>
      </c>
      <c r="O124" s="20"/>
      <c r="Q124" t="s">
        <v>125</v>
      </c>
      <c r="R124" s="20">
        <v>941000</v>
      </c>
      <c r="S124" s="20"/>
      <c r="U124" t="s">
        <v>125</v>
      </c>
      <c r="V124" s="20">
        <v>447500</v>
      </c>
      <c r="W124" s="20"/>
    </row>
    <row r="125" spans="1:23" x14ac:dyDescent="0.35">
      <c r="A125" t="s">
        <v>124</v>
      </c>
      <c r="B125" s="79">
        <v>290</v>
      </c>
      <c r="C125" s="29">
        <f>B124+B123+B122+B121+B120+B119</f>
        <v>5788900</v>
      </c>
      <c r="E125" t="s">
        <v>124</v>
      </c>
      <c r="F125" s="79">
        <v>298</v>
      </c>
      <c r="G125" s="29">
        <f>F124+F123+F122+F121+F120+F119</f>
        <v>6084887</v>
      </c>
      <c r="I125" t="s">
        <v>124</v>
      </c>
      <c r="J125" s="79">
        <v>355</v>
      </c>
      <c r="K125" s="29">
        <f>J124+J123+J122+J121+J120+J119</f>
        <v>6507500</v>
      </c>
      <c r="M125" t="s">
        <v>124</v>
      </c>
      <c r="N125" s="79">
        <v>402</v>
      </c>
      <c r="O125" s="29">
        <f>N124+N123+N122+N121+N120+N119</f>
        <v>7433500</v>
      </c>
      <c r="Q125" t="s">
        <v>124</v>
      </c>
      <c r="R125" s="79">
        <v>296</v>
      </c>
      <c r="S125" s="29">
        <f>R124+R123+R122+R121+R120+R119</f>
        <v>5824500</v>
      </c>
      <c r="U125" t="s">
        <v>124</v>
      </c>
      <c r="V125" s="79"/>
      <c r="W125" s="29">
        <f>V124+V123+V122+V121+V120+V119</f>
        <v>4236000</v>
      </c>
    </row>
    <row r="129" spans="1:26" x14ac:dyDescent="0.35">
      <c r="C129" s="21">
        <f>B131</f>
        <v>2950000</v>
      </c>
      <c r="G129" s="21">
        <f>F131</f>
        <v>2750000</v>
      </c>
      <c r="K129" s="21">
        <f>J131</f>
        <v>2800000</v>
      </c>
      <c r="O129" s="21">
        <f>N131</f>
        <v>3550000</v>
      </c>
      <c r="S129" s="21">
        <f>R131</f>
        <v>2900000</v>
      </c>
      <c r="W129" s="21">
        <f>V131</f>
        <v>2000000</v>
      </c>
      <c r="Y129" s="21"/>
      <c r="Z129" s="21"/>
    </row>
    <row r="130" spans="1:26" x14ac:dyDescent="0.35">
      <c r="A130" s="32">
        <v>46083</v>
      </c>
      <c r="B130" s="20"/>
      <c r="C130" s="20"/>
      <c r="E130" s="32">
        <v>46084</v>
      </c>
      <c r="F130" s="20"/>
      <c r="G130" s="20"/>
      <c r="I130" s="32">
        <v>46085</v>
      </c>
      <c r="J130" s="20"/>
      <c r="K130" s="20"/>
      <c r="M130" s="32">
        <v>46086</v>
      </c>
      <c r="N130" s="20"/>
      <c r="O130" s="20"/>
      <c r="Q130" s="32">
        <v>46087</v>
      </c>
      <c r="R130" s="20"/>
      <c r="S130" s="20"/>
      <c r="U130" s="32">
        <v>46088</v>
      </c>
      <c r="V130" s="20"/>
      <c r="W130" s="20"/>
    </row>
    <row r="131" spans="1:26" x14ac:dyDescent="0.35">
      <c r="A131" t="s">
        <v>121</v>
      </c>
      <c r="B131" s="20">
        <v>2950000</v>
      </c>
      <c r="C131" s="20"/>
      <c r="E131" t="s">
        <v>121</v>
      </c>
      <c r="F131" s="20">
        <v>2750000</v>
      </c>
      <c r="G131" s="20"/>
      <c r="I131" t="s">
        <v>121</v>
      </c>
      <c r="J131" s="20">
        <v>2800000</v>
      </c>
      <c r="K131" s="20"/>
      <c r="M131" t="s">
        <v>121</v>
      </c>
      <c r="N131" s="20">
        <v>3550000</v>
      </c>
      <c r="O131" s="20"/>
      <c r="Q131" t="s">
        <v>121</v>
      </c>
      <c r="R131" s="20">
        <v>2900000</v>
      </c>
      <c r="S131" s="20"/>
      <c r="U131" t="s">
        <v>121</v>
      </c>
      <c r="V131" s="20">
        <v>2000000</v>
      </c>
      <c r="W131" s="20"/>
    </row>
    <row r="132" spans="1:26" x14ac:dyDescent="0.35">
      <c r="A132" t="s">
        <v>102</v>
      </c>
      <c r="B132" s="20">
        <v>1195500</v>
      </c>
      <c r="C132" s="20"/>
      <c r="E132" t="s">
        <v>102</v>
      </c>
      <c r="F132" s="20">
        <v>1318000</v>
      </c>
      <c r="G132" s="20"/>
      <c r="I132" t="s">
        <v>102</v>
      </c>
      <c r="J132" s="20">
        <v>1295500</v>
      </c>
      <c r="K132" s="20"/>
      <c r="M132" t="s">
        <v>102</v>
      </c>
      <c r="N132" s="20">
        <v>1081000</v>
      </c>
      <c r="O132" s="20"/>
      <c r="Q132" t="s">
        <v>102</v>
      </c>
      <c r="R132" s="20">
        <v>1997500</v>
      </c>
      <c r="S132" s="20"/>
      <c r="U132" t="s">
        <v>102</v>
      </c>
      <c r="V132" s="20">
        <v>646500</v>
      </c>
      <c r="W132" s="20"/>
    </row>
    <row r="133" spans="1:26" x14ac:dyDescent="0.35">
      <c r="A133" t="s">
        <v>103</v>
      </c>
      <c r="B133" s="20">
        <v>476500</v>
      </c>
      <c r="C133" s="20"/>
      <c r="E133" t="s">
        <v>103</v>
      </c>
      <c r="F133" s="20">
        <v>287000</v>
      </c>
      <c r="G133" s="20"/>
      <c r="I133" t="s">
        <v>103</v>
      </c>
      <c r="J133" s="20">
        <v>256500</v>
      </c>
      <c r="K133" s="20"/>
      <c r="M133" t="s">
        <v>103</v>
      </c>
      <c r="N133" s="20">
        <v>505500</v>
      </c>
      <c r="O133" s="20"/>
      <c r="Q133" t="s">
        <v>103</v>
      </c>
      <c r="R133" s="20">
        <v>477000</v>
      </c>
      <c r="S133" s="20"/>
      <c r="U133" t="s">
        <v>103</v>
      </c>
      <c r="V133" s="20">
        <v>457500</v>
      </c>
      <c r="W133" s="20"/>
    </row>
    <row r="134" spans="1:26" ht="15.5" x14ac:dyDescent="0.35">
      <c r="A134" t="s">
        <v>153</v>
      </c>
      <c r="B134" s="39">
        <v>996500</v>
      </c>
      <c r="C134" s="20"/>
      <c r="E134" t="s">
        <v>153</v>
      </c>
      <c r="F134" s="39">
        <v>1013000</v>
      </c>
      <c r="G134" s="20"/>
      <c r="I134" t="s">
        <v>153</v>
      </c>
      <c r="J134" s="39">
        <v>996000</v>
      </c>
      <c r="K134" s="20"/>
      <c r="M134" t="s">
        <v>153</v>
      </c>
      <c r="N134" s="39">
        <v>1173800</v>
      </c>
      <c r="O134" s="20"/>
      <c r="Q134" t="s">
        <v>153</v>
      </c>
      <c r="R134" s="39">
        <v>1211200</v>
      </c>
      <c r="S134" s="20"/>
      <c r="U134" t="s">
        <v>153</v>
      </c>
      <c r="V134" s="39">
        <v>929500</v>
      </c>
      <c r="W134" s="20"/>
    </row>
    <row r="135" spans="1:26" x14ac:dyDescent="0.35">
      <c r="A135" t="s">
        <v>138</v>
      </c>
      <c r="B135" s="20"/>
      <c r="C135" s="20"/>
      <c r="E135" t="s">
        <v>138</v>
      </c>
      <c r="F135" s="20"/>
      <c r="G135" s="20"/>
      <c r="I135" t="s">
        <v>138</v>
      </c>
      <c r="J135" s="20"/>
      <c r="K135" s="20"/>
      <c r="M135" t="s">
        <v>138</v>
      </c>
      <c r="N135" s="20"/>
      <c r="O135" s="20"/>
      <c r="Q135" t="s">
        <v>138</v>
      </c>
      <c r="R135" s="20"/>
      <c r="S135" s="20"/>
      <c r="U135" t="s">
        <v>138</v>
      </c>
      <c r="V135" s="20"/>
      <c r="W135" s="20"/>
    </row>
    <row r="136" spans="1:26" x14ac:dyDescent="0.35">
      <c r="A136" t="s">
        <v>125</v>
      </c>
      <c r="B136" s="20">
        <v>751000</v>
      </c>
      <c r="C136" s="20"/>
      <c r="E136" t="s">
        <v>125</v>
      </c>
      <c r="F136" s="20">
        <v>756000</v>
      </c>
      <c r="G136" s="20"/>
      <c r="I136" t="s">
        <v>125</v>
      </c>
      <c r="J136" s="20">
        <v>605000</v>
      </c>
      <c r="K136" s="20"/>
      <c r="M136" t="s">
        <v>125</v>
      </c>
      <c r="N136" s="20">
        <v>553800</v>
      </c>
      <c r="O136" s="20"/>
      <c r="Q136" t="s">
        <v>125</v>
      </c>
      <c r="R136" s="20">
        <v>1101000</v>
      </c>
      <c r="S136" s="20"/>
      <c r="U136" t="s">
        <v>125</v>
      </c>
      <c r="V136" s="20">
        <v>476000</v>
      </c>
      <c r="W136" s="20"/>
    </row>
    <row r="137" spans="1:26" x14ac:dyDescent="0.35">
      <c r="A137" t="s">
        <v>124</v>
      </c>
      <c r="B137" s="79">
        <v>348</v>
      </c>
      <c r="C137" s="29">
        <f>B136+B135+B134+B133+B132+B131</f>
        <v>6369500</v>
      </c>
      <c r="E137" t="s">
        <v>124</v>
      </c>
      <c r="F137" s="79">
        <v>312</v>
      </c>
      <c r="G137" s="29">
        <f>F136+F135+F134+F133+F132+F131</f>
        <v>6124000</v>
      </c>
      <c r="I137" t="s">
        <v>124</v>
      </c>
      <c r="J137" s="79">
        <v>321</v>
      </c>
      <c r="K137" s="29">
        <f>J136+J135+J134+J133+J132+J131</f>
        <v>5953000</v>
      </c>
      <c r="M137" t="s">
        <v>124</v>
      </c>
      <c r="N137" s="79">
        <v>363</v>
      </c>
      <c r="O137" s="29">
        <f>N136+N135+N134+N133+N132+N131</f>
        <v>6864100</v>
      </c>
      <c r="Q137" t="s">
        <v>124</v>
      </c>
      <c r="R137" s="79">
        <v>365</v>
      </c>
      <c r="S137" s="29">
        <f>R136+R135+R134+R133+R132+R131</f>
        <v>7686700</v>
      </c>
      <c r="U137" t="s">
        <v>124</v>
      </c>
      <c r="V137" s="79">
        <v>227</v>
      </c>
      <c r="W137" s="29">
        <f>V136+V135+V134+V133+V132+V131</f>
        <v>4509500</v>
      </c>
    </row>
    <row r="138" spans="1:26" x14ac:dyDescent="0.35">
      <c r="B138" s="21">
        <f>B131+B136</f>
        <v>3701000</v>
      </c>
    </row>
    <row r="140" spans="1:26" x14ac:dyDescent="0.35">
      <c r="C140" s="21">
        <f>B142</f>
        <v>2650000</v>
      </c>
      <c r="G140" s="21">
        <f>F142</f>
        <v>3200000</v>
      </c>
      <c r="K140" s="21">
        <f>J142</f>
        <v>3400000</v>
      </c>
      <c r="O140" s="21">
        <f>N142</f>
        <v>3150000</v>
      </c>
      <c r="S140" s="21">
        <f>R142</f>
        <v>2900000</v>
      </c>
      <c r="W140" s="21">
        <f>V142</f>
        <v>1750000</v>
      </c>
    </row>
    <row r="141" spans="1:26" x14ac:dyDescent="0.35">
      <c r="A141" s="32">
        <v>46090</v>
      </c>
      <c r="B141" s="20"/>
      <c r="C141" s="20"/>
      <c r="E141" s="32">
        <v>46091</v>
      </c>
      <c r="F141" s="20"/>
      <c r="G141" s="20"/>
      <c r="I141" s="32">
        <v>46092</v>
      </c>
      <c r="J141" s="20"/>
      <c r="K141" s="20"/>
      <c r="M141" s="32">
        <v>46093</v>
      </c>
      <c r="N141" s="20"/>
      <c r="O141" s="20"/>
      <c r="Q141" s="32">
        <v>46094</v>
      </c>
      <c r="R141" s="20"/>
      <c r="S141" s="20"/>
      <c r="U141" s="32">
        <v>46095</v>
      </c>
      <c r="V141" s="20"/>
      <c r="W141" s="20"/>
    </row>
    <row r="142" spans="1:26" x14ac:dyDescent="0.35">
      <c r="A142" t="s">
        <v>121</v>
      </c>
      <c r="B142" s="20">
        <v>2650000</v>
      </c>
      <c r="C142" s="20"/>
      <c r="E142" t="s">
        <v>121</v>
      </c>
      <c r="F142" s="20">
        <v>3200000</v>
      </c>
      <c r="G142" s="20"/>
      <c r="I142" t="s">
        <v>121</v>
      </c>
      <c r="J142" s="20">
        <v>3400000</v>
      </c>
      <c r="K142" s="20"/>
      <c r="M142" t="s">
        <v>121</v>
      </c>
      <c r="N142" s="20">
        <v>3150000</v>
      </c>
      <c r="O142" s="20"/>
      <c r="Q142" t="s">
        <v>121</v>
      </c>
      <c r="R142" s="20">
        <v>2900000</v>
      </c>
      <c r="S142" s="20"/>
      <c r="U142" t="s">
        <v>121</v>
      </c>
      <c r="V142" s="20">
        <v>1750000</v>
      </c>
      <c r="W142" s="20"/>
    </row>
    <row r="143" spans="1:26" x14ac:dyDescent="0.35">
      <c r="A143" t="s">
        <v>102</v>
      </c>
      <c r="B143" s="20">
        <v>1585768</v>
      </c>
      <c r="C143" s="20"/>
      <c r="E143" t="s">
        <v>102</v>
      </c>
      <c r="F143" s="20">
        <v>1070800</v>
      </c>
      <c r="G143" s="20"/>
      <c r="I143" t="s">
        <v>102</v>
      </c>
      <c r="J143" s="20">
        <v>1066500</v>
      </c>
      <c r="K143" s="20"/>
      <c r="M143" t="s">
        <v>102</v>
      </c>
      <c r="N143" s="20">
        <v>1124500</v>
      </c>
      <c r="O143" s="20"/>
      <c r="Q143" t="s">
        <v>102</v>
      </c>
      <c r="R143" s="20">
        <v>1256000</v>
      </c>
      <c r="S143" s="20"/>
      <c r="U143" t="s">
        <v>102</v>
      </c>
      <c r="V143" s="20">
        <v>930000</v>
      </c>
      <c r="W143" s="20"/>
    </row>
    <row r="144" spans="1:26" x14ac:dyDescent="0.35">
      <c r="A144" t="s">
        <v>103</v>
      </c>
      <c r="B144" s="20">
        <v>311500</v>
      </c>
      <c r="C144" s="20"/>
      <c r="E144" t="s">
        <v>103</v>
      </c>
      <c r="F144" s="20">
        <v>657000</v>
      </c>
      <c r="G144" s="20"/>
      <c r="I144" t="s">
        <v>103</v>
      </c>
      <c r="J144" s="20">
        <v>315500</v>
      </c>
      <c r="K144" s="20"/>
      <c r="M144" t="s">
        <v>103</v>
      </c>
      <c r="N144" s="20">
        <v>428500</v>
      </c>
      <c r="O144" s="20"/>
      <c r="Q144" t="s">
        <v>103</v>
      </c>
      <c r="R144" s="20">
        <v>517000</v>
      </c>
      <c r="S144" s="20"/>
      <c r="U144" t="s">
        <v>103</v>
      </c>
      <c r="V144" s="20">
        <v>277000</v>
      </c>
      <c r="W144" s="20"/>
    </row>
    <row r="145" spans="1:23" ht="15.5" x14ac:dyDescent="0.35">
      <c r="A145" t="s">
        <v>153</v>
      </c>
      <c r="B145" s="39">
        <v>1096800</v>
      </c>
      <c r="C145" s="20"/>
      <c r="E145" t="s">
        <v>153</v>
      </c>
      <c r="F145" s="39">
        <v>1239000</v>
      </c>
      <c r="G145" s="20"/>
      <c r="I145" t="s">
        <v>153</v>
      </c>
      <c r="J145" s="39">
        <v>1148000</v>
      </c>
      <c r="K145" s="20"/>
      <c r="M145" t="s">
        <v>153</v>
      </c>
      <c r="N145" s="39">
        <v>1114000</v>
      </c>
      <c r="O145" s="20"/>
      <c r="Q145" t="s">
        <v>153</v>
      </c>
      <c r="R145" s="39">
        <v>1149000</v>
      </c>
      <c r="S145" s="20"/>
      <c r="U145" t="s">
        <v>153</v>
      </c>
      <c r="V145" s="39">
        <v>645500</v>
      </c>
      <c r="W145" s="20"/>
    </row>
    <row r="146" spans="1:23" x14ac:dyDescent="0.35">
      <c r="A146" t="s">
        <v>138</v>
      </c>
      <c r="B146" s="20"/>
      <c r="C146" s="20"/>
      <c r="E146" t="s">
        <v>138</v>
      </c>
      <c r="F146" s="20"/>
      <c r="G146" s="20"/>
      <c r="I146" t="s">
        <v>138</v>
      </c>
      <c r="J146" s="20"/>
      <c r="K146" s="20"/>
      <c r="M146" t="s">
        <v>138</v>
      </c>
      <c r="N146" s="20"/>
      <c r="O146" s="20"/>
      <c r="Q146" t="s">
        <v>138</v>
      </c>
      <c r="R146" s="20"/>
      <c r="S146" s="20"/>
      <c r="U146" t="s">
        <v>138</v>
      </c>
      <c r="V146" s="20"/>
      <c r="W146" s="20"/>
    </row>
    <row r="147" spans="1:23" x14ac:dyDescent="0.35">
      <c r="A147" t="s">
        <v>125</v>
      </c>
      <c r="B147" s="20">
        <v>1252000</v>
      </c>
      <c r="C147" s="20"/>
      <c r="E147" t="s">
        <v>125</v>
      </c>
      <c r="F147" s="20">
        <v>440000</v>
      </c>
      <c r="G147" s="20"/>
      <c r="I147" t="s">
        <v>125</v>
      </c>
      <c r="J147" s="20">
        <v>690000</v>
      </c>
      <c r="K147" s="20"/>
      <c r="M147" t="s">
        <v>125</v>
      </c>
      <c r="N147" s="20">
        <v>907500</v>
      </c>
      <c r="O147" s="20"/>
      <c r="Q147" t="s">
        <v>125</v>
      </c>
      <c r="R147" s="20">
        <v>1018676</v>
      </c>
      <c r="S147" s="20"/>
      <c r="U147" t="s">
        <v>125</v>
      </c>
      <c r="V147" s="20">
        <v>468000</v>
      </c>
      <c r="W147" s="20"/>
    </row>
    <row r="148" spans="1:23" x14ac:dyDescent="0.35">
      <c r="A148" t="s">
        <v>124</v>
      </c>
      <c r="B148" s="79">
        <v>336</v>
      </c>
      <c r="C148" s="29">
        <f>B147+B146+B145+B144+B143+B142</f>
        <v>6896068</v>
      </c>
      <c r="E148" t="s">
        <v>124</v>
      </c>
      <c r="F148" s="79"/>
      <c r="G148" s="29">
        <f>F147+F146+F145+F144+F143+F142</f>
        <v>6606800</v>
      </c>
      <c r="I148" t="s">
        <v>124</v>
      </c>
      <c r="J148" s="79">
        <v>321</v>
      </c>
      <c r="K148" s="29">
        <f>J147+J146+J145+J144+J143+J142</f>
        <v>6620000</v>
      </c>
      <c r="M148" t="s">
        <v>124</v>
      </c>
      <c r="N148" s="79">
        <v>331</v>
      </c>
      <c r="O148" s="29">
        <f>N147+N146+N145+N144+N143+N142</f>
        <v>6724500</v>
      </c>
      <c r="Q148" t="s">
        <v>124</v>
      </c>
      <c r="R148" s="79">
        <v>335</v>
      </c>
      <c r="S148" s="29">
        <f>R147+R146+R145+R144+R143+R142</f>
        <v>6840676</v>
      </c>
      <c r="U148" t="s">
        <v>124</v>
      </c>
      <c r="V148" s="79"/>
      <c r="W148" s="29">
        <f>V147+V146+V145+V144+V143+V142</f>
        <v>4070500</v>
      </c>
    </row>
    <row r="149" spans="1:23" x14ac:dyDescent="0.35">
      <c r="B149" s="21"/>
      <c r="J149" s="21"/>
      <c r="N149" s="21"/>
      <c r="R149" s="21"/>
      <c r="V149" s="21"/>
    </row>
    <row r="151" spans="1:23" x14ac:dyDescent="0.35">
      <c r="C151" s="21">
        <f>B153</f>
        <v>3550000</v>
      </c>
      <c r="G151" s="21">
        <f>F153</f>
        <v>3000000</v>
      </c>
      <c r="K151" s="21">
        <f>J153</f>
        <v>2650000</v>
      </c>
      <c r="O151" s="21">
        <f>N153</f>
        <v>3300000</v>
      </c>
      <c r="S151" s="21">
        <f>R153</f>
        <v>2750000</v>
      </c>
      <c r="W151" s="21">
        <f>V153</f>
        <v>2650000</v>
      </c>
    </row>
    <row r="152" spans="1:23" x14ac:dyDescent="0.35">
      <c r="A152" s="32">
        <v>46097</v>
      </c>
      <c r="B152" s="20"/>
      <c r="C152" s="20"/>
      <c r="E152" s="32">
        <v>46098</v>
      </c>
      <c r="F152" s="20"/>
      <c r="G152" s="20"/>
      <c r="I152" s="32">
        <v>46099</v>
      </c>
      <c r="J152" s="20"/>
      <c r="K152" s="20"/>
      <c r="M152" s="32">
        <v>46100</v>
      </c>
      <c r="N152" s="20"/>
      <c r="O152" s="20"/>
      <c r="Q152" s="32">
        <v>46101</v>
      </c>
      <c r="R152" s="20"/>
      <c r="S152" s="20"/>
      <c r="U152" s="32">
        <v>46102</v>
      </c>
      <c r="V152" s="20"/>
      <c r="W152" s="20"/>
    </row>
    <row r="153" spans="1:23" x14ac:dyDescent="0.35">
      <c r="A153" t="s">
        <v>121</v>
      </c>
      <c r="B153" s="20">
        <v>3550000</v>
      </c>
      <c r="C153" s="20"/>
      <c r="E153" t="s">
        <v>121</v>
      </c>
      <c r="F153" s="20">
        <v>3000000</v>
      </c>
      <c r="G153" s="20"/>
      <c r="I153" t="s">
        <v>121</v>
      </c>
      <c r="J153" s="20">
        <v>2650000</v>
      </c>
      <c r="K153" s="20"/>
      <c r="M153" t="s">
        <v>121</v>
      </c>
      <c r="N153" s="20">
        <v>3300000</v>
      </c>
      <c r="O153" s="20"/>
      <c r="Q153" t="s">
        <v>121</v>
      </c>
      <c r="R153" s="20">
        <v>2750000</v>
      </c>
      <c r="S153" s="20"/>
      <c r="U153" t="s">
        <v>121</v>
      </c>
      <c r="V153" s="20">
        <v>2650000</v>
      </c>
      <c r="W153" s="20"/>
    </row>
    <row r="154" spans="1:23" x14ac:dyDescent="0.35">
      <c r="A154" t="s">
        <v>102</v>
      </c>
      <c r="B154" s="20">
        <v>1394000</v>
      </c>
      <c r="C154" s="20"/>
      <c r="E154" t="s">
        <v>102</v>
      </c>
      <c r="F154" s="20">
        <v>1824500</v>
      </c>
      <c r="G154" s="20"/>
      <c r="I154" t="s">
        <v>102</v>
      </c>
      <c r="J154" s="20">
        <v>1595500</v>
      </c>
      <c r="K154" s="20"/>
      <c r="M154" t="s">
        <v>102</v>
      </c>
      <c r="N154" s="20">
        <v>1855300</v>
      </c>
      <c r="O154" s="20"/>
      <c r="Q154" t="s">
        <v>102</v>
      </c>
      <c r="R154" s="20">
        <v>1156500</v>
      </c>
      <c r="S154" s="20"/>
      <c r="U154" t="s">
        <v>102</v>
      </c>
      <c r="V154" s="20">
        <v>742000</v>
      </c>
      <c r="W154" s="20"/>
    </row>
    <row r="155" spans="1:23" x14ac:dyDescent="0.35">
      <c r="A155" t="s">
        <v>103</v>
      </c>
      <c r="B155" s="20">
        <v>402000</v>
      </c>
      <c r="C155" s="20"/>
      <c r="E155" t="s">
        <v>103</v>
      </c>
      <c r="F155" s="20">
        <v>335000</v>
      </c>
      <c r="G155" s="20"/>
      <c r="I155" t="s">
        <v>103</v>
      </c>
      <c r="J155" s="20">
        <v>161000</v>
      </c>
      <c r="K155" s="20"/>
      <c r="M155" t="s">
        <v>103</v>
      </c>
      <c r="N155" s="20">
        <v>320000</v>
      </c>
      <c r="O155" s="20"/>
      <c r="Q155" t="s">
        <v>103</v>
      </c>
      <c r="R155" s="20">
        <v>422500</v>
      </c>
      <c r="S155" s="20"/>
      <c r="U155" t="s">
        <v>103</v>
      </c>
      <c r="V155" s="20">
        <v>143500</v>
      </c>
      <c r="W155" s="20"/>
    </row>
    <row r="156" spans="1:23" ht="15.5" x14ac:dyDescent="0.35">
      <c r="A156" t="s">
        <v>153</v>
      </c>
      <c r="B156" s="39">
        <v>1049500</v>
      </c>
      <c r="C156" s="20"/>
      <c r="E156" t="s">
        <v>153</v>
      </c>
      <c r="F156" s="39">
        <v>860000</v>
      </c>
      <c r="G156" s="20"/>
      <c r="I156" t="s">
        <v>153</v>
      </c>
      <c r="J156" s="39">
        <v>1441800</v>
      </c>
      <c r="K156" s="20"/>
      <c r="M156" t="s">
        <v>153</v>
      </c>
      <c r="N156" s="39">
        <v>1052500</v>
      </c>
      <c r="O156" s="20"/>
      <c r="Q156" t="s">
        <v>153</v>
      </c>
      <c r="R156" s="39">
        <v>1054300</v>
      </c>
      <c r="S156" s="20"/>
      <c r="U156" t="s">
        <v>153</v>
      </c>
      <c r="V156" s="39">
        <v>763800</v>
      </c>
      <c r="W156" s="20"/>
    </row>
    <row r="157" spans="1:23" x14ac:dyDescent="0.35">
      <c r="A157" t="s">
        <v>138</v>
      </c>
      <c r="B157" s="20"/>
      <c r="C157" s="20"/>
      <c r="E157" t="s">
        <v>138</v>
      </c>
      <c r="F157" s="20"/>
      <c r="G157" s="20"/>
      <c r="I157" t="s">
        <v>138</v>
      </c>
      <c r="J157" s="20"/>
      <c r="K157" s="20"/>
      <c r="M157" t="s">
        <v>138</v>
      </c>
      <c r="N157" s="20"/>
      <c r="O157" s="20"/>
      <c r="Q157" t="s">
        <v>138</v>
      </c>
      <c r="R157" s="20"/>
      <c r="S157" s="20"/>
      <c r="U157" t="s">
        <v>138</v>
      </c>
      <c r="V157" s="20" t="s">
        <v>63</v>
      </c>
      <c r="W157" s="20"/>
    </row>
    <row r="158" spans="1:23" x14ac:dyDescent="0.35">
      <c r="A158" t="s">
        <v>125</v>
      </c>
      <c r="B158" s="20">
        <v>861000</v>
      </c>
      <c r="C158" s="20"/>
      <c r="E158" t="s">
        <v>125</v>
      </c>
      <c r="F158" s="20">
        <v>826009</v>
      </c>
      <c r="G158" s="20"/>
      <c r="I158" t="s">
        <v>125</v>
      </c>
      <c r="J158" s="20">
        <v>832000</v>
      </c>
      <c r="K158" s="20"/>
      <c r="M158" t="s">
        <v>125</v>
      </c>
      <c r="N158" s="20">
        <v>886000</v>
      </c>
      <c r="O158" s="20"/>
      <c r="Q158" t="s">
        <v>125</v>
      </c>
      <c r="R158" s="20">
        <v>975000</v>
      </c>
      <c r="S158" s="20"/>
      <c r="U158" t="s">
        <v>125</v>
      </c>
      <c r="V158" s="20">
        <v>540000</v>
      </c>
      <c r="W158" s="20"/>
    </row>
    <row r="159" spans="1:23" x14ac:dyDescent="0.35">
      <c r="A159" t="s">
        <v>124</v>
      </c>
      <c r="B159" s="79">
        <v>394</v>
      </c>
      <c r="C159" s="29">
        <f>B158+B157+B156+B155+B154+B153</f>
        <v>7256500</v>
      </c>
      <c r="E159" t="s">
        <v>124</v>
      </c>
      <c r="F159" s="79">
        <v>370</v>
      </c>
      <c r="G159" s="29">
        <f>F158+F157+F156+F155+F154+F153</f>
        <v>6845509</v>
      </c>
      <c r="I159" t="s">
        <v>124</v>
      </c>
      <c r="J159" s="79">
        <v>363</v>
      </c>
      <c r="K159" s="29">
        <f>J158+J157+J156+J155+J154+J153</f>
        <v>6680300</v>
      </c>
      <c r="M159" t="s">
        <v>124</v>
      </c>
      <c r="N159" s="79">
        <v>404</v>
      </c>
      <c r="O159" s="29">
        <f>N158+N157+N156+N155+N154+N153</f>
        <v>7413800</v>
      </c>
      <c r="Q159" t="s">
        <v>124</v>
      </c>
      <c r="R159" s="79">
        <v>345</v>
      </c>
      <c r="S159" s="29">
        <f>R158+R157+R156+R155+R154+R153</f>
        <v>6358300</v>
      </c>
      <c r="U159" t="s">
        <v>124</v>
      </c>
      <c r="V159" s="79">
        <v>238</v>
      </c>
      <c r="W159" s="29">
        <f>V153+V154+V156+V158</f>
        <v>4695800</v>
      </c>
    </row>
    <row r="160" spans="1:23" x14ac:dyDescent="0.35">
      <c r="B160" s="21"/>
      <c r="F160" s="21"/>
      <c r="J160" s="21"/>
      <c r="N160" s="21"/>
      <c r="R160" s="21"/>
      <c r="V160" s="21"/>
    </row>
    <row r="162" spans="1:23" x14ac:dyDescent="0.35">
      <c r="C162" s="21">
        <f>B164</f>
        <v>2535000</v>
      </c>
      <c r="G162" s="21">
        <f>F164</f>
        <v>3250000</v>
      </c>
      <c r="K162" s="21">
        <f>J164</f>
        <v>2450000</v>
      </c>
      <c r="O162" s="21">
        <f>N164</f>
        <v>3150000</v>
      </c>
      <c r="S162" s="21">
        <f>R164</f>
        <v>1650000</v>
      </c>
      <c r="W162" s="21"/>
    </row>
    <row r="163" spans="1:23" x14ac:dyDescent="0.35">
      <c r="A163" s="32">
        <v>46105</v>
      </c>
      <c r="B163" s="20"/>
      <c r="C163" s="20"/>
      <c r="E163" s="32">
        <v>46106</v>
      </c>
      <c r="F163" s="20"/>
      <c r="G163" s="20"/>
      <c r="I163" s="32">
        <v>46107</v>
      </c>
      <c r="J163" s="20"/>
      <c r="K163" s="20"/>
      <c r="M163" s="32">
        <v>46108</v>
      </c>
      <c r="N163" s="20"/>
      <c r="O163" s="20"/>
      <c r="Q163" s="32">
        <v>46109</v>
      </c>
      <c r="R163" s="20"/>
      <c r="S163" s="20"/>
      <c r="U163" s="32"/>
      <c r="V163" s="20"/>
      <c r="W163" s="20"/>
    </row>
    <row r="164" spans="1:23" x14ac:dyDescent="0.35">
      <c r="A164" t="s">
        <v>121</v>
      </c>
      <c r="B164" s="20">
        <v>2535000</v>
      </c>
      <c r="C164" s="20"/>
      <c r="E164" t="s">
        <v>121</v>
      </c>
      <c r="F164" s="20">
        <v>3250000</v>
      </c>
      <c r="G164" s="20"/>
      <c r="I164" t="s">
        <v>121</v>
      </c>
      <c r="J164" s="20">
        <v>2450000</v>
      </c>
      <c r="K164" s="20"/>
      <c r="M164" t="s">
        <v>121</v>
      </c>
      <c r="N164" s="20">
        <v>3150000</v>
      </c>
      <c r="O164" s="20"/>
      <c r="Q164" t="s">
        <v>121</v>
      </c>
      <c r="R164" s="20">
        <v>1650000</v>
      </c>
      <c r="S164" s="20"/>
      <c r="V164" s="20"/>
      <c r="W164" s="20"/>
    </row>
    <row r="165" spans="1:23" x14ac:dyDescent="0.35">
      <c r="A165" t="s">
        <v>102</v>
      </c>
      <c r="B165" s="20">
        <v>970000</v>
      </c>
      <c r="C165" s="20"/>
      <c r="E165" t="s">
        <v>102</v>
      </c>
      <c r="F165" s="20">
        <v>1123000</v>
      </c>
      <c r="G165" s="20"/>
      <c r="I165" t="s">
        <v>102</v>
      </c>
      <c r="J165" s="20">
        <v>1640300</v>
      </c>
      <c r="K165" s="20"/>
      <c r="M165" t="s">
        <v>102</v>
      </c>
      <c r="N165" s="20">
        <v>1788800</v>
      </c>
      <c r="O165" s="20"/>
      <c r="Q165" t="s">
        <v>102</v>
      </c>
      <c r="R165" s="20">
        <v>1276500</v>
      </c>
      <c r="S165" s="20"/>
      <c r="V165" s="20"/>
      <c r="W165" s="20"/>
    </row>
    <row r="166" spans="1:23" x14ac:dyDescent="0.35">
      <c r="A166" t="s">
        <v>103</v>
      </c>
      <c r="B166" s="20">
        <v>261500</v>
      </c>
      <c r="C166" s="20"/>
      <c r="E166" t="s">
        <v>103</v>
      </c>
      <c r="F166" s="20">
        <v>221000</v>
      </c>
      <c r="G166" s="20"/>
      <c r="I166" t="s">
        <v>103</v>
      </c>
      <c r="J166" s="20">
        <v>596500</v>
      </c>
      <c r="K166" s="20"/>
      <c r="M166" t="s">
        <v>103</v>
      </c>
      <c r="N166" s="20">
        <v>445000</v>
      </c>
      <c r="O166" s="20"/>
      <c r="Q166" t="s">
        <v>103</v>
      </c>
      <c r="R166" s="20">
        <v>303000</v>
      </c>
      <c r="S166" s="20"/>
      <c r="V166" s="20"/>
      <c r="W166" s="20"/>
    </row>
    <row r="167" spans="1:23" ht="15.5" x14ac:dyDescent="0.35">
      <c r="A167" t="s">
        <v>153</v>
      </c>
      <c r="B167" s="39">
        <v>1310800</v>
      </c>
      <c r="C167" s="20"/>
      <c r="E167" t="s">
        <v>153</v>
      </c>
      <c r="F167" s="39">
        <v>1254000</v>
      </c>
      <c r="G167" s="20"/>
      <c r="I167" t="s">
        <v>153</v>
      </c>
      <c r="J167" s="39">
        <v>1150200</v>
      </c>
      <c r="K167" s="20"/>
      <c r="M167" t="s">
        <v>153</v>
      </c>
      <c r="N167" s="39">
        <v>1196500</v>
      </c>
      <c r="O167" s="20"/>
      <c r="Q167" t="s">
        <v>153</v>
      </c>
      <c r="R167" s="39">
        <v>661500</v>
      </c>
      <c r="S167" s="20"/>
      <c r="V167" s="39"/>
      <c r="W167" s="20"/>
    </row>
    <row r="168" spans="1:23" x14ac:dyDescent="0.35">
      <c r="A168" t="s">
        <v>138</v>
      </c>
      <c r="B168" s="20"/>
      <c r="C168" s="20"/>
      <c r="E168" t="s">
        <v>138</v>
      </c>
      <c r="F168" s="20"/>
      <c r="G168" s="20"/>
      <c r="I168" t="s">
        <v>138</v>
      </c>
      <c r="J168" s="20"/>
      <c r="K168" s="20"/>
      <c r="M168" t="s">
        <v>138</v>
      </c>
      <c r="N168" s="20"/>
      <c r="O168" s="20"/>
      <c r="Q168" t="s">
        <v>138</v>
      </c>
      <c r="R168" s="20"/>
      <c r="S168" s="20"/>
      <c r="V168" s="20"/>
      <c r="W168" s="20"/>
    </row>
    <row r="169" spans="1:23" x14ac:dyDescent="0.35">
      <c r="A169" t="s">
        <v>125</v>
      </c>
      <c r="B169" s="20">
        <v>876000</v>
      </c>
      <c r="C169" s="20"/>
      <c r="E169" t="s">
        <v>125</v>
      </c>
      <c r="F169" s="20">
        <v>710000</v>
      </c>
      <c r="G169" s="20"/>
      <c r="I169" t="s">
        <v>125</v>
      </c>
      <c r="J169" s="20">
        <v>475000</v>
      </c>
      <c r="K169" s="20"/>
      <c r="M169" t="s">
        <v>125</v>
      </c>
      <c r="N169" s="20">
        <v>1132130</v>
      </c>
      <c r="O169" s="20"/>
      <c r="Q169" t="s">
        <v>125</v>
      </c>
      <c r="R169" s="20">
        <v>432500</v>
      </c>
      <c r="S169" s="20"/>
      <c r="V169" s="20"/>
      <c r="W169" s="20"/>
    </row>
    <row r="170" spans="1:23" x14ac:dyDescent="0.35">
      <c r="A170" t="s">
        <v>124</v>
      </c>
      <c r="B170" s="79">
        <v>316</v>
      </c>
      <c r="C170" s="29">
        <f>B169+B168+B167+B166+B165+B164</f>
        <v>5953300</v>
      </c>
      <c r="E170" t="s">
        <v>124</v>
      </c>
      <c r="F170" s="79">
        <v>325</v>
      </c>
      <c r="G170" s="29">
        <f>F169+F168+F167+F166+F165+F164</f>
        <v>6558000</v>
      </c>
      <c r="I170" t="s">
        <v>124</v>
      </c>
      <c r="J170" s="79">
        <v>331</v>
      </c>
      <c r="K170" s="29">
        <f>J169+J168+J167+J166+J165+J164</f>
        <v>6312000</v>
      </c>
      <c r="M170" t="s">
        <v>124</v>
      </c>
      <c r="N170" s="79">
        <v>378</v>
      </c>
      <c r="O170" s="29">
        <f>N169+N168+N167+N166+N165+N164</f>
        <v>7712430</v>
      </c>
      <c r="Q170" t="s">
        <v>124</v>
      </c>
      <c r="R170" s="79">
        <v>220</v>
      </c>
      <c r="S170" s="29">
        <f>R169+R168+R167+R166+R165+R164</f>
        <v>4323500</v>
      </c>
      <c r="V170" s="79"/>
      <c r="W170" s="29"/>
    </row>
    <row r="171" spans="1:23" x14ac:dyDescent="0.35">
      <c r="B171" s="21"/>
      <c r="F171" s="21"/>
      <c r="J171" s="21"/>
      <c r="N171" s="21"/>
      <c r="R171" s="21"/>
    </row>
    <row r="173" spans="1:23" x14ac:dyDescent="0.35">
      <c r="C173" s="21">
        <f>B175</f>
        <v>3550000</v>
      </c>
      <c r="G173" s="21">
        <f>F175</f>
        <v>2330000</v>
      </c>
    </row>
    <row r="174" spans="1:23" x14ac:dyDescent="0.35">
      <c r="A174" s="32">
        <v>46111</v>
      </c>
      <c r="B174" s="20"/>
      <c r="C174" s="20"/>
      <c r="E174" s="32">
        <v>46112</v>
      </c>
      <c r="F174" s="20"/>
      <c r="G174" s="20"/>
    </row>
    <row r="175" spans="1:23" x14ac:dyDescent="0.35">
      <c r="A175" t="s">
        <v>121</v>
      </c>
      <c r="B175" s="20">
        <v>3550000</v>
      </c>
      <c r="C175" s="20"/>
      <c r="E175" t="s">
        <v>121</v>
      </c>
      <c r="F175" s="20">
        <v>2330000</v>
      </c>
      <c r="G175" s="20"/>
    </row>
    <row r="176" spans="1:23" x14ac:dyDescent="0.35">
      <c r="A176" t="s">
        <v>102</v>
      </c>
      <c r="B176" s="20">
        <v>1329700</v>
      </c>
      <c r="C176" s="20"/>
      <c r="E176" t="s">
        <v>102</v>
      </c>
      <c r="F176" s="20">
        <v>1310050</v>
      </c>
      <c r="G176" s="20"/>
    </row>
    <row r="177" spans="1:7" x14ac:dyDescent="0.35">
      <c r="A177" t="s">
        <v>103</v>
      </c>
      <c r="B177" s="20">
        <v>442500</v>
      </c>
      <c r="C177" s="20"/>
      <c r="E177" t="s">
        <v>103</v>
      </c>
      <c r="F177" s="20">
        <v>431500</v>
      </c>
      <c r="G177" s="20"/>
    </row>
    <row r="178" spans="1:7" ht="15.5" x14ac:dyDescent="0.35">
      <c r="A178" t="s">
        <v>153</v>
      </c>
      <c r="B178" s="39">
        <v>952500</v>
      </c>
      <c r="C178" s="20"/>
      <c r="E178" t="s">
        <v>153</v>
      </c>
      <c r="F178" s="39">
        <v>1198500</v>
      </c>
      <c r="G178" s="20"/>
    </row>
    <row r="179" spans="1:7" x14ac:dyDescent="0.35">
      <c r="A179" t="s">
        <v>138</v>
      </c>
      <c r="B179" s="20"/>
      <c r="C179" s="20"/>
      <c r="E179" t="s">
        <v>138</v>
      </c>
      <c r="F179" s="20"/>
      <c r="G179" s="20"/>
    </row>
    <row r="180" spans="1:7" x14ac:dyDescent="0.35">
      <c r="A180" t="s">
        <v>125</v>
      </c>
      <c r="B180" s="20">
        <v>927500</v>
      </c>
      <c r="C180" s="20"/>
      <c r="E180" t="s">
        <v>125</v>
      </c>
      <c r="F180" s="20">
        <v>780000</v>
      </c>
      <c r="G180" s="20"/>
    </row>
    <row r="181" spans="1:7" x14ac:dyDescent="0.35">
      <c r="A181" t="s">
        <v>124</v>
      </c>
      <c r="B181" s="79">
        <v>362</v>
      </c>
      <c r="C181" s="29">
        <f>B180+B179+B178+B177+B176+B175</f>
        <v>7202200</v>
      </c>
      <c r="E181" t="s">
        <v>124</v>
      </c>
      <c r="F181" s="79">
        <v>321</v>
      </c>
      <c r="G181" s="29">
        <f>F180+F179+F178+F177+F176+F175</f>
        <v>6050050</v>
      </c>
    </row>
    <row r="182" spans="1:7" x14ac:dyDescent="0.35">
      <c r="B182" s="21"/>
      <c r="F182" s="91"/>
    </row>
    <row r="185" spans="1:7" x14ac:dyDescent="0.35">
      <c r="C185" s="21">
        <f>B187</f>
        <v>1050000</v>
      </c>
    </row>
    <row r="186" spans="1:7" x14ac:dyDescent="0.35">
      <c r="A186" s="32">
        <v>46113</v>
      </c>
      <c r="B186" s="20"/>
      <c r="C186" s="20"/>
    </row>
    <row r="187" spans="1:7" x14ac:dyDescent="0.35">
      <c r="A187" t="s">
        <v>121</v>
      </c>
      <c r="B187" s="20">
        <v>1050000</v>
      </c>
      <c r="C187" s="20"/>
    </row>
    <row r="188" spans="1:7" x14ac:dyDescent="0.35">
      <c r="A188" t="s">
        <v>102</v>
      </c>
      <c r="B188" s="20">
        <v>1299600</v>
      </c>
      <c r="C188" s="20"/>
    </row>
    <row r="189" spans="1:7" x14ac:dyDescent="0.35">
      <c r="A189" t="s">
        <v>103</v>
      </c>
      <c r="B189" s="20">
        <v>187500</v>
      </c>
      <c r="C189" s="20"/>
    </row>
    <row r="190" spans="1:7" ht="15.5" x14ac:dyDescent="0.35">
      <c r="A190" t="s">
        <v>153</v>
      </c>
      <c r="B190" s="39">
        <v>619215</v>
      </c>
      <c r="C190" s="20"/>
    </row>
    <row r="191" spans="1:7" x14ac:dyDescent="0.35">
      <c r="A191" t="s">
        <v>138</v>
      </c>
      <c r="B191" s="20"/>
      <c r="C191" s="20"/>
    </row>
    <row r="192" spans="1:7" x14ac:dyDescent="0.35">
      <c r="A192" t="s">
        <v>125</v>
      </c>
      <c r="B192" s="20">
        <v>969000</v>
      </c>
      <c r="C192" s="20"/>
    </row>
    <row r="193" spans="1:27" x14ac:dyDescent="0.35">
      <c r="A193" t="s">
        <v>124</v>
      </c>
      <c r="B193" s="79">
        <v>223</v>
      </c>
      <c r="C193" s="29">
        <f>B192+B191+B190+B189+B188+B187</f>
        <v>4125315</v>
      </c>
    </row>
    <row r="196" spans="1:27" x14ac:dyDescent="0.35">
      <c r="C196" s="21">
        <f>B198</f>
        <v>3100000</v>
      </c>
      <c r="G196" s="21">
        <f>F198</f>
        <v>2800000</v>
      </c>
      <c r="K196" s="21">
        <f>J198</f>
        <v>3100000</v>
      </c>
      <c r="O196" s="21">
        <f>N198</f>
        <v>3450000</v>
      </c>
      <c r="S196" s="21">
        <f>R198</f>
        <v>2450000</v>
      </c>
      <c r="W196" s="21">
        <f>V198</f>
        <v>1910000</v>
      </c>
    </row>
    <row r="197" spans="1:27" x14ac:dyDescent="0.35">
      <c r="A197" s="32">
        <v>46118</v>
      </c>
      <c r="B197" s="20"/>
      <c r="C197" s="20"/>
      <c r="E197" s="32">
        <v>46119</v>
      </c>
      <c r="F197" s="20"/>
      <c r="G197" s="20"/>
      <c r="I197" s="32">
        <v>46120</v>
      </c>
      <c r="J197" s="20"/>
      <c r="K197" s="20"/>
      <c r="M197" s="32">
        <v>46121</v>
      </c>
      <c r="N197" s="20"/>
      <c r="O197" s="20"/>
      <c r="Q197" s="32">
        <v>46305</v>
      </c>
      <c r="R197" s="20"/>
      <c r="S197" s="20"/>
      <c r="U197" s="32">
        <v>46337</v>
      </c>
      <c r="V197" s="20"/>
      <c r="W197" s="20"/>
    </row>
    <row r="198" spans="1:27" x14ac:dyDescent="0.35">
      <c r="A198" t="s">
        <v>121</v>
      </c>
      <c r="B198" s="20">
        <v>3100000</v>
      </c>
      <c r="C198" s="20"/>
      <c r="E198" t="s">
        <v>121</v>
      </c>
      <c r="F198" s="20">
        <v>2800000</v>
      </c>
      <c r="G198" s="20"/>
      <c r="I198" t="s">
        <v>121</v>
      </c>
      <c r="J198" s="20">
        <v>3100000</v>
      </c>
      <c r="K198" s="20"/>
      <c r="M198" t="s">
        <v>121</v>
      </c>
      <c r="N198" s="20">
        <v>3450000</v>
      </c>
      <c r="O198" s="20"/>
      <c r="Q198" t="s">
        <v>121</v>
      </c>
      <c r="R198" s="20">
        <v>2450000</v>
      </c>
      <c r="S198" s="20"/>
      <c r="U198" t="s">
        <v>121</v>
      </c>
      <c r="V198" s="20">
        <v>1910000</v>
      </c>
      <c r="W198" s="20"/>
    </row>
    <row r="199" spans="1:27" x14ac:dyDescent="0.35">
      <c r="A199" t="s">
        <v>102</v>
      </c>
      <c r="B199" s="20">
        <v>1372500</v>
      </c>
      <c r="C199" s="20"/>
      <c r="E199" t="s">
        <v>102</v>
      </c>
      <c r="F199" s="20">
        <v>1238500</v>
      </c>
      <c r="G199" s="20"/>
      <c r="I199" t="s">
        <v>102</v>
      </c>
      <c r="J199" s="20">
        <v>879500</v>
      </c>
      <c r="K199" s="20"/>
      <c r="M199" t="s">
        <v>102</v>
      </c>
      <c r="N199" s="20">
        <v>816500</v>
      </c>
      <c r="O199" s="20"/>
      <c r="Q199" t="s">
        <v>102</v>
      </c>
      <c r="R199" s="20">
        <v>1319600</v>
      </c>
      <c r="S199" s="20"/>
      <c r="U199" t="s">
        <v>102</v>
      </c>
      <c r="V199" s="20">
        <v>1061000</v>
      </c>
      <c r="W199" s="20"/>
    </row>
    <row r="200" spans="1:27" x14ac:dyDescent="0.35">
      <c r="A200" t="s">
        <v>103</v>
      </c>
      <c r="B200" s="20">
        <v>474000</v>
      </c>
      <c r="C200" s="20"/>
      <c r="E200" t="s">
        <v>103</v>
      </c>
      <c r="F200" s="20">
        <v>400000</v>
      </c>
      <c r="G200" s="20"/>
      <c r="I200" t="s">
        <v>103</v>
      </c>
      <c r="J200" s="20">
        <v>218500</v>
      </c>
      <c r="K200" s="20"/>
      <c r="M200" t="s">
        <v>103</v>
      </c>
      <c r="N200" s="20">
        <v>257800</v>
      </c>
      <c r="O200" s="20"/>
      <c r="Q200" t="s">
        <v>103</v>
      </c>
      <c r="R200" s="20">
        <v>456600</v>
      </c>
      <c r="S200" s="20"/>
      <c r="U200" t="s">
        <v>103</v>
      </c>
      <c r="V200" s="20">
        <v>145000</v>
      </c>
      <c r="W200" s="20"/>
    </row>
    <row r="201" spans="1:27" ht="15.5" x14ac:dyDescent="0.35">
      <c r="A201" t="s">
        <v>153</v>
      </c>
      <c r="B201" s="39">
        <v>1090000</v>
      </c>
      <c r="C201" s="20"/>
      <c r="E201" t="s">
        <v>153</v>
      </c>
      <c r="F201" s="39">
        <v>1072000</v>
      </c>
      <c r="G201" s="20"/>
      <c r="I201" t="s">
        <v>153</v>
      </c>
      <c r="J201" s="39">
        <v>1194000</v>
      </c>
      <c r="K201" s="20"/>
      <c r="M201" t="s">
        <v>153</v>
      </c>
      <c r="N201" s="39">
        <v>934500</v>
      </c>
      <c r="O201" s="20"/>
      <c r="Q201" t="s">
        <v>153</v>
      </c>
      <c r="R201" s="39">
        <v>1268800</v>
      </c>
      <c r="S201" s="20"/>
      <c r="U201" t="s">
        <v>153</v>
      </c>
      <c r="V201" s="39">
        <v>886800</v>
      </c>
      <c r="W201" s="20"/>
    </row>
    <row r="202" spans="1:27" x14ac:dyDescent="0.35">
      <c r="A202" t="s">
        <v>138</v>
      </c>
      <c r="B202" s="20"/>
      <c r="C202" s="20"/>
      <c r="E202" t="s">
        <v>138</v>
      </c>
      <c r="F202" s="20"/>
      <c r="G202" s="20"/>
      <c r="I202" t="s">
        <v>138</v>
      </c>
      <c r="J202" s="20"/>
      <c r="K202" s="20"/>
      <c r="M202" t="s">
        <v>138</v>
      </c>
      <c r="N202" s="20"/>
      <c r="O202" s="20"/>
      <c r="Q202" t="s">
        <v>138</v>
      </c>
      <c r="R202" s="20"/>
      <c r="S202" s="20"/>
      <c r="U202" t="s">
        <v>138</v>
      </c>
      <c r="V202" s="20"/>
      <c r="W202" s="20"/>
    </row>
    <row r="203" spans="1:27" x14ac:dyDescent="0.35">
      <c r="A203" t="s">
        <v>125</v>
      </c>
      <c r="B203" s="20">
        <v>1548550</v>
      </c>
      <c r="C203" s="20"/>
      <c r="E203" t="s">
        <v>125</v>
      </c>
      <c r="F203" s="20">
        <v>822000</v>
      </c>
      <c r="G203" s="20"/>
      <c r="I203" t="s">
        <v>125</v>
      </c>
      <c r="J203" s="20">
        <v>868000</v>
      </c>
      <c r="K203" s="20"/>
      <c r="M203" t="s">
        <v>125</v>
      </c>
      <c r="N203" s="20">
        <v>642000</v>
      </c>
      <c r="O203" s="20"/>
      <c r="Q203" t="s">
        <v>125</v>
      </c>
      <c r="R203" s="20">
        <v>798000</v>
      </c>
      <c r="S203" s="20"/>
      <c r="U203" t="s">
        <v>125</v>
      </c>
      <c r="V203" s="20">
        <v>726900</v>
      </c>
      <c r="W203" s="20"/>
    </row>
    <row r="204" spans="1:27" x14ac:dyDescent="0.35">
      <c r="A204" t="s">
        <v>124</v>
      </c>
      <c r="B204" s="79">
        <v>409</v>
      </c>
      <c r="C204" s="29">
        <f>B203+B202+B201+B200+B199+B198</f>
        <v>7585050</v>
      </c>
      <c r="E204" t="s">
        <v>124</v>
      </c>
      <c r="F204" s="79">
        <v>344</v>
      </c>
      <c r="G204" s="29">
        <f>F203+F202+F201+F200+F199+F198</f>
        <v>6332500</v>
      </c>
      <c r="I204" t="s">
        <v>124</v>
      </c>
      <c r="J204" s="79">
        <v>335</v>
      </c>
      <c r="K204" s="29">
        <f>J203+J202+J201+J200+J199+J198</f>
        <v>6260000</v>
      </c>
      <c r="M204" t="s">
        <v>124</v>
      </c>
      <c r="N204" s="79">
        <v>329</v>
      </c>
      <c r="O204" s="29">
        <f>N203+N202+N201+N200+N199+N198</f>
        <v>6100800</v>
      </c>
      <c r="Q204" t="s">
        <v>124</v>
      </c>
      <c r="R204" s="79">
        <v>338</v>
      </c>
      <c r="S204" s="29">
        <f>R203+R202+R201+R200+R199+R198</f>
        <v>6293000</v>
      </c>
      <c r="U204" t="s">
        <v>124</v>
      </c>
      <c r="V204" s="79">
        <v>240</v>
      </c>
      <c r="W204" s="29">
        <f>V203+V202+V201+V200+V199+V198</f>
        <v>4729700</v>
      </c>
    </row>
    <row r="208" spans="1:27" x14ac:dyDescent="0.35">
      <c r="C208" s="21">
        <f>B210</f>
        <v>2000000</v>
      </c>
      <c r="G208" s="21">
        <f>F210</f>
        <v>2000000</v>
      </c>
      <c r="K208" s="21">
        <f>J210</f>
        <v>2900000</v>
      </c>
      <c r="O208" s="21">
        <f>N210</f>
        <v>2750000</v>
      </c>
      <c r="S208" s="21">
        <f>R210</f>
        <v>1400000</v>
      </c>
      <c r="W208" s="21">
        <f>V210</f>
        <v>2200000</v>
      </c>
      <c r="AA208" s="21"/>
    </row>
    <row r="209" spans="1:27" x14ac:dyDescent="0.35">
      <c r="A209" s="32">
        <v>46125</v>
      </c>
      <c r="B209" s="20"/>
      <c r="C209" s="20"/>
      <c r="E209" s="32">
        <v>46126</v>
      </c>
      <c r="F209" s="20"/>
      <c r="G209" s="20"/>
      <c r="I209" s="32">
        <v>46127</v>
      </c>
      <c r="J209" s="20"/>
      <c r="K209" s="20"/>
      <c r="M209" s="32">
        <v>46128</v>
      </c>
      <c r="N209" s="20"/>
      <c r="O209" s="20"/>
      <c r="Q209" s="32">
        <v>46129</v>
      </c>
      <c r="R209" s="20"/>
      <c r="S209" s="20"/>
      <c r="U209" s="32">
        <v>46130</v>
      </c>
      <c r="V209" s="20"/>
      <c r="W209" s="20"/>
      <c r="Y209" s="32"/>
      <c r="Z209" s="20"/>
      <c r="AA209" s="20"/>
    </row>
    <row r="210" spans="1:27" x14ac:dyDescent="0.35">
      <c r="A210" t="s">
        <v>121</v>
      </c>
      <c r="B210" s="20">
        <v>2000000</v>
      </c>
      <c r="C210" s="20"/>
      <c r="E210" t="s">
        <v>121</v>
      </c>
      <c r="F210" s="20">
        <v>2000000</v>
      </c>
      <c r="G210" s="20"/>
      <c r="I210" t="s">
        <v>121</v>
      </c>
      <c r="J210" s="20">
        <v>2900000</v>
      </c>
      <c r="K210" s="20"/>
      <c r="M210" t="s">
        <v>121</v>
      </c>
      <c r="N210" s="20">
        <v>2750000</v>
      </c>
      <c r="O210" s="20"/>
      <c r="Q210" t="s">
        <v>121</v>
      </c>
      <c r="R210" s="20">
        <v>1400000</v>
      </c>
      <c r="S210" s="20"/>
      <c r="U210" t="s">
        <v>121</v>
      </c>
      <c r="V210" s="20">
        <v>2200000</v>
      </c>
      <c r="W210" s="20"/>
      <c r="Z210" s="20"/>
      <c r="AA210" s="20"/>
    </row>
    <row r="211" spans="1:27" x14ac:dyDescent="0.35">
      <c r="A211" t="s">
        <v>102</v>
      </c>
      <c r="B211" s="20">
        <v>1570000</v>
      </c>
      <c r="C211" s="20"/>
      <c r="E211" t="s">
        <v>102</v>
      </c>
      <c r="F211" s="20">
        <v>721100</v>
      </c>
      <c r="G211" s="20"/>
      <c r="I211" t="s">
        <v>102</v>
      </c>
      <c r="J211" s="20">
        <v>1255500</v>
      </c>
      <c r="K211" s="20"/>
      <c r="M211" t="s">
        <v>102</v>
      </c>
      <c r="N211" s="20">
        <v>1600000</v>
      </c>
      <c r="O211" s="20"/>
      <c r="Q211" t="s">
        <v>102</v>
      </c>
      <c r="R211" s="20">
        <v>808500</v>
      </c>
      <c r="S211" s="20"/>
      <c r="U211" t="s">
        <v>102</v>
      </c>
      <c r="V211" s="20">
        <v>998300</v>
      </c>
      <c r="W211" s="20"/>
      <c r="Z211" s="20"/>
      <c r="AA211" s="20"/>
    </row>
    <row r="212" spans="1:27" x14ac:dyDescent="0.35">
      <c r="A212" t="s">
        <v>103</v>
      </c>
      <c r="B212" s="20">
        <v>408000</v>
      </c>
      <c r="C212" s="20"/>
      <c r="E212" t="s">
        <v>103</v>
      </c>
      <c r="F212" s="20">
        <v>220000</v>
      </c>
      <c r="G212" s="20"/>
      <c r="I212" t="s">
        <v>103</v>
      </c>
      <c r="J212" s="20">
        <v>384000</v>
      </c>
      <c r="K212" s="20"/>
      <c r="M212" t="s">
        <v>103</v>
      </c>
      <c r="N212" s="20">
        <v>217000</v>
      </c>
      <c r="O212" s="20"/>
      <c r="Q212" t="s">
        <v>103</v>
      </c>
      <c r="R212" s="20">
        <v>378500</v>
      </c>
      <c r="S212" s="20"/>
      <c r="U212" t="s">
        <v>103</v>
      </c>
      <c r="V212" s="20">
        <v>253000</v>
      </c>
      <c r="W212" s="20"/>
      <c r="Z212" s="20"/>
      <c r="AA212" s="20"/>
    </row>
    <row r="213" spans="1:27" ht="15.5" x14ac:dyDescent="0.35">
      <c r="A213" t="s">
        <v>153</v>
      </c>
      <c r="B213" s="39">
        <v>1143300</v>
      </c>
      <c r="C213" s="20"/>
      <c r="E213" t="s">
        <v>153</v>
      </c>
      <c r="F213" s="39">
        <v>802000</v>
      </c>
      <c r="G213" s="20"/>
      <c r="I213" t="s">
        <v>153</v>
      </c>
      <c r="J213" s="39">
        <v>1284500</v>
      </c>
      <c r="K213" s="20"/>
      <c r="M213" t="s">
        <v>153</v>
      </c>
      <c r="N213" s="39">
        <v>1246600</v>
      </c>
      <c r="O213" s="20"/>
      <c r="Q213" t="s">
        <v>153</v>
      </c>
      <c r="R213" s="39">
        <v>978500</v>
      </c>
      <c r="S213" s="20"/>
      <c r="U213" t="s">
        <v>153</v>
      </c>
      <c r="V213" s="39">
        <v>1074000</v>
      </c>
      <c r="W213" s="20"/>
      <c r="Z213" s="39"/>
      <c r="AA213" s="20"/>
    </row>
    <row r="214" spans="1:27" x14ac:dyDescent="0.35">
      <c r="A214" t="s">
        <v>138</v>
      </c>
      <c r="B214" s="20"/>
      <c r="C214" s="20"/>
      <c r="E214" t="s">
        <v>138</v>
      </c>
      <c r="F214" s="20"/>
      <c r="G214" s="20"/>
      <c r="I214" t="s">
        <v>138</v>
      </c>
      <c r="J214" s="20"/>
      <c r="K214" s="20"/>
      <c r="M214" t="s">
        <v>138</v>
      </c>
      <c r="N214" s="20"/>
      <c r="O214" s="20"/>
      <c r="Q214" t="s">
        <v>138</v>
      </c>
      <c r="R214" s="20"/>
      <c r="S214" s="20"/>
      <c r="U214" t="s">
        <v>138</v>
      </c>
      <c r="V214" s="20"/>
      <c r="W214" s="20"/>
      <c r="Z214" s="20"/>
      <c r="AA214" s="20"/>
    </row>
    <row r="215" spans="1:27" x14ac:dyDescent="0.35">
      <c r="A215" t="s">
        <v>125</v>
      </c>
      <c r="B215" s="20">
        <v>1135000</v>
      </c>
      <c r="C215" s="20"/>
      <c r="E215" t="s">
        <v>125</v>
      </c>
      <c r="F215" s="20">
        <v>400000</v>
      </c>
      <c r="G215" s="20"/>
      <c r="I215" t="s">
        <v>125</v>
      </c>
      <c r="J215" s="20">
        <v>965000</v>
      </c>
      <c r="K215" s="20"/>
      <c r="M215" t="s">
        <v>125</v>
      </c>
      <c r="N215" s="20">
        <v>826000</v>
      </c>
      <c r="O215" s="20"/>
      <c r="Q215" t="s">
        <v>125</v>
      </c>
      <c r="R215" s="20">
        <v>1009176</v>
      </c>
      <c r="S215" s="20"/>
      <c r="U215" t="s">
        <v>125</v>
      </c>
      <c r="V215" s="20">
        <v>24000</v>
      </c>
      <c r="W215" s="20"/>
      <c r="Z215" s="20"/>
      <c r="AA215" s="20"/>
    </row>
    <row r="216" spans="1:27" x14ac:dyDescent="0.35">
      <c r="A216" t="s">
        <v>124</v>
      </c>
      <c r="B216" s="79">
        <v>340</v>
      </c>
      <c r="C216" s="29">
        <f>B215+B214+B213+B212+B211+B210</f>
        <v>6256300</v>
      </c>
      <c r="E216" t="s">
        <v>124</v>
      </c>
      <c r="F216" s="79">
        <v>223</v>
      </c>
      <c r="G216" s="29">
        <f>F215+F214+F213+F212+F211+F210</f>
        <v>4143100</v>
      </c>
      <c r="I216" t="s">
        <v>124</v>
      </c>
      <c r="J216" s="79">
        <v>368</v>
      </c>
      <c r="K216" s="29">
        <f>J215+J214+J213+J212+J211+J210</f>
        <v>6789000</v>
      </c>
      <c r="M216" t="s">
        <v>124</v>
      </c>
      <c r="N216" s="79">
        <v>365</v>
      </c>
      <c r="O216" s="29">
        <f>N215+N214+N213+N212+N211+N210</f>
        <v>6639600</v>
      </c>
      <c r="Q216" t="s">
        <v>124</v>
      </c>
      <c r="R216" s="79">
        <v>243</v>
      </c>
      <c r="S216" s="29">
        <f>R215+R214+R213+R212+R211+R210</f>
        <v>4574676</v>
      </c>
      <c r="U216" t="s">
        <v>124</v>
      </c>
      <c r="V216" s="79">
        <v>244</v>
      </c>
      <c r="W216" s="29">
        <f>V215+V214+V213+V212+V211+V210</f>
        <v>4549300</v>
      </c>
      <c r="Z216" s="79"/>
      <c r="AA216" s="29"/>
    </row>
    <row r="219" spans="1:27" x14ac:dyDescent="0.35">
      <c r="C219" s="21">
        <f>B221</f>
        <v>2700000</v>
      </c>
      <c r="G219" s="21">
        <f>F221</f>
        <v>3000000</v>
      </c>
      <c r="K219" s="21">
        <f>J221</f>
        <v>2450000</v>
      </c>
      <c r="O219" s="21">
        <f>N221</f>
        <v>2950000</v>
      </c>
      <c r="S219" s="21">
        <f>R221</f>
        <v>2550000</v>
      </c>
      <c r="W219" s="21">
        <f>V221</f>
        <v>900000</v>
      </c>
    </row>
    <row r="220" spans="1:27" x14ac:dyDescent="0.35">
      <c r="A220" s="32">
        <v>46132</v>
      </c>
      <c r="B220" s="20"/>
      <c r="C220" s="20"/>
      <c r="E220" s="32">
        <v>46133</v>
      </c>
      <c r="F220" s="20"/>
      <c r="G220" s="20"/>
      <c r="I220" s="32">
        <v>46134</v>
      </c>
      <c r="J220" s="20"/>
      <c r="K220" s="20"/>
      <c r="M220" s="32">
        <v>46135</v>
      </c>
      <c r="N220" s="20"/>
      <c r="O220" s="20"/>
      <c r="Q220" s="32">
        <v>46136</v>
      </c>
      <c r="R220" s="20"/>
      <c r="S220" s="20"/>
      <c r="U220" s="32">
        <v>46137</v>
      </c>
      <c r="V220" s="20"/>
      <c r="W220" s="20"/>
    </row>
    <row r="221" spans="1:27" x14ac:dyDescent="0.35">
      <c r="A221" t="s">
        <v>121</v>
      </c>
      <c r="B221" s="20">
        <v>2700000</v>
      </c>
      <c r="C221" s="20"/>
      <c r="E221" t="s">
        <v>121</v>
      </c>
      <c r="F221" s="20">
        <v>3000000</v>
      </c>
      <c r="G221" s="20"/>
      <c r="I221" t="s">
        <v>121</v>
      </c>
      <c r="J221" s="20">
        <v>2450000</v>
      </c>
      <c r="K221" s="20"/>
      <c r="M221" t="s">
        <v>121</v>
      </c>
      <c r="N221" s="20">
        <v>2950000</v>
      </c>
      <c r="O221" s="20"/>
      <c r="Q221" t="s">
        <v>121</v>
      </c>
      <c r="R221" s="20">
        <v>2550000</v>
      </c>
      <c r="S221" s="20"/>
      <c r="U221" t="s">
        <v>121</v>
      </c>
      <c r="V221" s="20">
        <v>900000</v>
      </c>
      <c r="W221" s="20"/>
    </row>
    <row r="222" spans="1:27" x14ac:dyDescent="0.35">
      <c r="A222" t="s">
        <v>102</v>
      </c>
      <c r="B222" s="20">
        <v>1243500</v>
      </c>
      <c r="C222" s="20"/>
      <c r="E222" t="s">
        <v>102</v>
      </c>
      <c r="F222" s="20">
        <v>1296800</v>
      </c>
      <c r="G222" s="20"/>
      <c r="I222" t="s">
        <v>102</v>
      </c>
      <c r="J222" s="20">
        <v>1587800</v>
      </c>
      <c r="K222" s="20"/>
      <c r="M222" t="s">
        <v>102</v>
      </c>
      <c r="N222" s="20">
        <v>1025500</v>
      </c>
      <c r="O222" s="20"/>
      <c r="Q222" t="s">
        <v>102</v>
      </c>
      <c r="R222" s="20">
        <v>1235500</v>
      </c>
      <c r="S222" s="20"/>
      <c r="U222" t="s">
        <v>102</v>
      </c>
      <c r="V222" s="20">
        <v>1115500</v>
      </c>
      <c r="W222" s="20"/>
    </row>
    <row r="223" spans="1:27" x14ac:dyDescent="0.35">
      <c r="A223" t="s">
        <v>103</v>
      </c>
      <c r="B223" s="20">
        <v>440175</v>
      </c>
      <c r="C223" s="20"/>
      <c r="E223" t="s">
        <v>103</v>
      </c>
      <c r="F223" s="20">
        <v>249500</v>
      </c>
      <c r="G223" s="20"/>
      <c r="I223" t="s">
        <v>103</v>
      </c>
      <c r="J223" s="20">
        <v>311300</v>
      </c>
      <c r="K223" s="20"/>
      <c r="M223" t="s">
        <v>103</v>
      </c>
      <c r="N223" s="20">
        <v>363300</v>
      </c>
      <c r="O223" s="20"/>
      <c r="Q223" t="s">
        <v>103</v>
      </c>
      <c r="R223" s="20">
        <v>383000</v>
      </c>
      <c r="S223" s="20"/>
      <c r="U223" t="s">
        <v>103</v>
      </c>
      <c r="V223" s="20">
        <v>426500</v>
      </c>
      <c r="W223" s="20"/>
    </row>
    <row r="224" spans="1:27" ht="15.5" x14ac:dyDescent="0.35">
      <c r="A224" t="s">
        <v>153</v>
      </c>
      <c r="B224" s="39">
        <v>1120000</v>
      </c>
      <c r="C224" s="20"/>
      <c r="E224" t="s">
        <v>153</v>
      </c>
      <c r="F224" s="39">
        <v>943000</v>
      </c>
      <c r="G224" s="20"/>
      <c r="I224" t="s">
        <v>153</v>
      </c>
      <c r="J224" s="39">
        <v>1286000</v>
      </c>
      <c r="K224" s="20"/>
      <c r="M224" t="s">
        <v>153</v>
      </c>
      <c r="N224" s="39">
        <v>1117000</v>
      </c>
      <c r="O224" s="20"/>
      <c r="Q224" t="s">
        <v>153</v>
      </c>
      <c r="R224" s="39">
        <v>950000</v>
      </c>
      <c r="S224" s="20"/>
      <c r="U224" t="s">
        <v>153</v>
      </c>
      <c r="V224" s="39">
        <v>750500</v>
      </c>
      <c r="W224" s="20"/>
    </row>
    <row r="225" spans="1:23" x14ac:dyDescent="0.35">
      <c r="A225" t="s">
        <v>138</v>
      </c>
      <c r="B225" s="20"/>
      <c r="C225" s="20"/>
      <c r="E225" t="s">
        <v>138</v>
      </c>
      <c r="F225" s="20"/>
      <c r="G225" s="20"/>
      <c r="I225" t="s">
        <v>138</v>
      </c>
      <c r="J225" s="20"/>
      <c r="K225" s="20"/>
      <c r="M225" t="s">
        <v>138</v>
      </c>
      <c r="N225" s="20"/>
      <c r="O225" s="20"/>
      <c r="Q225" t="s">
        <v>138</v>
      </c>
      <c r="R225" s="20"/>
      <c r="S225" s="20"/>
      <c r="U225" t="s">
        <v>138</v>
      </c>
      <c r="V225" s="20"/>
      <c r="W225" s="20"/>
    </row>
    <row r="226" spans="1:23" x14ac:dyDescent="0.35">
      <c r="A226" t="s">
        <v>125</v>
      </c>
      <c r="B226" s="20">
        <v>939800</v>
      </c>
      <c r="C226" s="20"/>
      <c r="E226" t="s">
        <v>125</v>
      </c>
      <c r="F226" s="20">
        <v>1095000</v>
      </c>
      <c r="G226" s="20"/>
      <c r="I226" t="s">
        <v>125</v>
      </c>
      <c r="J226" s="20">
        <v>430000</v>
      </c>
      <c r="K226" s="20"/>
      <c r="M226" t="s">
        <v>125</v>
      </c>
      <c r="N226" s="20">
        <v>400000</v>
      </c>
      <c r="O226" s="20"/>
      <c r="Q226" t="s">
        <v>125</v>
      </c>
      <c r="R226" s="20">
        <v>884500</v>
      </c>
      <c r="S226" s="20"/>
      <c r="U226" t="s">
        <v>125</v>
      </c>
      <c r="V226" s="20">
        <v>857000</v>
      </c>
      <c r="W226" s="20"/>
    </row>
    <row r="227" spans="1:23" x14ac:dyDescent="0.35">
      <c r="A227" t="s">
        <v>124</v>
      </c>
      <c r="B227" s="79">
        <v>352</v>
      </c>
      <c r="C227" s="29">
        <f>B226+B225+B224+B223+B222+B221</f>
        <v>6443475</v>
      </c>
      <c r="E227" t="s">
        <v>124</v>
      </c>
      <c r="F227" s="79">
        <v>302</v>
      </c>
      <c r="G227" s="29">
        <f>F226+F225+F224+F223+F222+F221</f>
        <v>6584300</v>
      </c>
      <c r="I227" t="s">
        <v>124</v>
      </c>
      <c r="J227" s="79">
        <v>325</v>
      </c>
      <c r="K227" s="29">
        <f>J226+J225+J224+J223+J222+J221</f>
        <v>6065100</v>
      </c>
      <c r="M227" t="s">
        <v>124</v>
      </c>
      <c r="N227" s="79">
        <v>316</v>
      </c>
      <c r="O227" s="29">
        <f>N226+N225+N224+N223+N222+N221</f>
        <v>5855800</v>
      </c>
      <c r="Q227" t="s">
        <v>124</v>
      </c>
      <c r="R227" s="79"/>
      <c r="S227" s="29">
        <f>R226+R225+R224+R223+R222+R221</f>
        <v>6003000</v>
      </c>
      <c r="U227" t="s">
        <v>124</v>
      </c>
      <c r="V227" s="79"/>
      <c r="W227" s="29">
        <f>V226+V225+V224+V223+V222+V221</f>
        <v>4049500</v>
      </c>
    </row>
    <row r="230" spans="1:23" x14ac:dyDescent="0.35">
      <c r="C230" s="21">
        <f>B232</f>
        <v>2150000</v>
      </c>
      <c r="G230" s="21">
        <f>F232</f>
        <v>2400000</v>
      </c>
      <c r="K230" s="21">
        <f>J232</f>
        <v>2800000</v>
      </c>
      <c r="O230" s="21">
        <f>N232</f>
        <v>2700000</v>
      </c>
    </row>
    <row r="231" spans="1:23" x14ac:dyDescent="0.35">
      <c r="A231" s="32">
        <v>46139</v>
      </c>
      <c r="B231" s="20"/>
      <c r="C231" s="20"/>
      <c r="E231" s="32">
        <v>46140</v>
      </c>
      <c r="F231" s="20"/>
      <c r="G231" s="20"/>
      <c r="I231" s="32">
        <v>46141</v>
      </c>
      <c r="J231" s="20"/>
      <c r="K231" s="20"/>
      <c r="M231" s="32">
        <v>46142</v>
      </c>
      <c r="N231" s="20"/>
      <c r="O231" s="20"/>
    </row>
    <row r="232" spans="1:23" x14ac:dyDescent="0.35">
      <c r="A232" t="s">
        <v>121</v>
      </c>
      <c r="B232" s="20">
        <v>2150000</v>
      </c>
      <c r="C232" s="20"/>
      <c r="E232" t="s">
        <v>121</v>
      </c>
      <c r="F232" s="20">
        <v>2400000</v>
      </c>
      <c r="G232" s="20"/>
      <c r="I232" t="s">
        <v>121</v>
      </c>
      <c r="J232" s="20">
        <v>2800000</v>
      </c>
      <c r="K232" s="20"/>
      <c r="M232" t="s">
        <v>121</v>
      </c>
      <c r="N232" s="20">
        <v>2700000</v>
      </c>
      <c r="O232" s="20"/>
    </row>
    <row r="233" spans="1:23" x14ac:dyDescent="0.35">
      <c r="A233" t="s">
        <v>102</v>
      </c>
      <c r="B233" s="20">
        <v>1800000</v>
      </c>
      <c r="C233" s="20"/>
      <c r="E233" t="s">
        <v>102</v>
      </c>
      <c r="F233" s="20">
        <v>1959000</v>
      </c>
      <c r="G233" s="20"/>
      <c r="I233" t="s">
        <v>102</v>
      </c>
      <c r="J233" s="20">
        <v>1401500</v>
      </c>
      <c r="K233" s="20"/>
      <c r="M233" t="s">
        <v>102</v>
      </c>
      <c r="N233" s="20">
        <v>1696000</v>
      </c>
      <c r="O233" s="20"/>
    </row>
    <row r="234" spans="1:23" x14ac:dyDescent="0.35">
      <c r="A234" t="s">
        <v>103</v>
      </c>
      <c r="B234" s="20">
        <v>402000</v>
      </c>
      <c r="C234" s="20"/>
      <c r="E234" t="s">
        <v>103</v>
      </c>
      <c r="F234" s="20">
        <v>321500</v>
      </c>
      <c r="G234" s="20"/>
      <c r="I234" t="s">
        <v>103</v>
      </c>
      <c r="J234" s="20">
        <v>345000</v>
      </c>
      <c r="K234" s="20"/>
      <c r="M234" t="s">
        <v>103</v>
      </c>
      <c r="N234" s="20">
        <v>329175</v>
      </c>
      <c r="O234" s="20"/>
    </row>
    <row r="235" spans="1:23" ht="15.5" x14ac:dyDescent="0.35">
      <c r="A235" t="s">
        <v>153</v>
      </c>
      <c r="B235" s="39">
        <v>1097500</v>
      </c>
      <c r="C235" s="20"/>
      <c r="E235" t="s">
        <v>153</v>
      </c>
      <c r="F235" s="39">
        <v>1049700</v>
      </c>
      <c r="G235" s="20"/>
      <c r="I235" t="s">
        <v>153</v>
      </c>
      <c r="J235" s="39">
        <v>1285000</v>
      </c>
      <c r="K235" s="20"/>
      <c r="M235" t="s">
        <v>153</v>
      </c>
      <c r="N235" s="39">
        <v>905000</v>
      </c>
      <c r="O235" s="20"/>
    </row>
    <row r="236" spans="1:23" x14ac:dyDescent="0.35">
      <c r="A236" t="s">
        <v>138</v>
      </c>
      <c r="B236" s="20"/>
      <c r="C236" s="20"/>
      <c r="E236" t="s">
        <v>138</v>
      </c>
      <c r="F236" s="20"/>
      <c r="G236" s="20"/>
      <c r="I236" t="s">
        <v>138</v>
      </c>
      <c r="J236" s="20"/>
      <c r="K236" s="20"/>
      <c r="M236" t="s">
        <v>138</v>
      </c>
      <c r="N236" s="20"/>
      <c r="O236" s="20"/>
    </row>
    <row r="237" spans="1:23" x14ac:dyDescent="0.35">
      <c r="A237" t="s">
        <v>125</v>
      </c>
      <c r="B237" s="20">
        <v>1115000</v>
      </c>
      <c r="C237" s="20"/>
      <c r="E237" t="s">
        <v>125</v>
      </c>
      <c r="F237" s="20">
        <v>680000</v>
      </c>
      <c r="G237" s="20"/>
      <c r="I237" t="s">
        <v>125</v>
      </c>
      <c r="J237" s="20">
        <v>438000</v>
      </c>
      <c r="K237" s="20"/>
      <c r="M237" t="s">
        <v>125</v>
      </c>
      <c r="N237" s="20">
        <v>439550</v>
      </c>
      <c r="O237" s="20"/>
    </row>
    <row r="238" spans="1:23" x14ac:dyDescent="0.35">
      <c r="A238" t="s">
        <v>124</v>
      </c>
      <c r="B238" s="79"/>
      <c r="C238" s="29">
        <f>B237+B236+B235+B234+B233+B232</f>
        <v>6564500</v>
      </c>
      <c r="E238" t="s">
        <v>124</v>
      </c>
      <c r="F238" s="79"/>
      <c r="G238" s="29">
        <f>F237+F236+F235+F234+F233+F232</f>
        <v>6410200</v>
      </c>
      <c r="I238" t="s">
        <v>124</v>
      </c>
      <c r="J238" s="79"/>
      <c r="K238" s="29">
        <f>J237+J236+J235+J234+J233+J232</f>
        <v>6269500</v>
      </c>
      <c r="M238" t="s">
        <v>124</v>
      </c>
      <c r="N238" s="79"/>
      <c r="O238" s="29">
        <f>N237+N236+N235+N234+N233+N232</f>
        <v>6069725</v>
      </c>
    </row>
    <row r="241" spans="1:15" x14ac:dyDescent="0.35">
      <c r="C241" s="21">
        <f>B243</f>
        <v>0</v>
      </c>
      <c r="G241" s="21">
        <f>F243</f>
        <v>0</v>
      </c>
      <c r="K241" s="21">
        <f>J243</f>
        <v>0</v>
      </c>
      <c r="O241" s="21">
        <f>N243</f>
        <v>0</v>
      </c>
    </row>
    <row r="242" spans="1:15" x14ac:dyDescent="0.35">
      <c r="A242" s="32" t="s">
        <v>407</v>
      </c>
      <c r="B242" s="20"/>
      <c r="C242" s="20"/>
      <c r="E242" s="32" t="s">
        <v>407</v>
      </c>
      <c r="F242" s="20"/>
      <c r="G242" s="20"/>
      <c r="I242" s="32" t="s">
        <v>407</v>
      </c>
      <c r="J242" s="20"/>
      <c r="K242" s="20"/>
      <c r="M242" s="32" t="s">
        <v>407</v>
      </c>
      <c r="N242" s="20"/>
      <c r="O242" s="20"/>
    </row>
    <row r="243" spans="1:15" x14ac:dyDescent="0.35">
      <c r="A243" t="s">
        <v>121</v>
      </c>
      <c r="B243" s="20"/>
      <c r="C243" s="20"/>
      <c r="E243" t="s">
        <v>121</v>
      </c>
      <c r="F243" s="20"/>
      <c r="G243" s="20"/>
      <c r="I243" t="s">
        <v>121</v>
      </c>
      <c r="J243" s="20"/>
      <c r="K243" s="20"/>
      <c r="M243" t="s">
        <v>121</v>
      </c>
      <c r="N243" s="20"/>
      <c r="O243" s="20"/>
    </row>
    <row r="244" spans="1:15" x14ac:dyDescent="0.35">
      <c r="A244" t="s">
        <v>102</v>
      </c>
      <c r="B244" s="20"/>
      <c r="C244" s="20"/>
      <c r="E244" t="s">
        <v>102</v>
      </c>
      <c r="F244" s="20"/>
      <c r="G244" s="20"/>
      <c r="I244" t="s">
        <v>102</v>
      </c>
      <c r="J244" s="20"/>
      <c r="K244" s="20"/>
      <c r="M244" t="s">
        <v>102</v>
      </c>
      <c r="N244" s="20"/>
      <c r="O244" s="20"/>
    </row>
    <row r="245" spans="1:15" x14ac:dyDescent="0.35">
      <c r="A245" t="s">
        <v>103</v>
      </c>
      <c r="B245" s="20"/>
      <c r="C245" s="20"/>
      <c r="E245" t="s">
        <v>103</v>
      </c>
      <c r="F245" s="20"/>
      <c r="G245" s="20"/>
      <c r="I245" t="s">
        <v>103</v>
      </c>
      <c r="J245" s="20"/>
      <c r="K245" s="20"/>
      <c r="M245" t="s">
        <v>103</v>
      </c>
      <c r="N245" s="20"/>
      <c r="O245" s="20"/>
    </row>
    <row r="246" spans="1:15" ht="15.5" x14ac:dyDescent="0.35">
      <c r="A246" t="s">
        <v>153</v>
      </c>
      <c r="B246" s="39"/>
      <c r="C246" s="20"/>
      <c r="E246" t="s">
        <v>153</v>
      </c>
      <c r="F246" s="39"/>
      <c r="G246" s="20"/>
      <c r="I246" t="s">
        <v>153</v>
      </c>
      <c r="J246" s="39"/>
      <c r="K246" s="20"/>
      <c r="M246" t="s">
        <v>153</v>
      </c>
      <c r="N246" s="39"/>
      <c r="O246" s="20"/>
    </row>
    <row r="247" spans="1:15" x14ac:dyDescent="0.35">
      <c r="A247" t="s">
        <v>138</v>
      </c>
      <c r="B247" s="20"/>
      <c r="C247" s="20"/>
      <c r="E247" t="s">
        <v>138</v>
      </c>
      <c r="F247" s="20"/>
      <c r="G247" s="20"/>
      <c r="I247" t="s">
        <v>138</v>
      </c>
      <c r="J247" s="20"/>
      <c r="K247" s="20"/>
      <c r="M247" t="s">
        <v>138</v>
      </c>
      <c r="N247" s="20"/>
      <c r="O247" s="20"/>
    </row>
    <row r="248" spans="1:15" x14ac:dyDescent="0.35">
      <c r="A248" t="s">
        <v>125</v>
      </c>
      <c r="B248" s="20"/>
      <c r="C248" s="20"/>
      <c r="E248" t="s">
        <v>125</v>
      </c>
      <c r="F248" s="20"/>
      <c r="G248" s="20"/>
      <c r="I248" t="s">
        <v>125</v>
      </c>
      <c r="J248" s="20"/>
      <c r="K248" s="20"/>
      <c r="M248" t="s">
        <v>125</v>
      </c>
      <c r="N248" s="20"/>
      <c r="O248" s="20"/>
    </row>
    <row r="249" spans="1:15" x14ac:dyDescent="0.35">
      <c r="A249" t="s">
        <v>124</v>
      </c>
      <c r="B249" s="79"/>
      <c r="C249" s="29">
        <f>B248+B247+B246+B245+B244+B243</f>
        <v>0</v>
      </c>
      <c r="E249" t="s">
        <v>124</v>
      </c>
      <c r="F249" s="79"/>
      <c r="G249" s="29">
        <f>F248+F247+F246+F245+F244+F243</f>
        <v>0</v>
      </c>
      <c r="I249" t="s">
        <v>124</v>
      </c>
      <c r="J249" s="79"/>
      <c r="K249" s="29">
        <f>J248+J247+J246+J245+J244+J243</f>
        <v>0</v>
      </c>
      <c r="M249" t="s">
        <v>124</v>
      </c>
      <c r="N249" s="79"/>
      <c r="O249" s="29">
        <f>N248+N247+N246+N245+N244+N243</f>
        <v>0</v>
      </c>
    </row>
    <row r="252" spans="1:15" x14ac:dyDescent="0.35">
      <c r="C252" s="21">
        <f>B254</f>
        <v>0</v>
      </c>
    </row>
    <row r="253" spans="1:15" x14ac:dyDescent="0.35">
      <c r="A253" s="32" t="s">
        <v>407</v>
      </c>
      <c r="B253" s="20"/>
      <c r="C253" s="20"/>
    </row>
    <row r="254" spans="1:15" x14ac:dyDescent="0.35">
      <c r="A254" t="s">
        <v>121</v>
      </c>
      <c r="B254" s="20"/>
      <c r="C254" s="20"/>
    </row>
    <row r="255" spans="1:15" x14ac:dyDescent="0.35">
      <c r="A255" t="s">
        <v>102</v>
      </c>
      <c r="B255" s="20"/>
      <c r="C255" s="20"/>
    </row>
    <row r="256" spans="1:15" x14ac:dyDescent="0.35">
      <c r="A256" t="s">
        <v>103</v>
      </c>
      <c r="B256" s="20"/>
      <c r="C256" s="20"/>
    </row>
    <row r="257" spans="1:3" ht="15.5" x14ac:dyDescent="0.35">
      <c r="A257" t="s">
        <v>153</v>
      </c>
      <c r="B257" s="39"/>
      <c r="C257" s="20"/>
    </row>
    <row r="258" spans="1:3" x14ac:dyDescent="0.35">
      <c r="A258" t="s">
        <v>138</v>
      </c>
      <c r="B258" s="20"/>
      <c r="C258" s="20"/>
    </row>
    <row r="259" spans="1:3" x14ac:dyDescent="0.35">
      <c r="A259" t="s">
        <v>125</v>
      </c>
      <c r="B259" s="20"/>
      <c r="C259" s="20"/>
    </row>
    <row r="260" spans="1:3" x14ac:dyDescent="0.35">
      <c r="A260" t="s">
        <v>124</v>
      </c>
      <c r="B260" s="79"/>
      <c r="C260" s="29">
        <f>B259+B258+B257+B256+B255+B254</f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0F9FE-0375-4038-ADE8-8E8E84429687}">
  <dimension ref="A1:L968"/>
  <sheetViews>
    <sheetView zoomScale="110" workbookViewId="0">
      <selection activeCell="A5" sqref="A5"/>
    </sheetView>
  </sheetViews>
  <sheetFormatPr baseColWidth="10" defaultRowHeight="14.5" x14ac:dyDescent="0.35"/>
  <cols>
    <col min="1" max="1" width="39.54296875" bestFit="1" customWidth="1"/>
    <col min="2" max="2" width="13.453125" bestFit="1" customWidth="1"/>
    <col min="3" max="3" width="13.453125" customWidth="1"/>
    <col min="4" max="4" width="16" bestFit="1" customWidth="1"/>
    <col min="5" max="5" width="19.453125" bestFit="1" customWidth="1"/>
    <col min="6" max="6" width="15.26953125" customWidth="1"/>
    <col min="7" max="7" width="16.7265625" bestFit="1" customWidth="1"/>
    <col min="8" max="8" width="20" bestFit="1" customWidth="1"/>
    <col min="9" max="9" width="11.1796875" bestFit="1" customWidth="1"/>
    <col min="10" max="11" width="16.7265625" customWidth="1"/>
    <col min="12" max="12" width="17.7265625" bestFit="1" customWidth="1"/>
  </cols>
  <sheetData>
    <row r="1" spans="1:11" ht="18.5" x14ac:dyDescent="0.45">
      <c r="A1" s="150" t="s">
        <v>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8.5" x14ac:dyDescent="0.45">
      <c r="A2" s="150" t="s">
        <v>74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1" ht="18.5" x14ac:dyDescent="0.45">
      <c r="A3" s="149">
        <v>45662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ht="18.5" x14ac:dyDescent="0.45">
      <c r="A4" s="150"/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8.5" x14ac:dyDescent="0.45">
      <c r="A5" s="2" t="s">
        <v>75</v>
      </c>
      <c r="B5" s="2" t="s">
        <v>3</v>
      </c>
      <c r="C5" s="2" t="s">
        <v>100</v>
      </c>
      <c r="D5" s="2" t="s">
        <v>90</v>
      </c>
      <c r="E5" s="2" t="s">
        <v>91</v>
      </c>
      <c r="F5" s="2" t="s">
        <v>4</v>
      </c>
      <c r="G5" s="2" t="s">
        <v>101</v>
      </c>
      <c r="H5" s="2" t="s">
        <v>104</v>
      </c>
      <c r="I5" s="2"/>
      <c r="J5" s="2" t="s">
        <v>105</v>
      </c>
      <c r="K5" s="2" t="s">
        <v>106</v>
      </c>
    </row>
    <row r="6" spans="1:11" ht="15.5" x14ac:dyDescent="0.35">
      <c r="A6" s="3" t="s">
        <v>76</v>
      </c>
      <c r="B6" s="1"/>
      <c r="C6" s="20">
        <v>15500</v>
      </c>
      <c r="D6" s="1"/>
      <c r="E6" s="1"/>
      <c r="F6" s="20">
        <f>C6*B6</f>
        <v>0</v>
      </c>
      <c r="G6" s="20">
        <f>D6*C6</f>
        <v>0</v>
      </c>
      <c r="H6" s="20">
        <f>E6*C6</f>
        <v>0</v>
      </c>
      <c r="I6" s="20"/>
      <c r="J6" s="20">
        <f>B42</f>
        <v>467500</v>
      </c>
      <c r="K6" s="20" t="s">
        <v>117</v>
      </c>
    </row>
    <row r="7" spans="1:11" ht="15.5" x14ac:dyDescent="0.35">
      <c r="A7" s="3" t="s">
        <v>77</v>
      </c>
      <c r="B7" s="1"/>
      <c r="C7" s="20">
        <v>14500</v>
      </c>
      <c r="D7" s="1"/>
      <c r="E7" s="1"/>
      <c r="F7" s="20">
        <f t="shared" ref="F7:F28" si="0">C7*B7</f>
        <v>0</v>
      </c>
      <c r="G7" s="20">
        <f t="shared" ref="G7:G22" si="1">D7*C7</f>
        <v>0</v>
      </c>
      <c r="H7" s="20">
        <f t="shared" ref="H7:H22" si="2">E7*C7</f>
        <v>0</v>
      </c>
      <c r="I7" s="20"/>
      <c r="J7" s="20">
        <v>74500</v>
      </c>
      <c r="K7" s="20" t="s">
        <v>155</v>
      </c>
    </row>
    <row r="8" spans="1:11" ht="15.5" x14ac:dyDescent="0.35">
      <c r="A8" s="3" t="s">
        <v>78</v>
      </c>
      <c r="B8" s="1"/>
      <c r="C8" s="20">
        <v>15500</v>
      </c>
      <c r="D8" s="1"/>
      <c r="E8" s="1"/>
      <c r="F8" s="20">
        <f t="shared" si="0"/>
        <v>0</v>
      </c>
      <c r="G8" s="20">
        <f t="shared" si="1"/>
        <v>0</v>
      </c>
      <c r="H8" s="20">
        <f t="shared" si="2"/>
        <v>0</v>
      </c>
      <c r="I8" s="20"/>
      <c r="J8" s="20">
        <v>73450</v>
      </c>
      <c r="K8" s="20" t="s">
        <v>107</v>
      </c>
    </row>
    <row r="9" spans="1:11" ht="15.5" x14ac:dyDescent="0.35">
      <c r="A9" s="3" t="s">
        <v>79</v>
      </c>
      <c r="B9" s="1"/>
      <c r="C9" s="20">
        <v>15900</v>
      </c>
      <c r="D9" s="1"/>
      <c r="E9" s="1"/>
      <c r="F9" s="20">
        <f t="shared" si="0"/>
        <v>0</v>
      </c>
      <c r="G9" s="20">
        <f t="shared" si="1"/>
        <v>0</v>
      </c>
      <c r="H9" s="20">
        <f t="shared" si="2"/>
        <v>0</v>
      </c>
      <c r="I9" s="20"/>
      <c r="J9" s="20">
        <v>30000</v>
      </c>
      <c r="K9" s="20" t="s">
        <v>216</v>
      </c>
    </row>
    <row r="10" spans="1:11" ht="15.5" x14ac:dyDescent="0.35">
      <c r="A10" s="3" t="s">
        <v>80</v>
      </c>
      <c r="B10" s="1"/>
      <c r="C10" s="20">
        <v>15900</v>
      </c>
      <c r="D10" s="1"/>
      <c r="E10" s="1"/>
      <c r="F10" s="20">
        <f t="shared" si="0"/>
        <v>0</v>
      </c>
      <c r="G10" s="20">
        <f t="shared" si="1"/>
        <v>0</v>
      </c>
      <c r="H10" s="20">
        <f t="shared" si="2"/>
        <v>0</v>
      </c>
      <c r="I10" s="20"/>
      <c r="J10" s="20">
        <v>420000</v>
      </c>
      <c r="K10" s="20" t="s">
        <v>217</v>
      </c>
    </row>
    <row r="11" spans="1:11" ht="15.5" x14ac:dyDescent="0.35">
      <c r="A11" s="3" t="s">
        <v>81</v>
      </c>
      <c r="B11" s="1"/>
      <c r="C11" s="20">
        <v>20000</v>
      </c>
      <c r="D11" s="1"/>
      <c r="E11" s="1"/>
      <c r="F11" s="20">
        <f t="shared" si="0"/>
        <v>0</v>
      </c>
      <c r="G11" s="20">
        <f t="shared" si="1"/>
        <v>0</v>
      </c>
      <c r="H11" s="20">
        <f t="shared" si="2"/>
        <v>0</v>
      </c>
      <c r="I11" s="20"/>
      <c r="J11" s="20">
        <v>10000</v>
      </c>
      <c r="K11" s="20" t="s">
        <v>191</v>
      </c>
    </row>
    <row r="12" spans="1:11" ht="15.5" x14ac:dyDescent="0.35">
      <c r="A12" s="3" t="s">
        <v>82</v>
      </c>
      <c r="B12" s="1"/>
      <c r="C12" s="20">
        <v>15500</v>
      </c>
      <c r="D12" s="1"/>
      <c r="E12" s="1"/>
      <c r="F12" s="20">
        <f t="shared" si="0"/>
        <v>0</v>
      </c>
      <c r="G12" s="20">
        <f t="shared" si="1"/>
        <v>0</v>
      </c>
      <c r="H12" s="20">
        <f t="shared" si="2"/>
        <v>0</v>
      </c>
      <c r="I12" s="20"/>
      <c r="J12" s="20"/>
      <c r="K12" s="20"/>
    </row>
    <row r="13" spans="1:11" ht="15.5" x14ac:dyDescent="0.35">
      <c r="A13" s="3" t="s">
        <v>83</v>
      </c>
      <c r="B13" s="1"/>
      <c r="C13" s="20">
        <v>15500</v>
      </c>
      <c r="D13" s="11"/>
      <c r="E13" s="1"/>
      <c r="F13" s="20">
        <f t="shared" si="0"/>
        <v>0</v>
      </c>
      <c r="G13" s="20">
        <f t="shared" si="1"/>
        <v>0</v>
      </c>
      <c r="H13" s="20">
        <f t="shared" si="2"/>
        <v>0</v>
      </c>
      <c r="I13" s="20"/>
      <c r="J13" s="20"/>
      <c r="K13" s="20"/>
    </row>
    <row r="14" spans="1:11" ht="15.5" x14ac:dyDescent="0.35">
      <c r="A14" s="3" t="s">
        <v>84</v>
      </c>
      <c r="B14" s="1"/>
      <c r="C14" s="20">
        <v>16400</v>
      </c>
      <c r="D14" s="1"/>
      <c r="E14" s="1"/>
      <c r="F14" s="20">
        <f t="shared" si="0"/>
        <v>0</v>
      </c>
      <c r="G14" s="20">
        <f t="shared" si="1"/>
        <v>0</v>
      </c>
      <c r="H14" s="20">
        <f t="shared" si="2"/>
        <v>0</v>
      </c>
      <c r="I14" s="20"/>
      <c r="J14" s="20"/>
      <c r="K14" s="20"/>
    </row>
    <row r="15" spans="1:11" ht="15.5" x14ac:dyDescent="0.35">
      <c r="A15" s="3" t="s">
        <v>85</v>
      </c>
      <c r="B15" s="1"/>
      <c r="C15" s="20">
        <v>16400</v>
      </c>
      <c r="D15" s="1"/>
      <c r="E15" s="1"/>
      <c r="F15" s="20">
        <f t="shared" si="0"/>
        <v>0</v>
      </c>
      <c r="G15" s="20">
        <f t="shared" si="1"/>
        <v>0</v>
      </c>
      <c r="H15" s="20">
        <f t="shared" si="2"/>
        <v>0</v>
      </c>
      <c r="I15" s="20"/>
      <c r="J15" s="20"/>
      <c r="K15" s="20"/>
    </row>
    <row r="16" spans="1:11" ht="15.5" x14ac:dyDescent="0.35">
      <c r="A16" s="3" t="s">
        <v>86</v>
      </c>
      <c r="B16" s="1"/>
      <c r="C16" s="20">
        <v>16400</v>
      </c>
      <c r="D16" s="1"/>
      <c r="E16" s="1"/>
      <c r="F16" s="20">
        <f t="shared" si="0"/>
        <v>0</v>
      </c>
      <c r="G16" s="20">
        <f t="shared" si="1"/>
        <v>0</v>
      </c>
      <c r="H16" s="20">
        <f t="shared" si="2"/>
        <v>0</v>
      </c>
      <c r="I16" s="20"/>
      <c r="J16" s="20"/>
      <c r="K16" s="20"/>
    </row>
    <row r="17" spans="1:12" ht="15.5" x14ac:dyDescent="0.35">
      <c r="A17" s="3" t="s">
        <v>87</v>
      </c>
      <c r="B17" s="1"/>
      <c r="C17" s="20">
        <v>16400</v>
      </c>
      <c r="D17" s="1"/>
      <c r="E17" s="1"/>
      <c r="F17" s="20">
        <f t="shared" si="0"/>
        <v>0</v>
      </c>
      <c r="G17" s="20">
        <f t="shared" si="1"/>
        <v>0</v>
      </c>
      <c r="H17" s="20">
        <f t="shared" si="2"/>
        <v>0</v>
      </c>
      <c r="I17" s="20"/>
      <c r="J17" s="20"/>
      <c r="K17" s="20"/>
    </row>
    <row r="18" spans="1:12" ht="15.5" x14ac:dyDescent="0.35">
      <c r="A18" s="3" t="s">
        <v>88</v>
      </c>
      <c r="B18" s="1"/>
      <c r="C18" s="20">
        <v>16400</v>
      </c>
      <c r="D18" s="1"/>
      <c r="E18" s="1"/>
      <c r="F18" s="20">
        <f t="shared" si="0"/>
        <v>0</v>
      </c>
      <c r="G18" s="20">
        <f t="shared" si="1"/>
        <v>0</v>
      </c>
      <c r="H18" s="20">
        <f t="shared" si="2"/>
        <v>0</v>
      </c>
      <c r="I18" s="20"/>
      <c r="J18" s="20"/>
      <c r="K18" s="20"/>
      <c r="L18" s="1"/>
    </row>
    <row r="19" spans="1:12" ht="15.5" x14ac:dyDescent="0.35">
      <c r="A19" s="19" t="s">
        <v>89</v>
      </c>
      <c r="B19" s="1"/>
      <c r="C19" s="20"/>
      <c r="D19" s="1"/>
      <c r="E19" s="1"/>
      <c r="F19" s="20"/>
      <c r="G19" s="20"/>
      <c r="H19" s="20">
        <f t="shared" si="2"/>
        <v>0</v>
      </c>
      <c r="I19" s="20"/>
      <c r="J19" s="20"/>
      <c r="K19" s="20"/>
      <c r="L19" s="1"/>
    </row>
    <row r="20" spans="1:12" ht="15.5" x14ac:dyDescent="0.35">
      <c r="A20" s="3" t="s">
        <v>92</v>
      </c>
      <c r="B20" s="1"/>
      <c r="C20" s="20">
        <v>19400</v>
      </c>
      <c r="D20" s="1"/>
      <c r="E20" s="1"/>
      <c r="F20" s="20">
        <f t="shared" si="0"/>
        <v>0</v>
      </c>
      <c r="G20" s="20">
        <f t="shared" si="1"/>
        <v>0</v>
      </c>
      <c r="H20" s="20">
        <f t="shared" si="2"/>
        <v>0</v>
      </c>
      <c r="I20" s="20"/>
      <c r="J20" s="20"/>
      <c r="K20" s="20"/>
      <c r="L20" s="1"/>
    </row>
    <row r="21" spans="1:12" ht="15.5" x14ac:dyDescent="0.35">
      <c r="A21" s="3" t="s">
        <v>93</v>
      </c>
      <c r="B21" s="1"/>
      <c r="C21" s="20">
        <v>19400</v>
      </c>
      <c r="D21" s="1"/>
      <c r="E21" s="1"/>
      <c r="F21" s="20">
        <f t="shared" si="0"/>
        <v>0</v>
      </c>
      <c r="G21" s="20">
        <f t="shared" si="1"/>
        <v>0</v>
      </c>
      <c r="H21" s="20">
        <f t="shared" si="2"/>
        <v>0</v>
      </c>
      <c r="I21" s="20"/>
      <c r="J21" s="20"/>
      <c r="K21" s="20"/>
      <c r="L21" s="20"/>
    </row>
    <row r="22" spans="1:12" ht="15.5" x14ac:dyDescent="0.35">
      <c r="A22" s="3" t="s">
        <v>94</v>
      </c>
      <c r="B22" s="1"/>
      <c r="C22" s="20">
        <v>19400</v>
      </c>
      <c r="D22" s="1"/>
      <c r="E22" s="1"/>
      <c r="F22" s="20">
        <f t="shared" si="0"/>
        <v>0</v>
      </c>
      <c r="G22" s="20">
        <f t="shared" si="1"/>
        <v>0</v>
      </c>
      <c r="H22" s="20">
        <f t="shared" si="2"/>
        <v>0</v>
      </c>
      <c r="I22" s="20"/>
      <c r="J22" s="20"/>
      <c r="K22" s="20"/>
      <c r="L22" s="21"/>
    </row>
    <row r="23" spans="1:12" ht="15.5" x14ac:dyDescent="0.35">
      <c r="A23" s="19"/>
      <c r="B23" s="22">
        <f>SUM(B6:B22)</f>
        <v>0</v>
      </c>
      <c r="C23" s="20"/>
      <c r="D23" s="1"/>
      <c r="E23" s="1"/>
      <c r="F23" s="23">
        <f>SUM(F6:F22)</f>
        <v>0</v>
      </c>
      <c r="G23" s="23">
        <f>SUM(G6:G22)</f>
        <v>0</v>
      </c>
      <c r="H23" s="23">
        <f>SUM(H6:H22)</f>
        <v>0</v>
      </c>
      <c r="I23" s="23"/>
      <c r="J23" s="23">
        <f>SUM(J6:J22)</f>
        <v>1075450</v>
      </c>
      <c r="K23" s="23">
        <f>H23-J23</f>
        <v>-1075450</v>
      </c>
    </row>
    <row r="24" spans="1:12" ht="15.5" x14ac:dyDescent="0.35">
      <c r="A24" s="19" t="s">
        <v>95</v>
      </c>
      <c r="B24" s="1"/>
      <c r="C24" s="20"/>
      <c r="D24" s="1"/>
      <c r="E24" s="1"/>
      <c r="F24" s="20"/>
      <c r="G24" s="20"/>
      <c r="H24" s="20"/>
      <c r="I24" s="20"/>
      <c r="J24" s="20"/>
      <c r="K24" s="20"/>
    </row>
    <row r="25" spans="1:12" ht="15.5" x14ac:dyDescent="0.35">
      <c r="A25" s="3" t="s">
        <v>96</v>
      </c>
      <c r="B25" s="1"/>
      <c r="C25" s="20"/>
      <c r="D25" s="1"/>
      <c r="E25" s="1"/>
      <c r="F25" s="20">
        <f t="shared" si="0"/>
        <v>0</v>
      </c>
      <c r="G25" s="20"/>
      <c r="H25" s="20"/>
      <c r="I25" s="20"/>
      <c r="J25" s="20"/>
      <c r="K25" s="20"/>
    </row>
    <row r="26" spans="1:12" ht="15.5" x14ac:dyDescent="0.35">
      <c r="A26" s="3" t="s">
        <v>97</v>
      </c>
      <c r="B26" s="1"/>
      <c r="C26" s="20"/>
      <c r="D26" s="1"/>
      <c r="E26" s="1"/>
      <c r="F26" s="20">
        <f t="shared" si="0"/>
        <v>0</v>
      </c>
      <c r="G26" s="20"/>
      <c r="H26" s="20"/>
      <c r="I26" s="20"/>
      <c r="J26" s="20"/>
      <c r="K26" s="20"/>
    </row>
    <row r="27" spans="1:12" ht="15.5" x14ac:dyDescent="0.35">
      <c r="A27" s="3" t="s">
        <v>98</v>
      </c>
      <c r="B27" s="1"/>
      <c r="C27" s="20"/>
      <c r="D27" s="1"/>
      <c r="E27" s="1"/>
      <c r="F27" s="20">
        <f t="shared" si="0"/>
        <v>0</v>
      </c>
      <c r="G27" s="20"/>
      <c r="H27" s="20"/>
      <c r="I27" s="20"/>
      <c r="J27" s="20"/>
      <c r="K27" s="20"/>
    </row>
    <row r="28" spans="1:12" ht="15.5" x14ac:dyDescent="0.35">
      <c r="A28" s="3" t="s">
        <v>99</v>
      </c>
      <c r="B28" s="1"/>
      <c r="C28" s="20"/>
      <c r="D28" s="1"/>
      <c r="E28" s="1"/>
      <c r="F28" s="20">
        <f t="shared" si="0"/>
        <v>0</v>
      </c>
      <c r="G28" s="20"/>
      <c r="H28" s="20"/>
      <c r="I28" s="20"/>
      <c r="J28" s="20"/>
      <c r="K28" s="20"/>
    </row>
    <row r="29" spans="1:12" ht="15.5" x14ac:dyDescent="0.35">
      <c r="A29" s="18"/>
    </row>
    <row r="31" spans="1:12" ht="15.5" x14ac:dyDescent="0.35">
      <c r="A31" s="24" t="s">
        <v>108</v>
      </c>
      <c r="J31" s="21"/>
    </row>
    <row r="32" spans="1:12" ht="15.5" x14ac:dyDescent="0.35">
      <c r="A32" s="18" t="s">
        <v>114</v>
      </c>
      <c r="B32">
        <v>53500</v>
      </c>
      <c r="J32" s="21"/>
    </row>
    <row r="33" spans="1:11" ht="15.5" x14ac:dyDescent="0.35">
      <c r="A33" s="18" t="s">
        <v>154</v>
      </c>
      <c r="B33">
        <v>53500</v>
      </c>
      <c r="J33" s="21"/>
    </row>
    <row r="34" spans="1:11" ht="15.5" x14ac:dyDescent="0.35">
      <c r="A34" s="18" t="s">
        <v>112</v>
      </c>
      <c r="B34">
        <v>40000</v>
      </c>
      <c r="J34" s="21"/>
    </row>
    <row r="35" spans="1:11" ht="15.5" x14ac:dyDescent="0.35">
      <c r="A35" s="18" t="s">
        <v>110</v>
      </c>
      <c r="B35">
        <v>40000</v>
      </c>
    </row>
    <row r="36" spans="1:11" ht="15.5" x14ac:dyDescent="0.35">
      <c r="A36" s="18" t="s">
        <v>111</v>
      </c>
      <c r="B36">
        <v>40000</v>
      </c>
    </row>
    <row r="37" spans="1:11" ht="15.5" x14ac:dyDescent="0.35">
      <c r="A37" s="18" t="s">
        <v>196</v>
      </c>
      <c r="B37">
        <v>40000</v>
      </c>
    </row>
    <row r="38" spans="1:11" ht="15.5" x14ac:dyDescent="0.35">
      <c r="A38" s="18" t="s">
        <v>113</v>
      </c>
      <c r="B38">
        <v>40000</v>
      </c>
    </row>
    <row r="39" spans="1:11" ht="15.5" x14ac:dyDescent="0.35">
      <c r="A39" s="18" t="s">
        <v>209</v>
      </c>
      <c r="B39">
        <v>53500</v>
      </c>
    </row>
    <row r="40" spans="1:11" ht="15.5" x14ac:dyDescent="0.35">
      <c r="A40" s="18" t="s">
        <v>116</v>
      </c>
      <c r="B40">
        <v>53500</v>
      </c>
    </row>
    <row r="41" spans="1:11" ht="15.5" x14ac:dyDescent="0.35">
      <c r="A41" s="18" t="s">
        <v>109</v>
      </c>
      <c r="B41">
        <v>53500</v>
      </c>
    </row>
    <row r="42" spans="1:11" ht="15.5" x14ac:dyDescent="0.35">
      <c r="A42" s="24" t="s">
        <v>4</v>
      </c>
      <c r="B42" s="17">
        <f>SUM(B32:B41)</f>
        <v>467500</v>
      </c>
    </row>
    <row r="46" spans="1:11" ht="18.5" x14ac:dyDescent="0.45">
      <c r="A46" s="149">
        <v>46028</v>
      </c>
      <c r="B46" s="149"/>
      <c r="C46" s="149"/>
      <c r="D46" s="149"/>
      <c r="E46" s="149"/>
      <c r="F46" s="149"/>
      <c r="G46" s="149"/>
      <c r="H46" s="149"/>
      <c r="I46" s="149"/>
      <c r="J46" s="149"/>
      <c r="K46" s="149"/>
    </row>
    <row r="47" spans="1:11" ht="18.5" x14ac:dyDescent="0.45">
      <c r="A47" s="150"/>
      <c r="B47" s="150"/>
      <c r="C47" s="150"/>
      <c r="D47" s="150"/>
      <c r="E47" s="150"/>
      <c r="F47" s="150"/>
      <c r="G47" s="150"/>
      <c r="H47" s="150"/>
      <c r="I47" s="150"/>
      <c r="J47" s="150"/>
      <c r="K47" s="150"/>
    </row>
    <row r="48" spans="1:11" ht="18.5" x14ac:dyDescent="0.45">
      <c r="A48" s="2" t="s">
        <v>75</v>
      </c>
      <c r="B48" s="2" t="s">
        <v>3</v>
      </c>
      <c r="C48" s="2" t="s">
        <v>100</v>
      </c>
      <c r="D48" s="2" t="s">
        <v>90</v>
      </c>
      <c r="E48" s="2" t="s">
        <v>91</v>
      </c>
      <c r="F48" s="2" t="s">
        <v>4</v>
      </c>
      <c r="G48" s="2" t="s">
        <v>101</v>
      </c>
      <c r="H48" s="2" t="s">
        <v>104</v>
      </c>
      <c r="I48" s="2"/>
      <c r="J48" s="2" t="s">
        <v>105</v>
      </c>
      <c r="K48" s="2" t="s">
        <v>106</v>
      </c>
    </row>
    <row r="49" spans="1:11" ht="15.5" x14ac:dyDescent="0.35">
      <c r="A49" s="3" t="s">
        <v>76</v>
      </c>
      <c r="B49" s="1"/>
      <c r="C49" s="20">
        <v>15500</v>
      </c>
      <c r="D49" s="1"/>
      <c r="E49" s="1"/>
      <c r="F49" s="20">
        <f>C49*B49</f>
        <v>0</v>
      </c>
      <c r="G49" s="20">
        <f>D49*C49</f>
        <v>0</v>
      </c>
      <c r="H49" s="20">
        <f>E49*C49</f>
        <v>0</v>
      </c>
      <c r="I49" s="20"/>
      <c r="J49" s="20">
        <f>B85</f>
        <v>467500</v>
      </c>
      <c r="K49" s="20" t="s">
        <v>117</v>
      </c>
    </row>
    <row r="50" spans="1:11" ht="15.5" x14ac:dyDescent="0.35">
      <c r="A50" s="3" t="s">
        <v>77</v>
      </c>
      <c r="B50" s="1"/>
      <c r="C50" s="20">
        <v>14500</v>
      </c>
      <c r="D50" s="1"/>
      <c r="E50" s="1"/>
      <c r="F50" s="20">
        <f t="shared" ref="F50:F61" si="3">C50*B50</f>
        <v>0</v>
      </c>
      <c r="G50" s="20">
        <f t="shared" ref="G50:G61" si="4">D50*C50</f>
        <v>0</v>
      </c>
      <c r="H50" s="20">
        <f t="shared" ref="H50:H65" si="5">E50*C50</f>
        <v>0</v>
      </c>
      <c r="I50" s="20"/>
      <c r="J50" s="20">
        <v>10000</v>
      </c>
      <c r="K50" s="20" t="s">
        <v>191</v>
      </c>
    </row>
    <row r="51" spans="1:11" ht="15.5" x14ac:dyDescent="0.35">
      <c r="A51" s="3" t="s">
        <v>78</v>
      </c>
      <c r="B51" s="1"/>
      <c r="C51" s="20">
        <v>15500</v>
      </c>
      <c r="D51" s="1"/>
      <c r="E51" s="1"/>
      <c r="F51" s="20">
        <f t="shared" si="3"/>
        <v>0</v>
      </c>
      <c r="G51" s="20">
        <f t="shared" si="4"/>
        <v>0</v>
      </c>
      <c r="H51" s="20">
        <f t="shared" si="5"/>
        <v>0</v>
      </c>
      <c r="I51" s="20"/>
      <c r="J51" s="20">
        <v>18000</v>
      </c>
      <c r="K51" s="20" t="s">
        <v>218</v>
      </c>
    </row>
    <row r="52" spans="1:11" ht="15.5" x14ac:dyDescent="0.35">
      <c r="A52" s="3" t="s">
        <v>79</v>
      </c>
      <c r="B52" s="1"/>
      <c r="C52" s="20">
        <v>15900</v>
      </c>
      <c r="D52" s="1"/>
      <c r="E52" s="1"/>
      <c r="F52" s="20">
        <f t="shared" si="3"/>
        <v>0</v>
      </c>
      <c r="G52" s="20">
        <f t="shared" si="4"/>
        <v>0</v>
      </c>
      <c r="H52" s="20">
        <f t="shared" si="5"/>
        <v>0</v>
      </c>
      <c r="I52" s="20"/>
      <c r="J52" s="20">
        <v>34150</v>
      </c>
      <c r="K52" s="20" t="s">
        <v>107</v>
      </c>
    </row>
    <row r="53" spans="1:11" ht="15.5" x14ac:dyDescent="0.35">
      <c r="A53" s="3" t="s">
        <v>80</v>
      </c>
      <c r="B53" s="1"/>
      <c r="C53" s="20">
        <v>15900</v>
      </c>
      <c r="D53" s="1"/>
      <c r="E53" s="1"/>
      <c r="F53" s="20">
        <f t="shared" si="3"/>
        <v>0</v>
      </c>
      <c r="G53" s="20">
        <f t="shared" si="4"/>
        <v>0</v>
      </c>
      <c r="H53" s="20">
        <f t="shared" si="5"/>
        <v>0</v>
      </c>
      <c r="I53" s="20"/>
      <c r="J53" s="20">
        <v>56000</v>
      </c>
      <c r="K53" s="20" t="s">
        <v>139</v>
      </c>
    </row>
    <row r="54" spans="1:11" ht="15.5" x14ac:dyDescent="0.35">
      <c r="A54" s="3" t="s">
        <v>81</v>
      </c>
      <c r="B54" s="1"/>
      <c r="C54" s="20">
        <v>20000</v>
      </c>
      <c r="D54" s="1"/>
      <c r="E54" s="1"/>
      <c r="F54" s="20">
        <f t="shared" si="3"/>
        <v>0</v>
      </c>
      <c r="G54" s="20">
        <f t="shared" si="4"/>
        <v>0</v>
      </c>
      <c r="H54" s="20">
        <f t="shared" si="5"/>
        <v>0</v>
      </c>
      <c r="I54" s="20"/>
      <c r="J54" s="20"/>
      <c r="K54" s="20"/>
    </row>
    <row r="55" spans="1:11" ht="15.5" x14ac:dyDescent="0.35">
      <c r="A55" s="3" t="s">
        <v>82</v>
      </c>
      <c r="B55" s="1"/>
      <c r="C55" s="20">
        <v>15500</v>
      </c>
      <c r="D55" s="1"/>
      <c r="E55" s="1"/>
      <c r="F55" s="20">
        <f t="shared" si="3"/>
        <v>0</v>
      </c>
      <c r="G55" s="20">
        <f t="shared" si="4"/>
        <v>0</v>
      </c>
      <c r="H55" s="20">
        <f t="shared" si="5"/>
        <v>0</v>
      </c>
      <c r="I55" s="20"/>
      <c r="J55" s="20"/>
      <c r="K55" s="20"/>
    </row>
    <row r="56" spans="1:11" ht="15.5" x14ac:dyDescent="0.35">
      <c r="A56" s="3" t="s">
        <v>83</v>
      </c>
      <c r="B56" s="1"/>
      <c r="C56" s="20">
        <v>15500</v>
      </c>
      <c r="D56" s="11"/>
      <c r="E56" s="1"/>
      <c r="F56" s="20">
        <f t="shared" si="3"/>
        <v>0</v>
      </c>
      <c r="G56" s="20">
        <f t="shared" si="4"/>
        <v>0</v>
      </c>
      <c r="H56" s="20">
        <f t="shared" si="5"/>
        <v>0</v>
      </c>
      <c r="I56" s="20"/>
      <c r="J56" s="20"/>
      <c r="K56" s="20"/>
    </row>
    <row r="57" spans="1:11" ht="15.5" x14ac:dyDescent="0.35">
      <c r="A57" s="3" t="s">
        <v>84</v>
      </c>
      <c r="B57" s="1"/>
      <c r="C57" s="20">
        <v>16400</v>
      </c>
      <c r="D57" s="1"/>
      <c r="E57" s="1"/>
      <c r="F57" s="20">
        <f t="shared" si="3"/>
        <v>0</v>
      </c>
      <c r="G57" s="20">
        <f t="shared" si="4"/>
        <v>0</v>
      </c>
      <c r="H57" s="20">
        <f t="shared" si="5"/>
        <v>0</v>
      </c>
      <c r="I57" s="20"/>
      <c r="J57" s="20"/>
      <c r="K57" s="20"/>
    </row>
    <row r="58" spans="1:11" ht="15.5" x14ac:dyDescent="0.35">
      <c r="A58" s="3" t="s">
        <v>85</v>
      </c>
      <c r="B58" s="1"/>
      <c r="C58" s="20">
        <v>16400</v>
      </c>
      <c r="D58" s="1"/>
      <c r="E58" s="1"/>
      <c r="F58" s="20">
        <f t="shared" si="3"/>
        <v>0</v>
      </c>
      <c r="G58" s="20">
        <f t="shared" si="4"/>
        <v>0</v>
      </c>
      <c r="H58" s="20">
        <f t="shared" si="5"/>
        <v>0</v>
      </c>
      <c r="I58" s="20"/>
      <c r="J58" s="20"/>
      <c r="K58" s="20"/>
    </row>
    <row r="59" spans="1:11" ht="15.5" x14ac:dyDescent="0.35">
      <c r="A59" s="3" t="s">
        <v>86</v>
      </c>
      <c r="B59" s="1"/>
      <c r="C59" s="20">
        <v>16400</v>
      </c>
      <c r="D59" s="1"/>
      <c r="E59" s="1"/>
      <c r="F59" s="20">
        <f t="shared" si="3"/>
        <v>0</v>
      </c>
      <c r="G59" s="20">
        <f t="shared" si="4"/>
        <v>0</v>
      </c>
      <c r="H59" s="20">
        <f t="shared" si="5"/>
        <v>0</v>
      </c>
      <c r="I59" s="20"/>
      <c r="J59" s="20"/>
      <c r="K59" s="20"/>
    </row>
    <row r="60" spans="1:11" ht="15.5" x14ac:dyDescent="0.35">
      <c r="A60" s="3" t="s">
        <v>87</v>
      </c>
      <c r="B60" s="1"/>
      <c r="C60" s="20">
        <v>16400</v>
      </c>
      <c r="D60" s="1"/>
      <c r="E60" s="1"/>
      <c r="F60" s="20">
        <f t="shared" si="3"/>
        <v>0</v>
      </c>
      <c r="G60" s="20">
        <f t="shared" si="4"/>
        <v>0</v>
      </c>
      <c r="H60" s="20">
        <f t="shared" si="5"/>
        <v>0</v>
      </c>
      <c r="I60" s="20"/>
      <c r="J60" s="20"/>
      <c r="K60" s="20"/>
    </row>
    <row r="61" spans="1:11" ht="15.5" x14ac:dyDescent="0.35">
      <c r="A61" s="3" t="s">
        <v>88</v>
      </c>
      <c r="B61" s="1"/>
      <c r="C61" s="20">
        <v>16400</v>
      </c>
      <c r="D61" s="1"/>
      <c r="E61" s="1"/>
      <c r="F61" s="20">
        <f t="shared" si="3"/>
        <v>0</v>
      </c>
      <c r="G61" s="20">
        <f t="shared" si="4"/>
        <v>0</v>
      </c>
      <c r="H61" s="20">
        <f t="shared" si="5"/>
        <v>0</v>
      </c>
      <c r="I61" s="20"/>
      <c r="J61" s="20"/>
      <c r="K61" s="20"/>
    </row>
    <row r="62" spans="1:11" ht="15.5" x14ac:dyDescent="0.35">
      <c r="A62" s="19" t="s">
        <v>89</v>
      </c>
      <c r="B62" s="1"/>
      <c r="C62" s="20"/>
      <c r="D62" s="1"/>
      <c r="E62" s="1"/>
      <c r="F62" s="20"/>
      <c r="G62" s="20"/>
      <c r="H62" s="20">
        <f t="shared" si="5"/>
        <v>0</v>
      </c>
      <c r="I62" s="20"/>
      <c r="J62" s="20"/>
      <c r="K62" s="20"/>
    </row>
    <row r="63" spans="1:11" ht="15.5" x14ac:dyDescent="0.35">
      <c r="A63" s="3" t="s">
        <v>92</v>
      </c>
      <c r="B63" s="1"/>
      <c r="C63" s="20">
        <v>19400</v>
      </c>
      <c r="D63" s="1"/>
      <c r="E63" s="1"/>
      <c r="F63" s="20">
        <f t="shared" ref="F63:F65" si="6">C63*B63</f>
        <v>0</v>
      </c>
      <c r="G63" s="20">
        <f t="shared" ref="G63:G65" si="7">D63*C63</f>
        <v>0</v>
      </c>
      <c r="H63" s="20">
        <f t="shared" si="5"/>
        <v>0</v>
      </c>
      <c r="I63" s="20"/>
      <c r="J63" s="20"/>
      <c r="K63" s="20"/>
    </row>
    <row r="64" spans="1:11" ht="15.5" x14ac:dyDescent="0.35">
      <c r="A64" s="3" t="s">
        <v>93</v>
      </c>
      <c r="B64" s="1"/>
      <c r="C64" s="20">
        <v>19400</v>
      </c>
      <c r="D64" s="1"/>
      <c r="E64" s="1"/>
      <c r="F64" s="20">
        <f t="shared" si="6"/>
        <v>0</v>
      </c>
      <c r="G64" s="20">
        <f t="shared" si="7"/>
        <v>0</v>
      </c>
      <c r="H64" s="20">
        <f t="shared" si="5"/>
        <v>0</v>
      </c>
      <c r="I64" s="20"/>
      <c r="J64" s="20"/>
      <c r="K64" s="20"/>
    </row>
    <row r="65" spans="1:11" ht="15.5" x14ac:dyDescent="0.35">
      <c r="A65" s="3" t="s">
        <v>94</v>
      </c>
      <c r="B65" s="1"/>
      <c r="C65" s="20">
        <v>19400</v>
      </c>
      <c r="D65" s="1"/>
      <c r="E65" s="1"/>
      <c r="F65" s="20">
        <f t="shared" si="6"/>
        <v>0</v>
      </c>
      <c r="G65" s="20">
        <f t="shared" si="7"/>
        <v>0</v>
      </c>
      <c r="H65" s="20">
        <f t="shared" si="5"/>
        <v>0</v>
      </c>
      <c r="I65" s="20"/>
      <c r="J65" s="20"/>
      <c r="K65" s="20"/>
    </row>
    <row r="66" spans="1:11" ht="15.5" x14ac:dyDescent="0.35">
      <c r="A66" s="19"/>
      <c r="B66" s="22">
        <f>SUM(B49:B65)</f>
        <v>0</v>
      </c>
      <c r="C66" s="20"/>
      <c r="D66" s="1"/>
      <c r="E66" s="1"/>
      <c r="F66" s="23">
        <f>SUM(F49:F65)</f>
        <v>0</v>
      </c>
      <c r="G66" s="23">
        <f>SUM(G49:G65)</f>
        <v>0</v>
      </c>
      <c r="H66" s="23">
        <f>SUM(H49:H65)</f>
        <v>0</v>
      </c>
      <c r="I66" s="23"/>
      <c r="J66" s="23">
        <f>SUM(J49:J65)</f>
        <v>585650</v>
      </c>
      <c r="K66" s="23">
        <f>H66-J66</f>
        <v>-585650</v>
      </c>
    </row>
    <row r="67" spans="1:11" ht="15.5" x14ac:dyDescent="0.35">
      <c r="A67" s="19" t="s">
        <v>95</v>
      </c>
      <c r="B67" s="1"/>
      <c r="C67" s="20"/>
      <c r="D67" s="1"/>
      <c r="E67" s="1"/>
      <c r="F67" s="20"/>
      <c r="G67" s="20"/>
      <c r="H67" s="20"/>
      <c r="I67" s="20"/>
      <c r="J67" s="20"/>
      <c r="K67" s="20"/>
    </row>
    <row r="68" spans="1:11" ht="15.5" x14ac:dyDescent="0.35">
      <c r="A68" s="3" t="s">
        <v>96</v>
      </c>
      <c r="B68" s="1"/>
      <c r="C68" s="20"/>
      <c r="D68" s="1"/>
      <c r="E68" s="1"/>
      <c r="F68" s="20">
        <f t="shared" ref="F68:F71" si="8">C68*B68</f>
        <v>0</v>
      </c>
      <c r="G68" s="20"/>
      <c r="H68" s="20"/>
      <c r="I68" s="20"/>
      <c r="J68" s="20"/>
      <c r="K68" s="20"/>
    </row>
    <row r="69" spans="1:11" ht="15.5" x14ac:dyDescent="0.35">
      <c r="A69" s="3" t="s">
        <v>97</v>
      </c>
      <c r="B69" s="1"/>
      <c r="C69" s="20"/>
      <c r="D69" s="1"/>
      <c r="E69" s="1"/>
      <c r="F69" s="20">
        <f t="shared" si="8"/>
        <v>0</v>
      </c>
      <c r="G69" s="20"/>
      <c r="H69" s="20"/>
      <c r="I69" s="20"/>
      <c r="J69" s="20"/>
      <c r="K69" s="20"/>
    </row>
    <row r="70" spans="1:11" ht="15.5" x14ac:dyDescent="0.35">
      <c r="A70" s="3" t="s">
        <v>98</v>
      </c>
      <c r="B70" s="1"/>
      <c r="C70" s="20"/>
      <c r="D70" s="1"/>
      <c r="E70" s="1"/>
      <c r="F70" s="20">
        <f t="shared" si="8"/>
        <v>0</v>
      </c>
      <c r="G70" s="20"/>
      <c r="H70" s="20"/>
      <c r="I70" s="20"/>
      <c r="J70" s="20"/>
      <c r="K70" s="20"/>
    </row>
    <row r="71" spans="1:11" ht="15.5" x14ac:dyDescent="0.35">
      <c r="A71" s="3" t="s">
        <v>99</v>
      </c>
      <c r="B71" s="1"/>
      <c r="C71" s="20"/>
      <c r="D71" s="1"/>
      <c r="E71" s="1"/>
      <c r="F71" s="20">
        <f t="shared" si="8"/>
        <v>0</v>
      </c>
      <c r="G71" s="20"/>
      <c r="H71" s="20"/>
      <c r="I71" s="20"/>
      <c r="J71" s="20"/>
      <c r="K71" s="20"/>
    </row>
    <row r="72" spans="1:11" ht="15.5" x14ac:dyDescent="0.35">
      <c r="A72" s="18"/>
    </row>
    <row r="74" spans="1:11" ht="15.5" x14ac:dyDescent="0.35">
      <c r="A74" s="24" t="s">
        <v>108</v>
      </c>
      <c r="J74" s="21"/>
    </row>
    <row r="75" spans="1:11" ht="15.5" x14ac:dyDescent="0.35">
      <c r="A75" s="18" t="s">
        <v>114</v>
      </c>
      <c r="B75">
        <v>53500</v>
      </c>
      <c r="J75" s="21"/>
    </row>
    <row r="76" spans="1:11" ht="15.5" x14ac:dyDescent="0.35">
      <c r="A76" s="18" t="s">
        <v>154</v>
      </c>
      <c r="B76">
        <v>53500</v>
      </c>
      <c r="J76" s="21"/>
    </row>
    <row r="77" spans="1:11" ht="15.5" x14ac:dyDescent="0.35">
      <c r="A77" s="18" t="s">
        <v>112</v>
      </c>
      <c r="B77">
        <v>40000</v>
      </c>
      <c r="J77" s="21"/>
    </row>
    <row r="78" spans="1:11" ht="15.5" x14ac:dyDescent="0.35">
      <c r="A78" s="18" t="s">
        <v>110</v>
      </c>
      <c r="B78">
        <v>40000</v>
      </c>
    </row>
    <row r="79" spans="1:11" ht="15.5" x14ac:dyDescent="0.35">
      <c r="A79" s="18" t="s">
        <v>111</v>
      </c>
      <c r="B79">
        <v>40000</v>
      </c>
    </row>
    <row r="80" spans="1:11" ht="15.5" x14ac:dyDescent="0.35">
      <c r="A80" s="18" t="s">
        <v>196</v>
      </c>
      <c r="B80">
        <v>40000</v>
      </c>
    </row>
    <row r="81" spans="1:11" ht="15.5" x14ac:dyDescent="0.35">
      <c r="A81" s="18" t="s">
        <v>113</v>
      </c>
      <c r="B81">
        <v>40000</v>
      </c>
    </row>
    <row r="82" spans="1:11" ht="15.5" x14ac:dyDescent="0.35">
      <c r="A82" s="18" t="s">
        <v>209</v>
      </c>
      <c r="B82">
        <v>53500</v>
      </c>
    </row>
    <row r="83" spans="1:11" ht="15.5" x14ac:dyDescent="0.35">
      <c r="A83" s="18" t="s">
        <v>116</v>
      </c>
      <c r="B83">
        <v>53500</v>
      </c>
    </row>
    <row r="84" spans="1:11" ht="15.5" x14ac:dyDescent="0.35">
      <c r="A84" s="18" t="s">
        <v>109</v>
      </c>
      <c r="B84">
        <v>53500</v>
      </c>
    </row>
    <row r="85" spans="1:11" ht="15.5" x14ac:dyDescent="0.35">
      <c r="A85" s="24" t="s">
        <v>4</v>
      </c>
      <c r="B85" s="17">
        <f>SUM(B75:B84)</f>
        <v>467500</v>
      </c>
    </row>
    <row r="88" spans="1:11" ht="18.5" x14ac:dyDescent="0.45">
      <c r="A88" s="149">
        <v>46029</v>
      </c>
      <c r="B88" s="149"/>
      <c r="C88" s="149"/>
      <c r="D88" s="149"/>
      <c r="E88" s="149"/>
      <c r="F88" s="149"/>
      <c r="G88" s="149"/>
      <c r="H88" s="149"/>
      <c r="I88" s="149"/>
      <c r="J88" s="149"/>
      <c r="K88" s="149"/>
    </row>
    <row r="89" spans="1:11" ht="18.5" x14ac:dyDescent="0.45">
      <c r="A89" s="150"/>
      <c r="B89" s="150"/>
      <c r="C89" s="150"/>
      <c r="D89" s="150"/>
      <c r="E89" s="150"/>
      <c r="F89" s="150"/>
      <c r="G89" s="150"/>
      <c r="H89" s="150"/>
      <c r="I89" s="150"/>
      <c r="J89" s="150"/>
      <c r="K89" s="150"/>
    </row>
    <row r="90" spans="1:11" ht="18.5" x14ac:dyDescent="0.45">
      <c r="A90" s="2" t="s">
        <v>75</v>
      </c>
      <c r="B90" s="2" t="s">
        <v>3</v>
      </c>
      <c r="C90" s="2" t="s">
        <v>100</v>
      </c>
      <c r="D90" s="2" t="s">
        <v>90</v>
      </c>
      <c r="E90" s="2" t="s">
        <v>91</v>
      </c>
      <c r="F90" s="2" t="s">
        <v>4</v>
      </c>
      <c r="G90" s="2" t="s">
        <v>101</v>
      </c>
      <c r="H90" s="2" t="s">
        <v>104</v>
      </c>
      <c r="I90" s="2"/>
      <c r="J90" s="2" t="s">
        <v>105</v>
      </c>
      <c r="K90" s="2" t="s">
        <v>106</v>
      </c>
    </row>
    <row r="91" spans="1:11" ht="15.5" x14ac:dyDescent="0.35">
      <c r="A91" s="3" t="s">
        <v>76</v>
      </c>
      <c r="B91" s="1"/>
      <c r="C91" s="20">
        <v>15500</v>
      </c>
      <c r="D91" s="1"/>
      <c r="E91" s="1"/>
      <c r="F91" s="20">
        <f>C91*B91</f>
        <v>0</v>
      </c>
      <c r="G91" s="20">
        <f>D91*C91</f>
        <v>0</v>
      </c>
      <c r="H91" s="20">
        <f>E91*C91</f>
        <v>0</v>
      </c>
      <c r="I91" s="20"/>
      <c r="J91" s="20">
        <f>B128</f>
        <v>588500</v>
      </c>
      <c r="K91" s="20" t="s">
        <v>117</v>
      </c>
    </row>
    <row r="92" spans="1:11" ht="15.5" x14ac:dyDescent="0.35">
      <c r="A92" s="3" t="s">
        <v>77</v>
      </c>
      <c r="B92" s="1"/>
      <c r="C92" s="20">
        <v>14500</v>
      </c>
      <c r="D92" s="1"/>
      <c r="E92" s="1"/>
      <c r="F92" s="20">
        <f t="shared" ref="F92:F103" si="9">C92*B92</f>
        <v>0</v>
      </c>
      <c r="G92" s="20">
        <f t="shared" ref="G92:G103" si="10">D92*C92</f>
        <v>0</v>
      </c>
      <c r="H92" s="20">
        <f t="shared" ref="H92:H107" si="11">E92*C92</f>
        <v>0</v>
      </c>
      <c r="I92" s="20"/>
      <c r="J92" s="20">
        <v>10000</v>
      </c>
      <c r="K92" s="20" t="s">
        <v>191</v>
      </c>
    </row>
    <row r="93" spans="1:11" ht="15.5" x14ac:dyDescent="0.35">
      <c r="A93" s="3" t="s">
        <v>78</v>
      </c>
      <c r="B93" s="1"/>
      <c r="C93" s="20">
        <v>15500</v>
      </c>
      <c r="D93" s="1"/>
      <c r="E93" s="1"/>
      <c r="F93" s="20">
        <f t="shared" si="9"/>
        <v>0</v>
      </c>
      <c r="G93" s="20">
        <f t="shared" si="10"/>
        <v>0</v>
      </c>
      <c r="H93" s="20">
        <f t="shared" si="11"/>
        <v>0</v>
      </c>
      <c r="I93" s="20"/>
      <c r="J93" s="20">
        <v>70000</v>
      </c>
      <c r="K93" s="20" t="s">
        <v>219</v>
      </c>
    </row>
    <row r="94" spans="1:11" ht="15.5" x14ac:dyDescent="0.35">
      <c r="A94" s="3" t="s">
        <v>79</v>
      </c>
      <c r="B94" s="1"/>
      <c r="C94" s="20">
        <v>15900</v>
      </c>
      <c r="D94" s="1"/>
      <c r="E94" s="1"/>
      <c r="F94" s="20">
        <f t="shared" si="9"/>
        <v>0</v>
      </c>
      <c r="G94" s="20">
        <f t="shared" si="10"/>
        <v>0</v>
      </c>
      <c r="H94" s="20">
        <f t="shared" si="11"/>
        <v>0</v>
      </c>
      <c r="I94" s="20"/>
      <c r="J94" s="20">
        <v>63325</v>
      </c>
      <c r="K94" s="20" t="s">
        <v>107</v>
      </c>
    </row>
    <row r="95" spans="1:11" ht="15.5" x14ac:dyDescent="0.35">
      <c r="A95" s="3" t="s">
        <v>80</v>
      </c>
      <c r="B95" s="1"/>
      <c r="C95" s="20">
        <v>15900</v>
      </c>
      <c r="D95" s="1"/>
      <c r="E95" s="1"/>
      <c r="F95" s="20">
        <f t="shared" si="9"/>
        <v>0</v>
      </c>
      <c r="G95" s="20">
        <f t="shared" si="10"/>
        <v>0</v>
      </c>
      <c r="H95" s="20">
        <f t="shared" si="11"/>
        <v>0</v>
      </c>
      <c r="I95" s="20"/>
      <c r="J95" s="20">
        <v>58870</v>
      </c>
      <c r="K95" s="20" t="s">
        <v>139</v>
      </c>
    </row>
    <row r="96" spans="1:11" ht="15.5" x14ac:dyDescent="0.35">
      <c r="A96" s="3" t="s">
        <v>81</v>
      </c>
      <c r="B96" s="1"/>
      <c r="C96" s="20">
        <v>20000</v>
      </c>
      <c r="D96" s="1"/>
      <c r="E96" s="1"/>
      <c r="F96" s="20">
        <f t="shared" si="9"/>
        <v>0</v>
      </c>
      <c r="G96" s="20">
        <f t="shared" si="10"/>
        <v>0</v>
      </c>
      <c r="H96" s="20">
        <f t="shared" si="11"/>
        <v>0</v>
      </c>
      <c r="I96" s="20"/>
      <c r="J96" s="20"/>
      <c r="K96" s="20"/>
    </row>
    <row r="97" spans="1:11" ht="15.5" x14ac:dyDescent="0.35">
      <c r="A97" s="3" t="s">
        <v>82</v>
      </c>
      <c r="B97" s="1"/>
      <c r="C97" s="20">
        <v>15500</v>
      </c>
      <c r="D97" s="1"/>
      <c r="E97" s="1"/>
      <c r="F97" s="20">
        <f t="shared" si="9"/>
        <v>0</v>
      </c>
      <c r="G97" s="20">
        <f t="shared" si="10"/>
        <v>0</v>
      </c>
      <c r="H97" s="20">
        <f t="shared" si="11"/>
        <v>0</v>
      </c>
      <c r="I97" s="20"/>
      <c r="J97" s="20"/>
      <c r="K97" s="20"/>
    </row>
    <row r="98" spans="1:11" ht="15.5" x14ac:dyDescent="0.35">
      <c r="A98" s="3" t="s">
        <v>83</v>
      </c>
      <c r="B98" s="1"/>
      <c r="C98" s="20">
        <v>15500</v>
      </c>
      <c r="D98" s="11"/>
      <c r="E98" s="1"/>
      <c r="F98" s="20">
        <f t="shared" si="9"/>
        <v>0</v>
      </c>
      <c r="G98" s="20">
        <f t="shared" si="10"/>
        <v>0</v>
      </c>
      <c r="H98" s="20">
        <f t="shared" si="11"/>
        <v>0</v>
      </c>
      <c r="I98" s="20"/>
      <c r="J98" s="20"/>
      <c r="K98" s="20"/>
    </row>
    <row r="99" spans="1:11" ht="15.5" x14ac:dyDescent="0.35">
      <c r="A99" s="3" t="s">
        <v>84</v>
      </c>
      <c r="B99" s="1"/>
      <c r="C99" s="20">
        <v>16400</v>
      </c>
      <c r="D99" s="1"/>
      <c r="E99" s="1"/>
      <c r="F99" s="20">
        <f t="shared" si="9"/>
        <v>0</v>
      </c>
      <c r="G99" s="20">
        <f t="shared" si="10"/>
        <v>0</v>
      </c>
      <c r="H99" s="20">
        <f t="shared" si="11"/>
        <v>0</v>
      </c>
      <c r="I99" s="20"/>
      <c r="J99" s="20"/>
      <c r="K99" s="20"/>
    </row>
    <row r="100" spans="1:11" ht="15.5" x14ac:dyDescent="0.35">
      <c r="A100" s="3" t="s">
        <v>85</v>
      </c>
      <c r="B100" s="1"/>
      <c r="C100" s="20">
        <v>16400</v>
      </c>
      <c r="D100" s="1"/>
      <c r="E100" s="1"/>
      <c r="F100" s="20">
        <f t="shared" si="9"/>
        <v>0</v>
      </c>
      <c r="G100" s="20">
        <f t="shared" si="10"/>
        <v>0</v>
      </c>
      <c r="H100" s="20">
        <f t="shared" si="11"/>
        <v>0</v>
      </c>
      <c r="I100" s="20"/>
      <c r="J100" s="20"/>
      <c r="K100" s="20"/>
    </row>
    <row r="101" spans="1:11" ht="15.5" x14ac:dyDescent="0.35">
      <c r="A101" s="3" t="s">
        <v>86</v>
      </c>
      <c r="B101" s="1"/>
      <c r="C101" s="20">
        <v>16400</v>
      </c>
      <c r="D101" s="1"/>
      <c r="E101" s="1"/>
      <c r="F101" s="20">
        <f t="shared" si="9"/>
        <v>0</v>
      </c>
      <c r="G101" s="20">
        <f t="shared" si="10"/>
        <v>0</v>
      </c>
      <c r="H101" s="20">
        <f t="shared" si="11"/>
        <v>0</v>
      </c>
      <c r="I101" s="20"/>
      <c r="J101" s="20"/>
      <c r="K101" s="20"/>
    </row>
    <row r="102" spans="1:11" ht="15.5" x14ac:dyDescent="0.35">
      <c r="A102" s="3" t="s">
        <v>87</v>
      </c>
      <c r="B102" s="1"/>
      <c r="C102" s="20">
        <v>16400</v>
      </c>
      <c r="D102" s="1"/>
      <c r="E102" s="1"/>
      <c r="F102" s="20">
        <f t="shared" si="9"/>
        <v>0</v>
      </c>
      <c r="G102" s="20">
        <f t="shared" si="10"/>
        <v>0</v>
      </c>
      <c r="H102" s="20">
        <f t="shared" si="11"/>
        <v>0</v>
      </c>
      <c r="I102" s="20"/>
      <c r="J102" s="20"/>
      <c r="K102" s="20"/>
    </row>
    <row r="103" spans="1:11" ht="15.5" x14ac:dyDescent="0.35">
      <c r="A103" s="3" t="s">
        <v>88</v>
      </c>
      <c r="B103" s="1"/>
      <c r="C103" s="20">
        <v>16400</v>
      </c>
      <c r="D103" s="1"/>
      <c r="E103" s="1"/>
      <c r="F103" s="20">
        <f t="shared" si="9"/>
        <v>0</v>
      </c>
      <c r="G103" s="20">
        <f t="shared" si="10"/>
        <v>0</v>
      </c>
      <c r="H103" s="20">
        <f t="shared" si="11"/>
        <v>0</v>
      </c>
      <c r="I103" s="20"/>
      <c r="J103" s="20"/>
      <c r="K103" s="20"/>
    </row>
    <row r="104" spans="1:11" ht="15.5" x14ac:dyDescent="0.35">
      <c r="A104" s="19" t="s">
        <v>89</v>
      </c>
      <c r="B104" s="1"/>
      <c r="C104" s="20"/>
      <c r="D104" s="1"/>
      <c r="E104" s="1"/>
      <c r="F104" s="20"/>
      <c r="G104" s="20"/>
      <c r="H104" s="20">
        <f t="shared" si="11"/>
        <v>0</v>
      </c>
      <c r="I104" s="20"/>
      <c r="J104" s="20"/>
      <c r="K104" s="20"/>
    </row>
    <row r="105" spans="1:11" ht="15.5" x14ac:dyDescent="0.35">
      <c r="A105" s="3" t="s">
        <v>92</v>
      </c>
      <c r="B105" s="1"/>
      <c r="C105" s="20">
        <v>19400</v>
      </c>
      <c r="D105" s="1"/>
      <c r="E105" s="1"/>
      <c r="F105" s="20">
        <f t="shared" ref="F105:F107" si="12">C105*B105</f>
        <v>0</v>
      </c>
      <c r="G105" s="20">
        <f t="shared" ref="G105:G107" si="13">D105*C105</f>
        <v>0</v>
      </c>
      <c r="H105" s="20">
        <f t="shared" si="11"/>
        <v>0</v>
      </c>
      <c r="I105" s="20"/>
      <c r="J105" s="20"/>
      <c r="K105" s="20"/>
    </row>
    <row r="106" spans="1:11" ht="15.5" x14ac:dyDescent="0.35">
      <c r="A106" s="3" t="s">
        <v>93</v>
      </c>
      <c r="B106" s="1"/>
      <c r="C106" s="20">
        <v>19400</v>
      </c>
      <c r="D106" s="1"/>
      <c r="E106" s="1"/>
      <c r="F106" s="20">
        <f t="shared" si="12"/>
        <v>0</v>
      </c>
      <c r="G106" s="20">
        <f t="shared" si="13"/>
        <v>0</v>
      </c>
      <c r="H106" s="20">
        <f t="shared" si="11"/>
        <v>0</v>
      </c>
      <c r="I106" s="20"/>
      <c r="J106" s="20"/>
      <c r="K106" s="20"/>
    </row>
    <row r="107" spans="1:11" ht="15.5" x14ac:dyDescent="0.35">
      <c r="A107" s="3" t="s">
        <v>94</v>
      </c>
      <c r="B107" s="1"/>
      <c r="C107" s="20">
        <v>19400</v>
      </c>
      <c r="D107" s="1"/>
      <c r="E107" s="1"/>
      <c r="F107" s="20">
        <f t="shared" si="12"/>
        <v>0</v>
      </c>
      <c r="G107" s="20">
        <f t="shared" si="13"/>
        <v>0</v>
      </c>
      <c r="H107" s="20">
        <f t="shared" si="11"/>
        <v>0</v>
      </c>
      <c r="I107" s="20"/>
      <c r="J107" s="20"/>
      <c r="K107" s="20"/>
    </row>
    <row r="108" spans="1:11" ht="15.5" x14ac:dyDescent="0.35">
      <c r="A108" s="19"/>
      <c r="B108" s="22">
        <f>SUM(B91:B107)</f>
        <v>0</v>
      </c>
      <c r="C108" s="20"/>
      <c r="D108" s="1"/>
      <c r="E108" s="1"/>
      <c r="F108" s="23">
        <f>SUM(F91:F107)</f>
        <v>0</v>
      </c>
      <c r="G108" s="23">
        <f>SUM(G91:G107)</f>
        <v>0</v>
      </c>
      <c r="H108" s="23">
        <f>SUM(H91:H107)</f>
        <v>0</v>
      </c>
      <c r="I108" s="23"/>
      <c r="J108" s="23">
        <f>SUM(J91:J107)</f>
        <v>790695</v>
      </c>
      <c r="K108" s="23">
        <f>H108-J108</f>
        <v>-790695</v>
      </c>
    </row>
    <row r="109" spans="1:11" ht="15.5" x14ac:dyDescent="0.35">
      <c r="A109" s="19" t="s">
        <v>95</v>
      </c>
      <c r="B109" s="1"/>
      <c r="C109" s="20"/>
      <c r="D109" s="1"/>
      <c r="E109" s="1"/>
      <c r="F109" s="20"/>
      <c r="G109" s="20"/>
      <c r="H109" s="20"/>
      <c r="I109" s="20"/>
      <c r="J109" s="20"/>
      <c r="K109" s="20"/>
    </row>
    <row r="110" spans="1:11" ht="15.5" x14ac:dyDescent="0.35">
      <c r="A110" s="3" t="s">
        <v>96</v>
      </c>
      <c r="B110" s="1"/>
      <c r="C110" s="20"/>
      <c r="D110" s="1"/>
      <c r="E110" s="1"/>
      <c r="F110" s="20">
        <f t="shared" ref="F110:F113" si="14">C110*B110</f>
        <v>0</v>
      </c>
      <c r="G110" s="20"/>
      <c r="H110" s="20"/>
      <c r="I110" s="20"/>
      <c r="J110" s="20"/>
      <c r="K110" s="20"/>
    </row>
    <row r="111" spans="1:11" ht="15.5" x14ac:dyDescent="0.35">
      <c r="A111" s="3" t="s">
        <v>97</v>
      </c>
      <c r="B111" s="1"/>
      <c r="C111" s="20"/>
      <c r="D111" s="1"/>
      <c r="E111" s="1"/>
      <c r="F111" s="20">
        <f t="shared" si="14"/>
        <v>0</v>
      </c>
      <c r="G111" s="20"/>
      <c r="H111" s="20"/>
      <c r="I111" s="20"/>
      <c r="J111" s="20"/>
      <c r="K111" s="20"/>
    </row>
    <row r="112" spans="1:11" ht="15.5" x14ac:dyDescent="0.35">
      <c r="A112" s="3" t="s">
        <v>98</v>
      </c>
      <c r="B112" s="1"/>
      <c r="C112" s="20"/>
      <c r="D112" s="1"/>
      <c r="E112" s="1"/>
      <c r="F112" s="20">
        <f t="shared" si="14"/>
        <v>0</v>
      </c>
      <c r="G112" s="20"/>
      <c r="H112" s="20"/>
      <c r="I112" s="20"/>
      <c r="J112" s="20"/>
      <c r="K112" s="20"/>
    </row>
    <row r="113" spans="1:11" ht="15.5" x14ac:dyDescent="0.35">
      <c r="A113" s="3" t="s">
        <v>99</v>
      </c>
      <c r="B113" s="1"/>
      <c r="C113" s="20"/>
      <c r="D113" s="1"/>
      <c r="E113" s="1"/>
      <c r="F113" s="20">
        <f t="shared" si="14"/>
        <v>0</v>
      </c>
      <c r="G113" s="20"/>
      <c r="H113" s="20"/>
      <c r="I113" s="20"/>
      <c r="J113" s="20"/>
      <c r="K113" s="20"/>
    </row>
    <row r="114" spans="1:11" ht="15.5" x14ac:dyDescent="0.35">
      <c r="A114" s="18"/>
    </row>
    <row r="116" spans="1:11" ht="15.5" x14ac:dyDescent="0.35">
      <c r="A116" s="24" t="s">
        <v>108</v>
      </c>
      <c r="J116" s="21"/>
    </row>
    <row r="117" spans="1:11" ht="15.5" x14ac:dyDescent="0.35">
      <c r="A117" s="18" t="s">
        <v>114</v>
      </c>
      <c r="B117">
        <v>53500</v>
      </c>
      <c r="J117" s="21"/>
    </row>
    <row r="118" spans="1:11" ht="15.5" x14ac:dyDescent="0.35">
      <c r="A118" s="18" t="s">
        <v>154</v>
      </c>
      <c r="B118">
        <v>53500</v>
      </c>
      <c r="J118" s="21"/>
    </row>
    <row r="119" spans="1:11" ht="15.5" x14ac:dyDescent="0.35">
      <c r="A119" s="18" t="s">
        <v>112</v>
      </c>
      <c r="B119">
        <v>53500</v>
      </c>
      <c r="J119" s="21"/>
    </row>
    <row r="120" spans="1:11" ht="15.5" x14ac:dyDescent="0.35">
      <c r="A120" s="18" t="s">
        <v>110</v>
      </c>
      <c r="B120">
        <v>53500</v>
      </c>
    </row>
    <row r="121" spans="1:11" ht="15.5" x14ac:dyDescent="0.35">
      <c r="A121" s="18" t="s">
        <v>111</v>
      </c>
      <c r="B121">
        <v>53500</v>
      </c>
    </row>
    <row r="122" spans="1:11" ht="15.5" x14ac:dyDescent="0.35">
      <c r="A122" s="18" t="s">
        <v>196</v>
      </c>
      <c r="B122">
        <v>53500</v>
      </c>
    </row>
    <row r="123" spans="1:11" ht="15.5" x14ac:dyDescent="0.35">
      <c r="A123" s="18" t="s">
        <v>113</v>
      </c>
      <c r="B123">
        <v>53500</v>
      </c>
    </row>
    <row r="124" spans="1:11" ht="15.5" x14ac:dyDescent="0.35">
      <c r="A124" s="18" t="s">
        <v>209</v>
      </c>
      <c r="B124">
        <v>53500</v>
      </c>
    </row>
    <row r="125" spans="1:11" ht="15.5" x14ac:dyDescent="0.35">
      <c r="A125" s="18" t="s">
        <v>122</v>
      </c>
      <c r="B125">
        <v>53500</v>
      </c>
    </row>
    <row r="126" spans="1:11" ht="15.5" x14ac:dyDescent="0.35">
      <c r="A126" s="18" t="s">
        <v>116</v>
      </c>
      <c r="B126">
        <v>53500</v>
      </c>
    </row>
    <row r="127" spans="1:11" ht="15.5" x14ac:dyDescent="0.35">
      <c r="A127" s="18" t="s">
        <v>109</v>
      </c>
      <c r="B127">
        <v>53500</v>
      </c>
    </row>
    <row r="128" spans="1:11" ht="15.5" x14ac:dyDescent="0.35">
      <c r="A128" s="24" t="s">
        <v>4</v>
      </c>
      <c r="B128" s="17">
        <f>SUM(B117:B127)</f>
        <v>588500</v>
      </c>
    </row>
    <row r="131" spans="1:11" ht="18.5" x14ac:dyDescent="0.45">
      <c r="A131" s="149">
        <v>46030</v>
      </c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</row>
    <row r="132" spans="1:11" ht="18.5" x14ac:dyDescent="0.45">
      <c r="A132" s="150"/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</row>
    <row r="133" spans="1:11" ht="18.5" x14ac:dyDescent="0.45">
      <c r="A133" s="2" t="s">
        <v>75</v>
      </c>
      <c r="B133" s="2" t="s">
        <v>3</v>
      </c>
      <c r="C133" s="2" t="s">
        <v>100</v>
      </c>
      <c r="D133" s="2" t="s">
        <v>90</v>
      </c>
      <c r="E133" s="2" t="s">
        <v>91</v>
      </c>
      <c r="F133" s="2" t="s">
        <v>4</v>
      </c>
      <c r="G133" s="2" t="s">
        <v>101</v>
      </c>
      <c r="H133" s="2" t="s">
        <v>104</v>
      </c>
      <c r="I133" s="2"/>
      <c r="J133" s="2" t="s">
        <v>105</v>
      </c>
      <c r="K133" s="2" t="s">
        <v>106</v>
      </c>
    </row>
    <row r="134" spans="1:11" ht="15.5" x14ac:dyDescent="0.35">
      <c r="A134" s="3" t="s">
        <v>76</v>
      </c>
      <c r="B134" s="1"/>
      <c r="C134" s="20">
        <v>15500</v>
      </c>
      <c r="D134" s="1"/>
      <c r="E134" s="1"/>
      <c r="F134" s="20">
        <f>C134*B134</f>
        <v>0</v>
      </c>
      <c r="G134" s="20">
        <f>D134*C134</f>
        <v>0</v>
      </c>
      <c r="H134" s="20">
        <f>E134*C134</f>
        <v>0</v>
      </c>
      <c r="I134" s="20"/>
      <c r="J134" s="20">
        <f>B172</f>
        <v>642000</v>
      </c>
      <c r="K134" s="20" t="s">
        <v>117</v>
      </c>
    </row>
    <row r="135" spans="1:11" ht="15.5" x14ac:dyDescent="0.35">
      <c r="A135" s="3" t="s">
        <v>77</v>
      </c>
      <c r="B135" s="1"/>
      <c r="C135" s="20">
        <v>14500</v>
      </c>
      <c r="D135" s="1"/>
      <c r="E135" s="1"/>
      <c r="F135" s="20">
        <f t="shared" ref="F135:F146" si="15">C135*B135</f>
        <v>0</v>
      </c>
      <c r="G135" s="20">
        <f t="shared" ref="G135:G146" si="16">D135*C135</f>
        <v>0</v>
      </c>
      <c r="H135" s="20">
        <f t="shared" ref="H135:H150" si="17">E135*C135</f>
        <v>0</v>
      </c>
      <c r="I135" s="20"/>
      <c r="J135" s="20">
        <v>10000</v>
      </c>
      <c r="K135" s="20" t="s">
        <v>191</v>
      </c>
    </row>
    <row r="136" spans="1:11" ht="15.5" x14ac:dyDescent="0.35">
      <c r="A136" s="3" t="s">
        <v>78</v>
      </c>
      <c r="B136" s="1"/>
      <c r="C136" s="20">
        <v>15500</v>
      </c>
      <c r="D136" s="1"/>
      <c r="E136" s="1"/>
      <c r="F136" s="20">
        <f t="shared" si="15"/>
        <v>0</v>
      </c>
      <c r="G136" s="20">
        <f t="shared" si="16"/>
        <v>0</v>
      </c>
      <c r="H136" s="20">
        <f t="shared" si="17"/>
        <v>0</v>
      </c>
      <c r="I136" s="20"/>
      <c r="J136" s="20">
        <v>138400</v>
      </c>
      <c r="K136" s="20" t="s">
        <v>155</v>
      </c>
    </row>
    <row r="137" spans="1:11" ht="15.5" x14ac:dyDescent="0.35">
      <c r="A137" s="3" t="s">
        <v>79</v>
      </c>
      <c r="B137" s="1"/>
      <c r="C137" s="20">
        <v>15900</v>
      </c>
      <c r="D137" s="1"/>
      <c r="E137" s="1"/>
      <c r="F137" s="20">
        <f t="shared" si="15"/>
        <v>0</v>
      </c>
      <c r="G137" s="20">
        <f t="shared" si="16"/>
        <v>0</v>
      </c>
      <c r="H137" s="20">
        <f t="shared" si="17"/>
        <v>0</v>
      </c>
      <c r="I137" s="20"/>
      <c r="J137" s="20">
        <v>15000</v>
      </c>
      <c r="K137" s="20" t="s">
        <v>127</v>
      </c>
    </row>
    <row r="138" spans="1:11" ht="15.5" x14ac:dyDescent="0.35">
      <c r="A138" s="3" t="s">
        <v>80</v>
      </c>
      <c r="B138" s="1"/>
      <c r="C138" s="20">
        <v>15900</v>
      </c>
      <c r="D138" s="1"/>
      <c r="E138" s="1"/>
      <c r="F138" s="20">
        <f t="shared" si="15"/>
        <v>0</v>
      </c>
      <c r="G138" s="20">
        <f t="shared" si="16"/>
        <v>0</v>
      </c>
      <c r="H138" s="20">
        <f t="shared" si="17"/>
        <v>0</v>
      </c>
      <c r="I138" s="20"/>
      <c r="J138" s="20"/>
      <c r="K138" s="20"/>
    </row>
    <row r="139" spans="1:11" ht="15.5" x14ac:dyDescent="0.35">
      <c r="A139" s="3" t="s">
        <v>81</v>
      </c>
      <c r="B139" s="1"/>
      <c r="C139" s="20">
        <v>20000</v>
      </c>
      <c r="D139" s="1"/>
      <c r="E139" s="1"/>
      <c r="F139" s="20">
        <f t="shared" si="15"/>
        <v>0</v>
      </c>
      <c r="G139" s="20">
        <f t="shared" si="16"/>
        <v>0</v>
      </c>
      <c r="H139" s="20">
        <f t="shared" si="17"/>
        <v>0</v>
      </c>
      <c r="I139" s="20"/>
      <c r="J139" s="20"/>
      <c r="K139" s="20"/>
    </row>
    <row r="140" spans="1:11" ht="15.5" x14ac:dyDescent="0.35">
      <c r="A140" s="3" t="s">
        <v>82</v>
      </c>
      <c r="B140" s="1"/>
      <c r="C140" s="20">
        <v>15500</v>
      </c>
      <c r="D140" s="1"/>
      <c r="E140" s="1"/>
      <c r="F140" s="20">
        <f t="shared" si="15"/>
        <v>0</v>
      </c>
      <c r="G140" s="20">
        <f t="shared" si="16"/>
        <v>0</v>
      </c>
      <c r="H140" s="20">
        <f t="shared" si="17"/>
        <v>0</v>
      </c>
      <c r="I140" s="20"/>
      <c r="J140" s="20"/>
      <c r="K140" s="20"/>
    </row>
    <row r="141" spans="1:11" ht="15.5" x14ac:dyDescent="0.35">
      <c r="A141" s="3" t="s">
        <v>83</v>
      </c>
      <c r="B141" s="1"/>
      <c r="C141" s="20">
        <v>15500</v>
      </c>
      <c r="D141" s="11"/>
      <c r="E141" s="1"/>
      <c r="F141" s="20">
        <f t="shared" si="15"/>
        <v>0</v>
      </c>
      <c r="G141" s="20">
        <f t="shared" si="16"/>
        <v>0</v>
      </c>
      <c r="H141" s="20">
        <f t="shared" si="17"/>
        <v>0</v>
      </c>
      <c r="I141" s="20"/>
      <c r="J141" s="20"/>
      <c r="K141" s="20"/>
    </row>
    <row r="142" spans="1:11" ht="15.5" x14ac:dyDescent="0.35">
      <c r="A142" s="3" t="s">
        <v>84</v>
      </c>
      <c r="B142" s="1"/>
      <c r="C142" s="20">
        <v>16400</v>
      </c>
      <c r="D142" s="1"/>
      <c r="E142" s="1"/>
      <c r="F142" s="20">
        <f t="shared" si="15"/>
        <v>0</v>
      </c>
      <c r="G142" s="20">
        <f t="shared" si="16"/>
        <v>0</v>
      </c>
      <c r="H142" s="20">
        <f t="shared" si="17"/>
        <v>0</v>
      </c>
      <c r="I142" s="20"/>
      <c r="J142" s="20"/>
      <c r="K142" s="20"/>
    </row>
    <row r="143" spans="1:11" ht="15.5" x14ac:dyDescent="0.35">
      <c r="A143" s="3" t="s">
        <v>85</v>
      </c>
      <c r="B143" s="1"/>
      <c r="C143" s="20">
        <v>16400</v>
      </c>
      <c r="D143" s="1"/>
      <c r="E143" s="1"/>
      <c r="F143" s="20">
        <f t="shared" si="15"/>
        <v>0</v>
      </c>
      <c r="G143" s="20">
        <f t="shared" si="16"/>
        <v>0</v>
      </c>
      <c r="H143" s="20">
        <f t="shared" si="17"/>
        <v>0</v>
      </c>
      <c r="I143" s="20"/>
      <c r="J143" s="20"/>
      <c r="K143" s="20"/>
    </row>
    <row r="144" spans="1:11" ht="15.5" x14ac:dyDescent="0.35">
      <c r="A144" s="3" t="s">
        <v>86</v>
      </c>
      <c r="B144" s="1"/>
      <c r="C144" s="20">
        <v>16400</v>
      </c>
      <c r="D144" s="1"/>
      <c r="E144" s="1"/>
      <c r="F144" s="20">
        <f t="shared" si="15"/>
        <v>0</v>
      </c>
      <c r="G144" s="20">
        <f t="shared" si="16"/>
        <v>0</v>
      </c>
      <c r="H144" s="20">
        <f t="shared" si="17"/>
        <v>0</v>
      </c>
      <c r="I144" s="20"/>
      <c r="J144" s="20"/>
      <c r="K144" s="20"/>
    </row>
    <row r="145" spans="1:11" ht="15.5" x14ac:dyDescent="0.35">
      <c r="A145" s="3" t="s">
        <v>87</v>
      </c>
      <c r="B145" s="1"/>
      <c r="C145" s="20">
        <v>16400</v>
      </c>
      <c r="D145" s="1"/>
      <c r="E145" s="1"/>
      <c r="F145" s="20">
        <f t="shared" si="15"/>
        <v>0</v>
      </c>
      <c r="G145" s="20">
        <f t="shared" si="16"/>
        <v>0</v>
      </c>
      <c r="H145" s="20">
        <f t="shared" si="17"/>
        <v>0</v>
      </c>
      <c r="I145" s="20"/>
      <c r="J145" s="20"/>
      <c r="K145" s="20"/>
    </row>
    <row r="146" spans="1:11" ht="15.5" x14ac:dyDescent="0.35">
      <c r="A146" s="3" t="s">
        <v>88</v>
      </c>
      <c r="B146" s="1"/>
      <c r="C146" s="20">
        <v>16400</v>
      </c>
      <c r="D146" s="1"/>
      <c r="E146" s="1"/>
      <c r="F146" s="20">
        <f t="shared" si="15"/>
        <v>0</v>
      </c>
      <c r="G146" s="20">
        <f t="shared" si="16"/>
        <v>0</v>
      </c>
      <c r="H146" s="20">
        <f t="shared" si="17"/>
        <v>0</v>
      </c>
      <c r="I146" s="20"/>
      <c r="J146" s="20"/>
      <c r="K146" s="20"/>
    </row>
    <row r="147" spans="1:11" ht="15.5" x14ac:dyDescent="0.35">
      <c r="A147" s="19" t="s">
        <v>89</v>
      </c>
      <c r="B147" s="1"/>
      <c r="C147" s="20"/>
      <c r="D147" s="1"/>
      <c r="E147" s="1"/>
      <c r="F147" s="20"/>
      <c r="G147" s="20"/>
      <c r="H147" s="20">
        <f t="shared" si="17"/>
        <v>0</v>
      </c>
      <c r="I147" s="20"/>
      <c r="J147" s="20"/>
      <c r="K147" s="20"/>
    </row>
    <row r="148" spans="1:11" ht="15.5" x14ac:dyDescent="0.35">
      <c r="A148" s="3" t="s">
        <v>92</v>
      </c>
      <c r="B148" s="1"/>
      <c r="C148" s="20">
        <v>19400</v>
      </c>
      <c r="D148" s="1"/>
      <c r="E148" s="1"/>
      <c r="F148" s="20">
        <f t="shared" ref="F148:F150" si="18">C148*B148</f>
        <v>0</v>
      </c>
      <c r="G148" s="20">
        <f t="shared" ref="G148:G150" si="19">D148*C148</f>
        <v>0</v>
      </c>
      <c r="H148" s="20">
        <f t="shared" si="17"/>
        <v>0</v>
      </c>
      <c r="I148" s="20"/>
      <c r="J148" s="20"/>
      <c r="K148" s="20"/>
    </row>
    <row r="149" spans="1:11" ht="15.5" x14ac:dyDescent="0.35">
      <c r="A149" s="3" t="s">
        <v>93</v>
      </c>
      <c r="B149" s="1"/>
      <c r="C149" s="20">
        <v>19400</v>
      </c>
      <c r="D149" s="1"/>
      <c r="E149" s="1"/>
      <c r="F149" s="20">
        <f t="shared" si="18"/>
        <v>0</v>
      </c>
      <c r="G149" s="20">
        <f t="shared" si="19"/>
        <v>0</v>
      </c>
      <c r="H149" s="20">
        <f t="shared" si="17"/>
        <v>0</v>
      </c>
      <c r="I149" s="20"/>
      <c r="J149" s="20"/>
      <c r="K149" s="20"/>
    </row>
    <row r="150" spans="1:11" ht="15.5" x14ac:dyDescent="0.35">
      <c r="A150" s="3" t="s">
        <v>94</v>
      </c>
      <c r="B150" s="1"/>
      <c r="C150" s="20">
        <v>19400</v>
      </c>
      <c r="D150" s="1"/>
      <c r="E150" s="1"/>
      <c r="F150" s="20">
        <f t="shared" si="18"/>
        <v>0</v>
      </c>
      <c r="G150" s="20">
        <f t="shared" si="19"/>
        <v>0</v>
      </c>
      <c r="H150" s="20">
        <f t="shared" si="17"/>
        <v>0</v>
      </c>
      <c r="I150" s="20"/>
      <c r="J150" s="20"/>
      <c r="K150" s="20"/>
    </row>
    <row r="151" spans="1:11" ht="15.5" x14ac:dyDescent="0.35">
      <c r="A151" s="19"/>
      <c r="B151" s="22">
        <f>SUM(B134:B150)</f>
        <v>0</v>
      </c>
      <c r="C151" s="20"/>
      <c r="D151" s="1"/>
      <c r="E151" s="1"/>
      <c r="F151" s="23">
        <f>SUM(F134:F150)</f>
        <v>0</v>
      </c>
      <c r="G151" s="23">
        <f>SUM(G134:G150)</f>
        <v>0</v>
      </c>
      <c r="H151" s="23">
        <f>SUM(H134:H150)</f>
        <v>0</v>
      </c>
      <c r="I151" s="23"/>
      <c r="J151" s="23">
        <f>SUM(J134:J150)</f>
        <v>805400</v>
      </c>
      <c r="K151" s="23">
        <f>H151-J151</f>
        <v>-805400</v>
      </c>
    </row>
    <row r="152" spans="1:11" ht="15.5" x14ac:dyDescent="0.35">
      <c r="A152" s="19" t="s">
        <v>95</v>
      </c>
      <c r="B152" s="1"/>
      <c r="C152" s="20"/>
      <c r="D152" s="1"/>
      <c r="E152" s="1"/>
      <c r="F152" s="20"/>
      <c r="G152" s="20"/>
      <c r="H152" s="20"/>
      <c r="I152" s="20"/>
      <c r="J152" s="20"/>
      <c r="K152" s="20"/>
    </row>
    <row r="153" spans="1:11" ht="15.5" x14ac:dyDescent="0.35">
      <c r="A153" s="3" t="s">
        <v>96</v>
      </c>
      <c r="B153" s="1"/>
      <c r="C153" s="20"/>
      <c r="D153" s="1"/>
      <c r="E153" s="1"/>
      <c r="F153" s="20">
        <f t="shared" ref="F153:F156" si="20">C153*B153</f>
        <v>0</v>
      </c>
      <c r="G153" s="20"/>
      <c r="H153" s="20"/>
      <c r="I153" s="20"/>
      <c r="J153" s="20"/>
      <c r="K153" s="20"/>
    </row>
    <row r="154" spans="1:11" ht="15.5" x14ac:dyDescent="0.35">
      <c r="A154" s="3" t="s">
        <v>97</v>
      </c>
      <c r="B154" s="1"/>
      <c r="C154" s="20"/>
      <c r="D154" s="1"/>
      <c r="E154" s="1"/>
      <c r="F154" s="20">
        <f t="shared" si="20"/>
        <v>0</v>
      </c>
      <c r="G154" s="20"/>
      <c r="H154" s="20"/>
      <c r="I154" s="20"/>
      <c r="J154" s="20"/>
      <c r="K154" s="20"/>
    </row>
    <row r="155" spans="1:11" ht="15.5" x14ac:dyDescent="0.35">
      <c r="A155" s="3" t="s">
        <v>98</v>
      </c>
      <c r="B155" s="1"/>
      <c r="C155" s="20"/>
      <c r="D155" s="1"/>
      <c r="E155" s="1"/>
      <c r="F155" s="20">
        <f t="shared" si="20"/>
        <v>0</v>
      </c>
      <c r="G155" s="20"/>
      <c r="H155" s="20"/>
      <c r="I155" s="20"/>
      <c r="J155" s="20"/>
      <c r="K155" s="20"/>
    </row>
    <row r="156" spans="1:11" ht="15.5" x14ac:dyDescent="0.35">
      <c r="A156" s="3" t="s">
        <v>99</v>
      </c>
      <c r="B156" s="1"/>
      <c r="C156" s="20"/>
      <c r="D156" s="1"/>
      <c r="E156" s="1"/>
      <c r="F156" s="20">
        <f t="shared" si="20"/>
        <v>0</v>
      </c>
      <c r="G156" s="20"/>
      <c r="H156" s="20"/>
      <c r="I156" s="20"/>
      <c r="J156" s="20"/>
      <c r="K156" s="20"/>
    </row>
    <row r="157" spans="1:11" ht="15.5" x14ac:dyDescent="0.35">
      <c r="A157" s="18"/>
    </row>
    <row r="159" spans="1:11" ht="15.5" x14ac:dyDescent="0.35">
      <c r="A159" s="24" t="s">
        <v>108</v>
      </c>
      <c r="J159" s="21"/>
    </row>
    <row r="160" spans="1:11" ht="15.5" x14ac:dyDescent="0.35">
      <c r="A160" s="18" t="s">
        <v>114</v>
      </c>
      <c r="B160">
        <v>53500</v>
      </c>
      <c r="J160" s="21"/>
    </row>
    <row r="161" spans="1:11" ht="15.5" x14ac:dyDescent="0.35">
      <c r="A161" s="18" t="s">
        <v>154</v>
      </c>
      <c r="B161">
        <v>53500</v>
      </c>
      <c r="J161" s="21"/>
    </row>
    <row r="162" spans="1:11" ht="15.5" x14ac:dyDescent="0.35">
      <c r="A162" s="18" t="s">
        <v>112</v>
      </c>
      <c r="B162">
        <v>53500</v>
      </c>
      <c r="J162" s="21"/>
    </row>
    <row r="163" spans="1:11" ht="15.5" x14ac:dyDescent="0.35">
      <c r="A163" s="18" t="s">
        <v>110</v>
      </c>
      <c r="B163">
        <v>53500</v>
      </c>
    </row>
    <row r="164" spans="1:11" ht="15.5" x14ac:dyDescent="0.35">
      <c r="A164" s="18" t="s">
        <v>111</v>
      </c>
      <c r="B164">
        <v>53500</v>
      </c>
    </row>
    <row r="165" spans="1:11" ht="15.5" x14ac:dyDescent="0.35">
      <c r="A165" s="18" t="s">
        <v>196</v>
      </c>
      <c r="B165">
        <v>53500</v>
      </c>
    </row>
    <row r="166" spans="1:11" ht="15.5" x14ac:dyDescent="0.35">
      <c r="A166" s="18" t="s">
        <v>113</v>
      </c>
      <c r="B166">
        <v>53500</v>
      </c>
    </row>
    <row r="167" spans="1:11" ht="15.5" x14ac:dyDescent="0.35">
      <c r="A167" s="18" t="s">
        <v>209</v>
      </c>
      <c r="B167">
        <v>53500</v>
      </c>
    </row>
    <row r="168" spans="1:11" ht="15.5" x14ac:dyDescent="0.35">
      <c r="A168" s="18" t="s">
        <v>115</v>
      </c>
      <c r="B168">
        <v>53500</v>
      </c>
    </row>
    <row r="169" spans="1:11" ht="15.5" x14ac:dyDescent="0.35">
      <c r="A169" s="18" t="s">
        <v>122</v>
      </c>
      <c r="B169">
        <v>53500</v>
      </c>
    </row>
    <row r="170" spans="1:11" ht="15.5" x14ac:dyDescent="0.35">
      <c r="A170" s="18" t="s">
        <v>116</v>
      </c>
      <c r="B170">
        <v>53500</v>
      </c>
    </row>
    <row r="171" spans="1:11" ht="15.5" x14ac:dyDescent="0.35">
      <c r="A171" s="18" t="s">
        <v>109</v>
      </c>
      <c r="B171">
        <v>53500</v>
      </c>
    </row>
    <row r="172" spans="1:11" ht="15.5" x14ac:dyDescent="0.35">
      <c r="A172" s="24" t="s">
        <v>4</v>
      </c>
      <c r="B172" s="17">
        <f>SUM(B160:B171)</f>
        <v>642000</v>
      </c>
    </row>
    <row r="175" spans="1:11" ht="18.5" x14ac:dyDescent="0.45">
      <c r="A175" s="149">
        <v>46031</v>
      </c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</row>
    <row r="176" spans="1:11" ht="18.5" x14ac:dyDescent="0.45">
      <c r="A176" s="150"/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</row>
    <row r="177" spans="1:11" ht="18.5" x14ac:dyDescent="0.45">
      <c r="A177" s="2" t="s">
        <v>75</v>
      </c>
      <c r="B177" s="2" t="s">
        <v>3</v>
      </c>
      <c r="C177" s="2" t="s">
        <v>100</v>
      </c>
      <c r="D177" s="2" t="s">
        <v>90</v>
      </c>
      <c r="E177" s="2" t="s">
        <v>91</v>
      </c>
      <c r="F177" s="2" t="s">
        <v>4</v>
      </c>
      <c r="G177" s="2" t="s">
        <v>101</v>
      </c>
      <c r="H177" s="2" t="s">
        <v>104</v>
      </c>
      <c r="I177" s="2"/>
      <c r="J177" s="2" t="s">
        <v>105</v>
      </c>
      <c r="K177" s="2" t="s">
        <v>106</v>
      </c>
    </row>
    <row r="178" spans="1:11" ht="15.5" x14ac:dyDescent="0.35">
      <c r="A178" s="3" t="s">
        <v>76</v>
      </c>
      <c r="B178" s="1"/>
      <c r="C178" s="20">
        <v>15500</v>
      </c>
      <c r="D178" s="1"/>
      <c r="E178" s="1"/>
      <c r="F178" s="20">
        <f>C178*B178</f>
        <v>0</v>
      </c>
      <c r="G178" s="20">
        <f>D178*C178</f>
        <v>0</v>
      </c>
      <c r="H178" s="20">
        <f>E178*C178</f>
        <v>0</v>
      </c>
      <c r="I178" s="20"/>
      <c r="J178" s="20">
        <f>B216</f>
        <v>642000</v>
      </c>
      <c r="K178" s="20" t="s">
        <v>117</v>
      </c>
    </row>
    <row r="179" spans="1:11" ht="15.5" x14ac:dyDescent="0.35">
      <c r="A179" s="3" t="s">
        <v>77</v>
      </c>
      <c r="B179" s="1"/>
      <c r="C179" s="20">
        <v>14500</v>
      </c>
      <c r="D179" s="1"/>
      <c r="E179" s="1"/>
      <c r="F179" s="20">
        <f t="shared" ref="F179:F190" si="21">C179*B179</f>
        <v>0</v>
      </c>
      <c r="G179" s="20">
        <f t="shared" ref="G179:G190" si="22">D179*C179</f>
        <v>0</v>
      </c>
      <c r="H179" s="20">
        <f t="shared" ref="H179:H194" si="23">E179*C179</f>
        <v>0</v>
      </c>
      <c r="I179" s="20"/>
      <c r="J179" s="20">
        <v>10000</v>
      </c>
      <c r="K179" s="20" t="s">
        <v>191</v>
      </c>
    </row>
    <row r="180" spans="1:11" ht="15.5" x14ac:dyDescent="0.35">
      <c r="A180" s="3" t="s">
        <v>78</v>
      </c>
      <c r="B180" s="1"/>
      <c r="C180" s="20">
        <v>15500</v>
      </c>
      <c r="D180" s="1"/>
      <c r="E180" s="1"/>
      <c r="F180" s="20">
        <f t="shared" si="21"/>
        <v>0</v>
      </c>
      <c r="G180" s="20">
        <f t="shared" si="22"/>
        <v>0</v>
      </c>
      <c r="H180" s="20">
        <f t="shared" si="23"/>
        <v>0</v>
      </c>
      <c r="I180" s="20"/>
      <c r="J180" s="20">
        <v>2500</v>
      </c>
      <c r="K180" s="20" t="s">
        <v>222</v>
      </c>
    </row>
    <row r="181" spans="1:11" ht="15.5" x14ac:dyDescent="0.35">
      <c r="A181" s="3" t="s">
        <v>79</v>
      </c>
      <c r="B181" s="1"/>
      <c r="C181" s="20">
        <v>15900</v>
      </c>
      <c r="D181" s="1"/>
      <c r="E181" s="1"/>
      <c r="F181" s="20">
        <f t="shared" si="21"/>
        <v>0</v>
      </c>
      <c r="G181" s="20">
        <f t="shared" si="22"/>
        <v>0</v>
      </c>
      <c r="H181" s="20">
        <f t="shared" si="23"/>
        <v>0</v>
      </c>
      <c r="I181" s="20"/>
      <c r="J181" s="20">
        <v>110000</v>
      </c>
      <c r="K181" s="20" t="s">
        <v>140</v>
      </c>
    </row>
    <row r="182" spans="1:11" ht="15.5" x14ac:dyDescent="0.35">
      <c r="A182" s="3" t="s">
        <v>80</v>
      </c>
      <c r="B182" s="1"/>
      <c r="C182" s="20">
        <v>15900</v>
      </c>
      <c r="D182" s="1"/>
      <c r="E182" s="1"/>
      <c r="F182" s="20">
        <f t="shared" si="21"/>
        <v>0</v>
      </c>
      <c r="G182" s="20">
        <f t="shared" si="22"/>
        <v>0</v>
      </c>
      <c r="H182" s="20">
        <f t="shared" si="23"/>
        <v>0</v>
      </c>
      <c r="I182" s="20"/>
      <c r="J182" s="20"/>
      <c r="K182" s="20"/>
    </row>
    <row r="183" spans="1:11" ht="15.5" x14ac:dyDescent="0.35">
      <c r="A183" s="3" t="s">
        <v>81</v>
      </c>
      <c r="B183" s="1"/>
      <c r="C183" s="20">
        <v>20000</v>
      </c>
      <c r="D183" s="1"/>
      <c r="E183" s="1"/>
      <c r="F183" s="20">
        <f t="shared" si="21"/>
        <v>0</v>
      </c>
      <c r="G183" s="20">
        <f t="shared" si="22"/>
        <v>0</v>
      </c>
      <c r="H183" s="20">
        <f t="shared" si="23"/>
        <v>0</v>
      </c>
      <c r="I183" s="20"/>
      <c r="J183" s="20"/>
      <c r="K183" s="20"/>
    </row>
    <row r="184" spans="1:11" ht="15.5" x14ac:dyDescent="0.35">
      <c r="A184" s="3" t="s">
        <v>82</v>
      </c>
      <c r="B184" s="1"/>
      <c r="C184" s="20">
        <v>15500</v>
      </c>
      <c r="D184" s="1"/>
      <c r="E184" s="1"/>
      <c r="F184" s="20">
        <f t="shared" si="21"/>
        <v>0</v>
      </c>
      <c r="G184" s="20">
        <f t="shared" si="22"/>
        <v>0</v>
      </c>
      <c r="H184" s="20">
        <f t="shared" si="23"/>
        <v>0</v>
      </c>
      <c r="I184" s="20"/>
      <c r="J184" s="20"/>
      <c r="K184" s="20"/>
    </row>
    <row r="185" spans="1:11" ht="15.5" x14ac:dyDescent="0.35">
      <c r="A185" s="3" t="s">
        <v>83</v>
      </c>
      <c r="B185" s="1"/>
      <c r="C185" s="20">
        <v>15500</v>
      </c>
      <c r="D185" s="11"/>
      <c r="E185" s="1"/>
      <c r="F185" s="20">
        <f t="shared" si="21"/>
        <v>0</v>
      </c>
      <c r="G185" s="20">
        <f t="shared" si="22"/>
        <v>0</v>
      </c>
      <c r="H185" s="20">
        <f t="shared" si="23"/>
        <v>0</v>
      </c>
      <c r="I185" s="20"/>
      <c r="J185" s="20"/>
      <c r="K185" s="20"/>
    </row>
    <row r="186" spans="1:11" ht="15.5" x14ac:dyDescent="0.35">
      <c r="A186" s="3" t="s">
        <v>84</v>
      </c>
      <c r="B186" s="1"/>
      <c r="C186" s="20">
        <v>16400</v>
      </c>
      <c r="D186" s="1"/>
      <c r="E186" s="1"/>
      <c r="F186" s="20">
        <f t="shared" si="21"/>
        <v>0</v>
      </c>
      <c r="G186" s="20">
        <f t="shared" si="22"/>
        <v>0</v>
      </c>
      <c r="H186" s="20">
        <f t="shared" si="23"/>
        <v>0</v>
      </c>
      <c r="I186" s="20"/>
      <c r="J186" s="20"/>
      <c r="K186" s="20"/>
    </row>
    <row r="187" spans="1:11" ht="15.5" x14ac:dyDescent="0.35">
      <c r="A187" s="3" t="s">
        <v>85</v>
      </c>
      <c r="B187" s="1"/>
      <c r="C187" s="20">
        <v>16400</v>
      </c>
      <c r="D187" s="1"/>
      <c r="E187" s="1"/>
      <c r="F187" s="20">
        <f t="shared" si="21"/>
        <v>0</v>
      </c>
      <c r="G187" s="20">
        <f t="shared" si="22"/>
        <v>0</v>
      </c>
      <c r="H187" s="20">
        <f t="shared" si="23"/>
        <v>0</v>
      </c>
      <c r="I187" s="20"/>
      <c r="J187" s="20"/>
      <c r="K187" s="20"/>
    </row>
    <row r="188" spans="1:11" ht="15.5" x14ac:dyDescent="0.35">
      <c r="A188" s="3" t="s">
        <v>86</v>
      </c>
      <c r="B188" s="1"/>
      <c r="C188" s="20">
        <v>16400</v>
      </c>
      <c r="D188" s="1"/>
      <c r="E188" s="1"/>
      <c r="F188" s="20">
        <f t="shared" si="21"/>
        <v>0</v>
      </c>
      <c r="G188" s="20">
        <f t="shared" si="22"/>
        <v>0</v>
      </c>
      <c r="H188" s="20">
        <f t="shared" si="23"/>
        <v>0</v>
      </c>
      <c r="I188" s="20"/>
      <c r="J188" s="20"/>
      <c r="K188" s="20"/>
    </row>
    <row r="189" spans="1:11" ht="15.5" x14ac:dyDescent="0.35">
      <c r="A189" s="3" t="s">
        <v>87</v>
      </c>
      <c r="B189" s="1"/>
      <c r="C189" s="20">
        <v>16400</v>
      </c>
      <c r="D189" s="1"/>
      <c r="E189" s="1"/>
      <c r="F189" s="20">
        <f t="shared" si="21"/>
        <v>0</v>
      </c>
      <c r="G189" s="20">
        <f t="shared" si="22"/>
        <v>0</v>
      </c>
      <c r="H189" s="20">
        <f t="shared" si="23"/>
        <v>0</v>
      </c>
      <c r="I189" s="20"/>
      <c r="J189" s="20"/>
      <c r="K189" s="20"/>
    </row>
    <row r="190" spans="1:11" ht="15.5" x14ac:dyDescent="0.35">
      <c r="A190" s="3" t="s">
        <v>88</v>
      </c>
      <c r="B190" s="1"/>
      <c r="C190" s="20">
        <v>16400</v>
      </c>
      <c r="D190" s="1"/>
      <c r="E190" s="1"/>
      <c r="F190" s="20">
        <f t="shared" si="21"/>
        <v>0</v>
      </c>
      <c r="G190" s="20">
        <f t="shared" si="22"/>
        <v>0</v>
      </c>
      <c r="H190" s="20">
        <f t="shared" si="23"/>
        <v>0</v>
      </c>
      <c r="I190" s="20"/>
      <c r="J190" s="20"/>
      <c r="K190" s="20"/>
    </row>
    <row r="191" spans="1:11" ht="15.5" x14ac:dyDescent="0.35">
      <c r="A191" s="19" t="s">
        <v>89</v>
      </c>
      <c r="B191" s="1"/>
      <c r="C191" s="20"/>
      <c r="D191" s="1"/>
      <c r="E191" s="1"/>
      <c r="F191" s="20"/>
      <c r="G191" s="20"/>
      <c r="H191" s="20">
        <f t="shared" si="23"/>
        <v>0</v>
      </c>
      <c r="I191" s="20"/>
      <c r="J191" s="20"/>
      <c r="K191" s="20"/>
    </row>
    <row r="192" spans="1:11" ht="15.5" x14ac:dyDescent="0.35">
      <c r="A192" s="3" t="s">
        <v>92</v>
      </c>
      <c r="B192" s="1"/>
      <c r="C192" s="20">
        <v>19400</v>
      </c>
      <c r="D192" s="1"/>
      <c r="E192" s="1"/>
      <c r="F192" s="20">
        <f t="shared" ref="F192:F194" si="24">C192*B192</f>
        <v>0</v>
      </c>
      <c r="G192" s="20">
        <f t="shared" ref="G192:G194" si="25">D192*C192</f>
        <v>0</v>
      </c>
      <c r="H192" s="20">
        <f t="shared" si="23"/>
        <v>0</v>
      </c>
      <c r="I192" s="20"/>
      <c r="J192" s="20"/>
      <c r="K192" s="20"/>
    </row>
    <row r="193" spans="1:11" ht="15.5" x14ac:dyDescent="0.35">
      <c r="A193" s="3" t="s">
        <v>93</v>
      </c>
      <c r="B193" s="1"/>
      <c r="C193" s="20">
        <v>19400</v>
      </c>
      <c r="D193" s="1"/>
      <c r="E193" s="1"/>
      <c r="F193" s="20">
        <f t="shared" si="24"/>
        <v>0</v>
      </c>
      <c r="G193" s="20">
        <f t="shared" si="25"/>
        <v>0</v>
      </c>
      <c r="H193" s="20">
        <f t="shared" si="23"/>
        <v>0</v>
      </c>
      <c r="I193" s="20"/>
      <c r="J193" s="20"/>
      <c r="K193" s="20"/>
    </row>
    <row r="194" spans="1:11" ht="15.5" x14ac:dyDescent="0.35">
      <c r="A194" s="3" t="s">
        <v>94</v>
      </c>
      <c r="B194" s="1"/>
      <c r="C194" s="20">
        <v>19400</v>
      </c>
      <c r="D194" s="1"/>
      <c r="E194" s="1"/>
      <c r="F194" s="20">
        <f t="shared" si="24"/>
        <v>0</v>
      </c>
      <c r="G194" s="20">
        <f t="shared" si="25"/>
        <v>0</v>
      </c>
      <c r="H194" s="20">
        <f t="shared" si="23"/>
        <v>0</v>
      </c>
      <c r="I194" s="20"/>
      <c r="J194" s="20"/>
      <c r="K194" s="20"/>
    </row>
    <row r="195" spans="1:11" ht="15.5" x14ac:dyDescent="0.35">
      <c r="A195" s="19"/>
      <c r="B195" s="22">
        <f>SUM(B178:B194)</f>
        <v>0</v>
      </c>
      <c r="C195" s="20"/>
      <c r="D195" s="1"/>
      <c r="E195" s="1"/>
      <c r="F195" s="23">
        <f>SUM(F178:F194)</f>
        <v>0</v>
      </c>
      <c r="G195" s="23">
        <f>SUM(G178:G194)</f>
        <v>0</v>
      </c>
      <c r="H195" s="23">
        <f>SUM(H178:H194)</f>
        <v>0</v>
      </c>
      <c r="I195" s="23"/>
      <c r="J195" s="23">
        <f>SUM(J178:J194)</f>
        <v>764500</v>
      </c>
      <c r="K195" s="23">
        <f>H195-J195</f>
        <v>-764500</v>
      </c>
    </row>
    <row r="196" spans="1:11" ht="15.5" x14ac:dyDescent="0.35">
      <c r="A196" s="19" t="s">
        <v>95</v>
      </c>
      <c r="B196" s="1"/>
      <c r="C196" s="20"/>
      <c r="D196" s="1"/>
      <c r="E196" s="1"/>
      <c r="F196" s="20"/>
      <c r="G196" s="20"/>
      <c r="H196" s="20"/>
      <c r="I196" s="20"/>
      <c r="J196" s="20"/>
      <c r="K196" s="20"/>
    </row>
    <row r="197" spans="1:11" ht="15.5" x14ac:dyDescent="0.35">
      <c r="A197" s="3" t="s">
        <v>96</v>
      </c>
      <c r="B197" s="1"/>
      <c r="C197" s="20"/>
      <c r="D197" s="1"/>
      <c r="E197" s="1"/>
      <c r="F197" s="20">
        <f t="shared" ref="F197:F200" si="26">C197*B197</f>
        <v>0</v>
      </c>
      <c r="G197" s="20"/>
      <c r="H197" s="20"/>
      <c r="I197" s="20"/>
      <c r="J197" s="20"/>
      <c r="K197" s="20"/>
    </row>
    <row r="198" spans="1:11" ht="15.5" x14ac:dyDescent="0.35">
      <c r="A198" s="3" t="s">
        <v>97</v>
      </c>
      <c r="B198" s="1"/>
      <c r="C198" s="20"/>
      <c r="D198" s="1"/>
      <c r="E198" s="1"/>
      <c r="F198" s="20">
        <f t="shared" si="26"/>
        <v>0</v>
      </c>
      <c r="G198" s="20"/>
      <c r="H198" s="20"/>
      <c r="I198" s="20"/>
      <c r="J198" s="20"/>
      <c r="K198" s="20"/>
    </row>
    <row r="199" spans="1:11" ht="15.5" x14ac:dyDescent="0.35">
      <c r="A199" s="3" t="s">
        <v>98</v>
      </c>
      <c r="B199" s="1"/>
      <c r="C199" s="20"/>
      <c r="D199" s="1"/>
      <c r="E199" s="1"/>
      <c r="F199" s="20">
        <f t="shared" si="26"/>
        <v>0</v>
      </c>
      <c r="G199" s="20"/>
      <c r="H199" s="20"/>
      <c r="I199" s="20"/>
      <c r="J199" s="20"/>
      <c r="K199" s="20"/>
    </row>
    <row r="200" spans="1:11" ht="15.5" x14ac:dyDescent="0.35">
      <c r="A200" s="3" t="s">
        <v>99</v>
      </c>
      <c r="B200" s="1"/>
      <c r="C200" s="20"/>
      <c r="D200" s="1"/>
      <c r="E200" s="1"/>
      <c r="F200" s="20">
        <f t="shared" si="26"/>
        <v>0</v>
      </c>
      <c r="G200" s="20"/>
      <c r="H200" s="20"/>
      <c r="I200" s="20"/>
      <c r="J200" s="20"/>
      <c r="K200" s="20"/>
    </row>
    <row r="201" spans="1:11" ht="15.5" x14ac:dyDescent="0.35">
      <c r="A201" s="18"/>
    </row>
    <row r="203" spans="1:11" ht="15.5" x14ac:dyDescent="0.35">
      <c r="A203" s="24" t="s">
        <v>108</v>
      </c>
      <c r="J203" s="21"/>
    </row>
    <row r="204" spans="1:11" ht="15.5" x14ac:dyDescent="0.35">
      <c r="A204" s="18" t="s">
        <v>114</v>
      </c>
      <c r="B204">
        <v>53500</v>
      </c>
      <c r="J204" s="21"/>
    </row>
    <row r="205" spans="1:11" ht="15.5" x14ac:dyDescent="0.35">
      <c r="A205" s="18" t="s">
        <v>154</v>
      </c>
      <c r="B205">
        <v>53500</v>
      </c>
      <c r="J205" s="21"/>
    </row>
    <row r="206" spans="1:11" ht="15.5" x14ac:dyDescent="0.35">
      <c r="A206" s="18" t="s">
        <v>112</v>
      </c>
      <c r="B206">
        <v>53500</v>
      </c>
      <c r="J206" s="21"/>
    </row>
    <row r="207" spans="1:11" ht="15.5" x14ac:dyDescent="0.35">
      <c r="A207" s="18" t="s">
        <v>110</v>
      </c>
      <c r="B207">
        <v>53500</v>
      </c>
    </row>
    <row r="208" spans="1:11" ht="15.5" x14ac:dyDescent="0.35">
      <c r="A208" s="18" t="s">
        <v>111</v>
      </c>
      <c r="B208">
        <v>53500</v>
      </c>
    </row>
    <row r="209" spans="1:11" ht="15.5" x14ac:dyDescent="0.35">
      <c r="A209" s="18" t="s">
        <v>196</v>
      </c>
      <c r="B209">
        <v>53500</v>
      </c>
    </row>
    <row r="210" spans="1:11" ht="15.5" x14ac:dyDescent="0.35">
      <c r="A210" s="18" t="s">
        <v>113</v>
      </c>
      <c r="B210">
        <v>53500</v>
      </c>
    </row>
    <row r="211" spans="1:11" ht="15.5" x14ac:dyDescent="0.35">
      <c r="A211" s="18" t="s">
        <v>209</v>
      </c>
      <c r="B211">
        <v>53500</v>
      </c>
    </row>
    <row r="212" spans="1:11" ht="15.5" x14ac:dyDescent="0.35">
      <c r="A212" s="18" t="s">
        <v>115</v>
      </c>
      <c r="B212">
        <v>53500</v>
      </c>
    </row>
    <row r="213" spans="1:11" ht="15.5" x14ac:dyDescent="0.35">
      <c r="A213" s="18" t="s">
        <v>122</v>
      </c>
      <c r="B213">
        <v>53500</v>
      </c>
    </row>
    <row r="214" spans="1:11" ht="15.5" x14ac:dyDescent="0.35">
      <c r="A214" s="18" t="s">
        <v>116</v>
      </c>
      <c r="B214">
        <v>53500</v>
      </c>
    </row>
    <row r="215" spans="1:11" ht="15.5" x14ac:dyDescent="0.35">
      <c r="A215" s="18" t="s">
        <v>109</v>
      </c>
      <c r="B215">
        <v>53500</v>
      </c>
    </row>
    <row r="216" spans="1:11" ht="15.5" x14ac:dyDescent="0.35">
      <c r="A216" s="24" t="s">
        <v>4</v>
      </c>
      <c r="B216" s="17">
        <f>SUM(B204:B215)</f>
        <v>642000</v>
      </c>
    </row>
    <row r="219" spans="1:11" ht="18.5" x14ac:dyDescent="0.45">
      <c r="A219" s="149">
        <v>46032</v>
      </c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</row>
    <row r="220" spans="1:11" ht="18.5" x14ac:dyDescent="0.45">
      <c r="A220" s="150"/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</row>
    <row r="221" spans="1:11" ht="18.5" x14ac:dyDescent="0.45">
      <c r="A221" s="2" t="s">
        <v>75</v>
      </c>
      <c r="B221" s="2" t="s">
        <v>3</v>
      </c>
      <c r="C221" s="2" t="s">
        <v>100</v>
      </c>
      <c r="D221" s="2" t="s">
        <v>90</v>
      </c>
      <c r="E221" s="2" t="s">
        <v>91</v>
      </c>
      <c r="F221" s="2" t="s">
        <v>4</v>
      </c>
      <c r="G221" s="2" t="s">
        <v>101</v>
      </c>
      <c r="H221" s="2" t="s">
        <v>104</v>
      </c>
      <c r="I221" s="2"/>
      <c r="J221" s="2" t="s">
        <v>105</v>
      </c>
      <c r="K221" s="2" t="s">
        <v>106</v>
      </c>
    </row>
    <row r="222" spans="1:11" ht="15.5" x14ac:dyDescent="0.35">
      <c r="A222" s="3" t="s">
        <v>76</v>
      </c>
      <c r="B222" s="1"/>
      <c r="C222" s="20">
        <v>15500</v>
      </c>
      <c r="D222" s="1"/>
      <c r="E222" s="1"/>
      <c r="F222" s="20">
        <f>C222*B222</f>
        <v>0</v>
      </c>
      <c r="G222" s="20">
        <f>D222*C222</f>
        <v>0</v>
      </c>
      <c r="H222" s="20">
        <f>E222*C222</f>
        <v>0</v>
      </c>
      <c r="I222" s="20"/>
      <c r="J222" s="20">
        <f>B253</f>
        <v>267500</v>
      </c>
      <c r="K222" s="20" t="s">
        <v>117</v>
      </c>
    </row>
    <row r="223" spans="1:11" ht="15.5" x14ac:dyDescent="0.35">
      <c r="A223" s="3" t="s">
        <v>77</v>
      </c>
      <c r="B223" s="1"/>
      <c r="C223" s="20">
        <v>14500</v>
      </c>
      <c r="D223" s="1"/>
      <c r="E223" s="1"/>
      <c r="F223" s="20">
        <f t="shared" ref="F223:F234" si="27">C223*B223</f>
        <v>0</v>
      </c>
      <c r="G223" s="20">
        <f t="shared" ref="G223:G234" si="28">D223*C223</f>
        <v>0</v>
      </c>
      <c r="H223" s="20">
        <f t="shared" ref="H223:H238" si="29">E223*C223</f>
        <v>0</v>
      </c>
      <c r="I223" s="20"/>
      <c r="J223" s="20">
        <v>10000</v>
      </c>
      <c r="K223" s="20" t="s">
        <v>191</v>
      </c>
    </row>
    <row r="224" spans="1:11" ht="15.5" x14ac:dyDescent="0.35">
      <c r="A224" s="3" t="s">
        <v>78</v>
      </c>
      <c r="B224" s="1"/>
      <c r="C224" s="20">
        <v>15500</v>
      </c>
      <c r="D224" s="1"/>
      <c r="E224" s="1"/>
      <c r="F224" s="20">
        <f t="shared" si="27"/>
        <v>0</v>
      </c>
      <c r="G224" s="20">
        <f t="shared" si="28"/>
        <v>0</v>
      </c>
      <c r="H224" s="20">
        <f t="shared" si="29"/>
        <v>0</v>
      </c>
      <c r="I224" s="20"/>
      <c r="J224" s="20"/>
      <c r="K224" s="20"/>
    </row>
    <row r="225" spans="1:11" ht="15.5" x14ac:dyDescent="0.35">
      <c r="A225" s="3" t="s">
        <v>79</v>
      </c>
      <c r="B225" s="1"/>
      <c r="C225" s="20">
        <v>15900</v>
      </c>
      <c r="D225" s="1"/>
      <c r="E225" s="1"/>
      <c r="F225" s="20">
        <f t="shared" si="27"/>
        <v>0</v>
      </c>
      <c r="G225" s="20">
        <f t="shared" si="28"/>
        <v>0</v>
      </c>
      <c r="H225" s="20">
        <f t="shared" si="29"/>
        <v>0</v>
      </c>
      <c r="I225" s="20"/>
      <c r="J225" s="20">
        <v>56000</v>
      </c>
      <c r="K225" s="20" t="s">
        <v>218</v>
      </c>
    </row>
    <row r="226" spans="1:11" ht="15.5" x14ac:dyDescent="0.35">
      <c r="A226" s="3" t="s">
        <v>80</v>
      </c>
      <c r="B226" s="1"/>
      <c r="C226" s="20">
        <v>15900</v>
      </c>
      <c r="D226" s="1"/>
      <c r="E226" s="1"/>
      <c r="F226" s="20">
        <f t="shared" si="27"/>
        <v>0</v>
      </c>
      <c r="G226" s="20">
        <f t="shared" si="28"/>
        <v>0</v>
      </c>
      <c r="H226" s="20">
        <f t="shared" si="29"/>
        <v>0</v>
      </c>
      <c r="I226" s="20"/>
      <c r="J226" s="20">
        <v>49900</v>
      </c>
      <c r="K226" s="20" t="s">
        <v>136</v>
      </c>
    </row>
    <row r="227" spans="1:11" ht="15.5" x14ac:dyDescent="0.35">
      <c r="A227" s="3" t="s">
        <v>81</v>
      </c>
      <c r="B227" s="1"/>
      <c r="C227" s="20">
        <v>20000</v>
      </c>
      <c r="D227" s="1"/>
      <c r="E227" s="1"/>
      <c r="F227" s="20">
        <f t="shared" si="27"/>
        <v>0</v>
      </c>
      <c r="G227" s="20">
        <f t="shared" si="28"/>
        <v>0</v>
      </c>
      <c r="H227" s="20">
        <f t="shared" si="29"/>
        <v>0</v>
      </c>
      <c r="I227" s="20"/>
      <c r="J227" s="20"/>
      <c r="K227" s="20"/>
    </row>
    <row r="228" spans="1:11" ht="15.5" x14ac:dyDescent="0.35">
      <c r="A228" s="3" t="s">
        <v>82</v>
      </c>
      <c r="B228" s="1"/>
      <c r="C228" s="20">
        <v>15500</v>
      </c>
      <c r="D228" s="1"/>
      <c r="E228" s="1"/>
      <c r="F228" s="20">
        <f t="shared" si="27"/>
        <v>0</v>
      </c>
      <c r="G228" s="20">
        <f t="shared" si="28"/>
        <v>0</v>
      </c>
      <c r="H228" s="20">
        <f t="shared" si="29"/>
        <v>0</v>
      </c>
      <c r="I228" s="20"/>
      <c r="J228" s="20"/>
      <c r="K228" s="20"/>
    </row>
    <row r="229" spans="1:11" ht="15.5" x14ac:dyDescent="0.35">
      <c r="A229" s="3" t="s">
        <v>83</v>
      </c>
      <c r="B229" s="1"/>
      <c r="C229" s="20">
        <v>15500</v>
      </c>
      <c r="D229" s="11"/>
      <c r="E229" s="1"/>
      <c r="F229" s="20">
        <f t="shared" si="27"/>
        <v>0</v>
      </c>
      <c r="G229" s="20">
        <f t="shared" si="28"/>
        <v>0</v>
      </c>
      <c r="H229" s="20">
        <f t="shared" si="29"/>
        <v>0</v>
      </c>
      <c r="I229" s="20"/>
      <c r="J229" s="20"/>
      <c r="K229" s="20"/>
    </row>
    <row r="230" spans="1:11" ht="15.5" x14ac:dyDescent="0.35">
      <c r="A230" s="3" t="s">
        <v>84</v>
      </c>
      <c r="B230" s="1"/>
      <c r="C230" s="20">
        <v>16400</v>
      </c>
      <c r="D230" s="1"/>
      <c r="E230" s="1"/>
      <c r="F230" s="20">
        <f t="shared" si="27"/>
        <v>0</v>
      </c>
      <c r="G230" s="20">
        <f t="shared" si="28"/>
        <v>0</v>
      </c>
      <c r="H230" s="20">
        <f t="shared" si="29"/>
        <v>0</v>
      </c>
      <c r="I230" s="20"/>
      <c r="J230" s="20"/>
      <c r="K230" s="20"/>
    </row>
    <row r="231" spans="1:11" ht="15.5" x14ac:dyDescent="0.35">
      <c r="A231" s="3" t="s">
        <v>85</v>
      </c>
      <c r="B231" s="1"/>
      <c r="C231" s="20">
        <v>16400</v>
      </c>
      <c r="D231" s="1"/>
      <c r="E231" s="1"/>
      <c r="F231" s="20">
        <f t="shared" si="27"/>
        <v>0</v>
      </c>
      <c r="G231" s="20">
        <f t="shared" si="28"/>
        <v>0</v>
      </c>
      <c r="H231" s="20">
        <f t="shared" si="29"/>
        <v>0</v>
      </c>
      <c r="I231" s="20"/>
      <c r="J231" s="20"/>
      <c r="K231" s="20"/>
    </row>
    <row r="232" spans="1:11" ht="15.5" x14ac:dyDescent="0.35">
      <c r="A232" s="3" t="s">
        <v>86</v>
      </c>
      <c r="B232" s="1"/>
      <c r="C232" s="20">
        <v>16400</v>
      </c>
      <c r="D232" s="1"/>
      <c r="E232" s="1"/>
      <c r="F232" s="20">
        <f t="shared" si="27"/>
        <v>0</v>
      </c>
      <c r="G232" s="20">
        <f t="shared" si="28"/>
        <v>0</v>
      </c>
      <c r="H232" s="20">
        <f t="shared" si="29"/>
        <v>0</v>
      </c>
      <c r="I232" s="20"/>
      <c r="J232" s="20"/>
      <c r="K232" s="20"/>
    </row>
    <row r="233" spans="1:11" ht="15.5" x14ac:dyDescent="0.35">
      <c r="A233" s="3" t="s">
        <v>87</v>
      </c>
      <c r="B233" s="1"/>
      <c r="C233" s="20">
        <v>16400</v>
      </c>
      <c r="D233" s="1"/>
      <c r="E233" s="1"/>
      <c r="F233" s="20">
        <f t="shared" si="27"/>
        <v>0</v>
      </c>
      <c r="G233" s="20">
        <f t="shared" si="28"/>
        <v>0</v>
      </c>
      <c r="H233" s="20">
        <f t="shared" si="29"/>
        <v>0</v>
      </c>
      <c r="I233" s="20"/>
      <c r="J233" s="20"/>
      <c r="K233" s="20"/>
    </row>
    <row r="234" spans="1:11" ht="15.5" x14ac:dyDescent="0.35">
      <c r="A234" s="3" t="s">
        <v>88</v>
      </c>
      <c r="B234" s="1"/>
      <c r="C234" s="20">
        <v>16400</v>
      </c>
      <c r="D234" s="1"/>
      <c r="E234" s="1"/>
      <c r="F234" s="20">
        <f t="shared" si="27"/>
        <v>0</v>
      </c>
      <c r="G234" s="20">
        <f t="shared" si="28"/>
        <v>0</v>
      </c>
      <c r="H234" s="20">
        <f t="shared" si="29"/>
        <v>0</v>
      </c>
      <c r="I234" s="20"/>
      <c r="J234" s="20"/>
      <c r="K234" s="20"/>
    </row>
    <row r="235" spans="1:11" ht="15.5" x14ac:dyDescent="0.35">
      <c r="A235" s="19" t="s">
        <v>89</v>
      </c>
      <c r="B235" s="1"/>
      <c r="C235" s="20"/>
      <c r="D235" s="1"/>
      <c r="E235" s="1"/>
      <c r="F235" s="20"/>
      <c r="G235" s="20"/>
      <c r="H235" s="20">
        <f t="shared" si="29"/>
        <v>0</v>
      </c>
      <c r="I235" s="20"/>
      <c r="J235" s="20"/>
      <c r="K235" s="20"/>
    </row>
    <row r="236" spans="1:11" ht="15.5" x14ac:dyDescent="0.35">
      <c r="A236" s="3" t="s">
        <v>92</v>
      </c>
      <c r="B236" s="1"/>
      <c r="C236" s="20">
        <v>19400</v>
      </c>
      <c r="D236" s="1"/>
      <c r="E236" s="1"/>
      <c r="F236" s="20">
        <f t="shared" ref="F236:F238" si="30">C236*B236</f>
        <v>0</v>
      </c>
      <c r="G236" s="20">
        <f t="shared" ref="G236:G238" si="31">D236*C236</f>
        <v>0</v>
      </c>
      <c r="H236" s="20">
        <f t="shared" si="29"/>
        <v>0</v>
      </c>
      <c r="I236" s="20"/>
      <c r="J236" s="20"/>
      <c r="K236" s="20"/>
    </row>
    <row r="237" spans="1:11" ht="15.5" x14ac:dyDescent="0.35">
      <c r="A237" s="3" t="s">
        <v>93</v>
      </c>
      <c r="B237" s="1"/>
      <c r="C237" s="20">
        <v>19400</v>
      </c>
      <c r="D237" s="1"/>
      <c r="E237" s="1"/>
      <c r="F237" s="20">
        <f t="shared" si="30"/>
        <v>0</v>
      </c>
      <c r="G237" s="20">
        <f t="shared" si="31"/>
        <v>0</v>
      </c>
      <c r="H237" s="20">
        <f t="shared" si="29"/>
        <v>0</v>
      </c>
      <c r="I237" s="20"/>
      <c r="J237" s="20"/>
      <c r="K237" s="20"/>
    </row>
    <row r="238" spans="1:11" ht="15.5" x14ac:dyDescent="0.35">
      <c r="A238" s="3" t="s">
        <v>94</v>
      </c>
      <c r="B238" s="1"/>
      <c r="C238" s="20">
        <v>19400</v>
      </c>
      <c r="D238" s="1"/>
      <c r="E238" s="1"/>
      <c r="F238" s="20">
        <f t="shared" si="30"/>
        <v>0</v>
      </c>
      <c r="G238" s="20">
        <f t="shared" si="31"/>
        <v>0</v>
      </c>
      <c r="H238" s="20">
        <f t="shared" si="29"/>
        <v>0</v>
      </c>
      <c r="I238" s="20"/>
      <c r="J238" s="20"/>
      <c r="K238" s="20"/>
    </row>
    <row r="239" spans="1:11" ht="15.5" x14ac:dyDescent="0.35">
      <c r="A239" s="19"/>
      <c r="B239" s="22">
        <f>SUM(B222:B238)</f>
        <v>0</v>
      </c>
      <c r="C239" s="20"/>
      <c r="D239" s="1"/>
      <c r="E239" s="1"/>
      <c r="F239" s="23">
        <f>SUM(F222:F238)</f>
        <v>0</v>
      </c>
      <c r="G239" s="23">
        <f>SUM(G222:G238)</f>
        <v>0</v>
      </c>
      <c r="H239" s="23">
        <f>SUM(H222:H238)</f>
        <v>0</v>
      </c>
      <c r="I239" s="23"/>
      <c r="J239" s="23">
        <f>SUM(J222:J238)</f>
        <v>383400</v>
      </c>
      <c r="K239" s="23">
        <f>H239-J239</f>
        <v>-383400</v>
      </c>
    </row>
    <row r="240" spans="1:11" ht="15.5" x14ac:dyDescent="0.35">
      <c r="A240" s="19" t="s">
        <v>95</v>
      </c>
      <c r="B240" s="1"/>
      <c r="C240" s="20"/>
      <c r="D240" s="1"/>
      <c r="E240" s="1"/>
      <c r="F240" s="20"/>
      <c r="G240" s="20"/>
      <c r="H240" s="20"/>
      <c r="I240" s="20"/>
      <c r="J240" s="20"/>
      <c r="K240" s="20"/>
    </row>
    <row r="241" spans="1:11" ht="15.5" x14ac:dyDescent="0.35">
      <c r="A241" s="3" t="s">
        <v>96</v>
      </c>
      <c r="B241" s="1"/>
      <c r="C241" s="20"/>
      <c r="D241" s="1"/>
      <c r="E241" s="1"/>
      <c r="F241" s="20">
        <f t="shared" ref="F241:F244" si="32">C241*B241</f>
        <v>0</v>
      </c>
      <c r="G241" s="20"/>
      <c r="H241" s="20"/>
      <c r="I241" s="20"/>
      <c r="J241" s="20"/>
      <c r="K241" s="20"/>
    </row>
    <row r="242" spans="1:11" ht="15.5" x14ac:dyDescent="0.35">
      <c r="A242" s="3" t="s">
        <v>97</v>
      </c>
      <c r="B242" s="1"/>
      <c r="C242" s="20"/>
      <c r="D242" s="1"/>
      <c r="E242" s="1"/>
      <c r="F242" s="20">
        <f t="shared" si="32"/>
        <v>0</v>
      </c>
      <c r="G242" s="20"/>
      <c r="H242" s="20"/>
      <c r="I242" s="20"/>
      <c r="J242" s="20"/>
      <c r="K242" s="20"/>
    </row>
    <row r="243" spans="1:11" ht="15.5" x14ac:dyDescent="0.35">
      <c r="A243" s="3" t="s">
        <v>98</v>
      </c>
      <c r="B243" s="1"/>
      <c r="C243" s="20"/>
      <c r="D243" s="1"/>
      <c r="E243" s="1"/>
      <c r="F243" s="20">
        <f t="shared" si="32"/>
        <v>0</v>
      </c>
      <c r="G243" s="20"/>
      <c r="H243" s="20"/>
      <c r="I243" s="20"/>
      <c r="J243" s="20"/>
      <c r="K243" s="20"/>
    </row>
    <row r="244" spans="1:11" ht="15.5" x14ac:dyDescent="0.35">
      <c r="A244" s="3" t="s">
        <v>99</v>
      </c>
      <c r="B244" s="1"/>
      <c r="C244" s="20"/>
      <c r="D244" s="1"/>
      <c r="E244" s="1"/>
      <c r="F244" s="20">
        <f t="shared" si="32"/>
        <v>0</v>
      </c>
      <c r="G244" s="20"/>
      <c r="H244" s="20"/>
      <c r="I244" s="20"/>
      <c r="J244" s="20"/>
      <c r="K244" s="20"/>
    </row>
    <row r="245" spans="1:11" ht="15.5" x14ac:dyDescent="0.35">
      <c r="A245" s="18"/>
    </row>
    <row r="247" spans="1:11" ht="15.5" x14ac:dyDescent="0.35">
      <c r="A247" s="24" t="s">
        <v>108</v>
      </c>
      <c r="J247" s="21"/>
    </row>
    <row r="248" spans="1:11" ht="15.5" x14ac:dyDescent="0.35">
      <c r="A248" s="18" t="s">
        <v>114</v>
      </c>
      <c r="B248">
        <v>53500</v>
      </c>
      <c r="J248" s="21"/>
    </row>
    <row r="249" spans="1:11" ht="15.5" x14ac:dyDescent="0.35">
      <c r="A249" s="18" t="s">
        <v>112</v>
      </c>
      <c r="B249">
        <v>53500</v>
      </c>
      <c r="J249" s="21"/>
    </row>
    <row r="250" spans="1:11" ht="15.5" x14ac:dyDescent="0.35">
      <c r="A250" s="18" t="s">
        <v>110</v>
      </c>
      <c r="B250">
        <v>53500</v>
      </c>
    </row>
    <row r="251" spans="1:11" ht="15.5" x14ac:dyDescent="0.35">
      <c r="A251" s="18" t="s">
        <v>196</v>
      </c>
      <c r="B251">
        <v>53500</v>
      </c>
    </row>
    <row r="252" spans="1:11" ht="15.5" x14ac:dyDescent="0.35">
      <c r="A252" s="18" t="s">
        <v>115</v>
      </c>
      <c r="B252">
        <v>53500</v>
      </c>
    </row>
    <row r="253" spans="1:11" ht="15.5" x14ac:dyDescent="0.35">
      <c r="A253" s="24" t="s">
        <v>4</v>
      </c>
      <c r="B253" s="17">
        <f>SUM(B248:B252)</f>
        <v>267500</v>
      </c>
    </row>
    <row r="256" spans="1:11" ht="18.5" x14ac:dyDescent="0.45">
      <c r="A256" s="149">
        <v>46035</v>
      </c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</row>
    <row r="257" spans="1:11" ht="18.5" x14ac:dyDescent="0.45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</row>
    <row r="258" spans="1:11" ht="18.5" x14ac:dyDescent="0.45">
      <c r="A258" s="2" t="s">
        <v>75</v>
      </c>
      <c r="B258" s="2" t="s">
        <v>3</v>
      </c>
      <c r="C258" s="2" t="s">
        <v>100</v>
      </c>
      <c r="D258" s="2" t="s">
        <v>90</v>
      </c>
      <c r="E258" s="2" t="s">
        <v>91</v>
      </c>
      <c r="F258" s="2" t="s">
        <v>4</v>
      </c>
      <c r="G258" s="2" t="s">
        <v>101</v>
      </c>
      <c r="H258" s="2" t="s">
        <v>104</v>
      </c>
      <c r="I258" s="2"/>
      <c r="J258" s="2" t="s">
        <v>105</v>
      </c>
      <c r="K258" s="2" t="s">
        <v>106</v>
      </c>
    </row>
    <row r="259" spans="1:11" ht="15.5" x14ac:dyDescent="0.35">
      <c r="A259" s="3" t="s">
        <v>76</v>
      </c>
      <c r="B259" s="1"/>
      <c r="C259" s="20">
        <v>15500</v>
      </c>
      <c r="D259" s="1"/>
      <c r="E259" s="1"/>
      <c r="F259" s="20">
        <f>C259*B259</f>
        <v>0</v>
      </c>
      <c r="G259" s="20">
        <f>D259*C259</f>
        <v>0</v>
      </c>
      <c r="H259" s="20">
        <f>E259*C259</f>
        <v>0</v>
      </c>
      <c r="I259" s="20"/>
      <c r="J259" s="20">
        <f>B297</f>
        <v>610000</v>
      </c>
      <c r="K259" s="20" t="s">
        <v>117</v>
      </c>
    </row>
    <row r="260" spans="1:11" ht="15.5" x14ac:dyDescent="0.35">
      <c r="A260" s="3" t="s">
        <v>77</v>
      </c>
      <c r="B260" s="1"/>
      <c r="C260" s="20">
        <v>14500</v>
      </c>
      <c r="D260" s="1"/>
      <c r="E260" s="1"/>
      <c r="F260" s="20">
        <f t="shared" ref="F260:F271" si="33">C260*B260</f>
        <v>0</v>
      </c>
      <c r="G260" s="20">
        <f t="shared" ref="G260:G271" si="34">D260*C260</f>
        <v>0</v>
      </c>
      <c r="H260" s="20">
        <f t="shared" ref="H260:H275" si="35">E260*C260</f>
        <v>0</v>
      </c>
      <c r="I260" s="20"/>
      <c r="J260" s="20">
        <v>7900</v>
      </c>
      <c r="K260" s="20" t="s">
        <v>191</v>
      </c>
    </row>
    <row r="261" spans="1:11" ht="15.5" x14ac:dyDescent="0.35">
      <c r="A261" s="3" t="s">
        <v>78</v>
      </c>
      <c r="B261" s="1"/>
      <c r="C261" s="20">
        <v>15500</v>
      </c>
      <c r="D261" s="1"/>
      <c r="E261" s="1"/>
      <c r="F261" s="20">
        <f t="shared" si="33"/>
        <v>0</v>
      </c>
      <c r="G261" s="20">
        <f t="shared" si="34"/>
        <v>0</v>
      </c>
      <c r="H261" s="20">
        <f t="shared" si="35"/>
        <v>0</v>
      </c>
      <c r="I261" s="20"/>
      <c r="J261" s="20">
        <v>87100</v>
      </c>
      <c r="K261" s="20" t="s">
        <v>155</v>
      </c>
    </row>
    <row r="262" spans="1:11" ht="15.5" x14ac:dyDescent="0.35">
      <c r="A262" s="3" t="s">
        <v>79</v>
      </c>
      <c r="B262" s="1"/>
      <c r="C262" s="20">
        <v>15900</v>
      </c>
      <c r="D262" s="1"/>
      <c r="E262" s="1"/>
      <c r="F262" s="20">
        <f t="shared" si="33"/>
        <v>0</v>
      </c>
      <c r="G262" s="20">
        <f t="shared" si="34"/>
        <v>0</v>
      </c>
      <c r="H262" s="20">
        <f t="shared" si="35"/>
        <v>0</v>
      </c>
      <c r="I262" s="20"/>
      <c r="J262" s="20"/>
      <c r="K262" s="20"/>
    </row>
    <row r="263" spans="1:11" ht="15.5" x14ac:dyDescent="0.35">
      <c r="A263" s="3" t="s">
        <v>80</v>
      </c>
      <c r="B263" s="1"/>
      <c r="C263" s="20">
        <v>15900</v>
      </c>
      <c r="D263" s="1"/>
      <c r="E263" s="1"/>
      <c r="F263" s="20">
        <f t="shared" si="33"/>
        <v>0</v>
      </c>
      <c r="G263" s="20">
        <f t="shared" si="34"/>
        <v>0</v>
      </c>
      <c r="H263" s="20">
        <f t="shared" si="35"/>
        <v>0</v>
      </c>
      <c r="I263" s="20"/>
      <c r="J263" s="20"/>
      <c r="K263" s="20"/>
    </row>
    <row r="264" spans="1:11" ht="15.5" x14ac:dyDescent="0.35">
      <c r="A264" s="3" t="s">
        <v>81</v>
      </c>
      <c r="B264" s="1"/>
      <c r="C264" s="20">
        <v>20000</v>
      </c>
      <c r="D264" s="1"/>
      <c r="E264" s="1"/>
      <c r="F264" s="20">
        <f t="shared" si="33"/>
        <v>0</v>
      </c>
      <c r="G264" s="20">
        <f t="shared" si="34"/>
        <v>0</v>
      </c>
      <c r="H264" s="20">
        <f t="shared" si="35"/>
        <v>0</v>
      </c>
      <c r="I264" s="20"/>
      <c r="J264" s="20"/>
      <c r="K264" s="20"/>
    </row>
    <row r="265" spans="1:11" ht="15.5" x14ac:dyDescent="0.35">
      <c r="A265" s="3" t="s">
        <v>82</v>
      </c>
      <c r="B265" s="1"/>
      <c r="C265" s="20">
        <v>15500</v>
      </c>
      <c r="D265" s="1"/>
      <c r="E265" s="1"/>
      <c r="F265" s="20">
        <f t="shared" si="33"/>
        <v>0</v>
      </c>
      <c r="G265" s="20">
        <f t="shared" si="34"/>
        <v>0</v>
      </c>
      <c r="H265" s="20">
        <f t="shared" si="35"/>
        <v>0</v>
      </c>
      <c r="I265" s="20"/>
      <c r="J265" s="20"/>
      <c r="K265" s="20"/>
    </row>
    <row r="266" spans="1:11" ht="15.5" x14ac:dyDescent="0.35">
      <c r="A266" s="3" t="s">
        <v>83</v>
      </c>
      <c r="B266" s="1"/>
      <c r="C266" s="20">
        <v>15500</v>
      </c>
      <c r="D266" s="11"/>
      <c r="E266" s="1"/>
      <c r="F266" s="20">
        <f t="shared" si="33"/>
        <v>0</v>
      </c>
      <c r="G266" s="20">
        <f t="shared" si="34"/>
        <v>0</v>
      </c>
      <c r="H266" s="20">
        <f t="shared" si="35"/>
        <v>0</v>
      </c>
      <c r="I266" s="20"/>
      <c r="J266" s="20"/>
      <c r="K266" s="20"/>
    </row>
    <row r="267" spans="1:11" ht="15.5" x14ac:dyDescent="0.35">
      <c r="A267" s="3" t="s">
        <v>84</v>
      </c>
      <c r="B267" s="1"/>
      <c r="C267" s="20">
        <v>16400</v>
      </c>
      <c r="D267" s="1"/>
      <c r="E267" s="1"/>
      <c r="F267" s="20">
        <f t="shared" si="33"/>
        <v>0</v>
      </c>
      <c r="G267" s="20">
        <f t="shared" si="34"/>
        <v>0</v>
      </c>
      <c r="H267" s="20">
        <f t="shared" si="35"/>
        <v>0</v>
      </c>
      <c r="I267" s="20"/>
      <c r="J267" s="20"/>
      <c r="K267" s="20"/>
    </row>
    <row r="268" spans="1:11" ht="15.5" x14ac:dyDescent="0.35">
      <c r="A268" s="3" t="s">
        <v>85</v>
      </c>
      <c r="B268" s="1"/>
      <c r="C268" s="20">
        <v>16400</v>
      </c>
      <c r="D268" s="1"/>
      <c r="E268" s="1"/>
      <c r="F268" s="20">
        <f t="shared" si="33"/>
        <v>0</v>
      </c>
      <c r="G268" s="20">
        <f t="shared" si="34"/>
        <v>0</v>
      </c>
      <c r="H268" s="20">
        <f t="shared" si="35"/>
        <v>0</v>
      </c>
      <c r="I268" s="20"/>
      <c r="J268" s="20"/>
      <c r="K268" s="20"/>
    </row>
    <row r="269" spans="1:11" ht="15.5" x14ac:dyDescent="0.35">
      <c r="A269" s="3" t="s">
        <v>86</v>
      </c>
      <c r="B269" s="1"/>
      <c r="C269" s="20">
        <v>16400</v>
      </c>
      <c r="D269" s="1"/>
      <c r="E269" s="1"/>
      <c r="F269" s="20">
        <f t="shared" si="33"/>
        <v>0</v>
      </c>
      <c r="G269" s="20">
        <f t="shared" si="34"/>
        <v>0</v>
      </c>
      <c r="H269" s="20">
        <f t="shared" si="35"/>
        <v>0</v>
      </c>
      <c r="I269" s="20"/>
      <c r="J269" s="20"/>
      <c r="K269" s="20"/>
    </row>
    <row r="270" spans="1:11" ht="15.5" x14ac:dyDescent="0.35">
      <c r="A270" s="3" t="s">
        <v>87</v>
      </c>
      <c r="B270" s="1"/>
      <c r="C270" s="20">
        <v>16400</v>
      </c>
      <c r="D270" s="1"/>
      <c r="E270" s="1"/>
      <c r="F270" s="20">
        <f t="shared" si="33"/>
        <v>0</v>
      </c>
      <c r="G270" s="20">
        <f t="shared" si="34"/>
        <v>0</v>
      </c>
      <c r="H270" s="20">
        <f t="shared" si="35"/>
        <v>0</v>
      </c>
      <c r="I270" s="20"/>
      <c r="J270" s="20"/>
      <c r="K270" s="20"/>
    </row>
    <row r="271" spans="1:11" ht="15.5" x14ac:dyDescent="0.35">
      <c r="A271" s="3" t="s">
        <v>88</v>
      </c>
      <c r="B271" s="1"/>
      <c r="C271" s="20">
        <v>16400</v>
      </c>
      <c r="D271" s="1"/>
      <c r="E271" s="1"/>
      <c r="F271" s="20">
        <f t="shared" si="33"/>
        <v>0</v>
      </c>
      <c r="G271" s="20">
        <f t="shared" si="34"/>
        <v>0</v>
      </c>
      <c r="H271" s="20">
        <f t="shared" si="35"/>
        <v>0</v>
      </c>
      <c r="I271" s="20"/>
      <c r="J271" s="20"/>
      <c r="K271" s="20"/>
    </row>
    <row r="272" spans="1:11" ht="15.5" x14ac:dyDescent="0.35">
      <c r="A272" s="19" t="s">
        <v>89</v>
      </c>
      <c r="B272" s="1"/>
      <c r="C272" s="20"/>
      <c r="D272" s="1"/>
      <c r="E272" s="1"/>
      <c r="F272" s="20"/>
      <c r="G272" s="20"/>
      <c r="H272" s="20">
        <f t="shared" si="35"/>
        <v>0</v>
      </c>
      <c r="I272" s="20"/>
      <c r="J272" s="20"/>
      <c r="K272" s="20"/>
    </row>
    <row r="273" spans="1:11" ht="15.5" x14ac:dyDescent="0.35">
      <c r="A273" s="3" t="s">
        <v>92</v>
      </c>
      <c r="B273" s="1"/>
      <c r="C273" s="20">
        <v>19400</v>
      </c>
      <c r="D273" s="1"/>
      <c r="E273" s="1"/>
      <c r="F273" s="20">
        <f t="shared" ref="F273:F275" si="36">C273*B273</f>
        <v>0</v>
      </c>
      <c r="G273" s="20">
        <f t="shared" ref="G273:G275" si="37">D273*C273</f>
        <v>0</v>
      </c>
      <c r="H273" s="20">
        <f t="shared" si="35"/>
        <v>0</v>
      </c>
      <c r="I273" s="20"/>
      <c r="J273" s="20"/>
      <c r="K273" s="20"/>
    </row>
    <row r="274" spans="1:11" ht="15.5" x14ac:dyDescent="0.35">
      <c r="A274" s="3" t="s">
        <v>93</v>
      </c>
      <c r="B274" s="1"/>
      <c r="C274" s="20">
        <v>19400</v>
      </c>
      <c r="D274" s="1"/>
      <c r="E274" s="1"/>
      <c r="F274" s="20">
        <f t="shared" si="36"/>
        <v>0</v>
      </c>
      <c r="G274" s="20">
        <f t="shared" si="37"/>
        <v>0</v>
      </c>
      <c r="H274" s="20">
        <f t="shared" si="35"/>
        <v>0</v>
      </c>
      <c r="I274" s="20"/>
      <c r="J274" s="20"/>
      <c r="K274" s="20"/>
    </row>
    <row r="275" spans="1:11" ht="15.5" x14ac:dyDescent="0.35">
      <c r="A275" s="3" t="s">
        <v>94</v>
      </c>
      <c r="B275" s="1"/>
      <c r="C275" s="20">
        <v>19400</v>
      </c>
      <c r="D275" s="1"/>
      <c r="E275" s="1"/>
      <c r="F275" s="20">
        <f t="shared" si="36"/>
        <v>0</v>
      </c>
      <c r="G275" s="20">
        <f t="shared" si="37"/>
        <v>0</v>
      </c>
      <c r="H275" s="20">
        <f t="shared" si="35"/>
        <v>0</v>
      </c>
      <c r="I275" s="20"/>
      <c r="J275" s="20"/>
      <c r="K275" s="20"/>
    </row>
    <row r="276" spans="1:11" ht="15.5" x14ac:dyDescent="0.35">
      <c r="A276" s="19"/>
      <c r="B276" s="22">
        <f>SUM(B259:B275)</f>
        <v>0</v>
      </c>
      <c r="C276" s="20"/>
      <c r="D276" s="1"/>
      <c r="E276" s="1"/>
      <c r="F276" s="23">
        <f>SUM(F259:F275)</f>
        <v>0</v>
      </c>
      <c r="G276" s="23">
        <f>SUM(G259:G275)</f>
        <v>0</v>
      </c>
      <c r="H276" s="23">
        <f>SUM(H259:H275)</f>
        <v>0</v>
      </c>
      <c r="I276" s="23"/>
      <c r="J276" s="23">
        <f>SUM(J259:J275)</f>
        <v>705000</v>
      </c>
      <c r="K276" s="23">
        <f>H276-J276</f>
        <v>-705000</v>
      </c>
    </row>
    <row r="277" spans="1:11" ht="15.5" x14ac:dyDescent="0.35">
      <c r="A277" s="19" t="s">
        <v>95</v>
      </c>
      <c r="B277" s="1"/>
      <c r="C277" s="20"/>
      <c r="D277" s="1"/>
      <c r="E277" s="1"/>
      <c r="F277" s="20"/>
      <c r="G277" s="20"/>
      <c r="H277" s="20"/>
      <c r="I277" s="20"/>
      <c r="J277" s="20"/>
      <c r="K277" s="20"/>
    </row>
    <row r="278" spans="1:11" ht="15.5" x14ac:dyDescent="0.35">
      <c r="A278" s="3" t="s">
        <v>96</v>
      </c>
      <c r="B278" s="1"/>
      <c r="C278" s="20"/>
      <c r="D278" s="1"/>
      <c r="E278" s="1"/>
      <c r="F278" s="20">
        <f t="shared" ref="F278:F281" si="38">C278*B278</f>
        <v>0</v>
      </c>
      <c r="G278" s="20"/>
      <c r="H278" s="20"/>
      <c r="I278" s="20"/>
      <c r="J278" s="20"/>
      <c r="K278" s="20"/>
    </row>
    <row r="279" spans="1:11" ht="15.5" x14ac:dyDescent="0.35">
      <c r="A279" s="3" t="s">
        <v>97</v>
      </c>
      <c r="B279" s="1"/>
      <c r="C279" s="20"/>
      <c r="D279" s="1"/>
      <c r="E279" s="1"/>
      <c r="F279" s="20">
        <f t="shared" si="38"/>
        <v>0</v>
      </c>
      <c r="G279" s="20"/>
      <c r="H279" s="20"/>
      <c r="I279" s="20"/>
      <c r="J279" s="20"/>
      <c r="K279" s="20"/>
    </row>
    <row r="280" spans="1:11" ht="15.5" x14ac:dyDescent="0.35">
      <c r="A280" s="3" t="s">
        <v>98</v>
      </c>
      <c r="B280" s="1"/>
      <c r="C280" s="20"/>
      <c r="D280" s="1"/>
      <c r="E280" s="1"/>
      <c r="F280" s="20">
        <f t="shared" si="38"/>
        <v>0</v>
      </c>
      <c r="G280" s="20"/>
      <c r="H280" s="20"/>
      <c r="I280" s="20"/>
      <c r="J280" s="20"/>
      <c r="K280" s="20"/>
    </row>
    <row r="281" spans="1:11" ht="15.5" x14ac:dyDescent="0.35">
      <c r="A281" s="3" t="s">
        <v>99</v>
      </c>
      <c r="B281" s="1"/>
      <c r="C281" s="20"/>
      <c r="D281" s="1"/>
      <c r="E281" s="1"/>
      <c r="F281" s="20">
        <f t="shared" si="38"/>
        <v>0</v>
      </c>
      <c r="G281" s="20"/>
      <c r="H281" s="20"/>
      <c r="I281" s="20"/>
      <c r="J281" s="20"/>
      <c r="K281" s="20"/>
    </row>
    <row r="282" spans="1:11" ht="15.5" x14ac:dyDescent="0.35">
      <c r="A282" s="18"/>
    </row>
    <row r="284" spans="1:11" ht="15.5" x14ac:dyDescent="0.35">
      <c r="A284" s="24" t="s">
        <v>108</v>
      </c>
      <c r="J284" s="21"/>
    </row>
    <row r="285" spans="1:11" ht="15.5" x14ac:dyDescent="0.35">
      <c r="A285" s="18" t="s">
        <v>114</v>
      </c>
      <c r="B285" s="67">
        <v>45000</v>
      </c>
      <c r="J285" s="21"/>
    </row>
    <row r="286" spans="1:11" ht="15.5" x14ac:dyDescent="0.35">
      <c r="A286" s="18" t="s">
        <v>154</v>
      </c>
      <c r="B286" s="67">
        <v>60000</v>
      </c>
      <c r="J286" s="21"/>
    </row>
    <row r="287" spans="1:11" ht="15.5" x14ac:dyDescent="0.35">
      <c r="A287" s="18" t="s">
        <v>112</v>
      </c>
      <c r="B287" s="67">
        <v>60000</v>
      </c>
      <c r="J287" s="21"/>
    </row>
    <row r="288" spans="1:11" ht="15.5" x14ac:dyDescent="0.35">
      <c r="A288" s="18" t="s">
        <v>110</v>
      </c>
      <c r="B288" s="67">
        <v>40000</v>
      </c>
    </row>
    <row r="289" spans="1:11" ht="15.5" x14ac:dyDescent="0.35">
      <c r="A289" s="18" t="s">
        <v>111</v>
      </c>
      <c r="B289" s="67">
        <v>45000</v>
      </c>
    </row>
    <row r="290" spans="1:11" ht="15.5" x14ac:dyDescent="0.35">
      <c r="A290" s="18" t="s">
        <v>196</v>
      </c>
      <c r="B290" s="67">
        <v>45000</v>
      </c>
    </row>
    <row r="291" spans="1:11" ht="15.5" x14ac:dyDescent="0.35">
      <c r="A291" s="18" t="s">
        <v>113</v>
      </c>
      <c r="B291" s="67">
        <v>45000</v>
      </c>
    </row>
    <row r="292" spans="1:11" ht="15.5" x14ac:dyDescent="0.35">
      <c r="A292" s="18" t="s">
        <v>209</v>
      </c>
      <c r="B292" s="67">
        <v>45000</v>
      </c>
    </row>
    <row r="293" spans="1:11" ht="15.5" x14ac:dyDescent="0.35">
      <c r="A293" s="18" t="s">
        <v>115</v>
      </c>
      <c r="B293" s="67">
        <v>60000</v>
      </c>
    </row>
    <row r="294" spans="1:11" ht="15.5" x14ac:dyDescent="0.35">
      <c r="A294" s="18" t="s">
        <v>122</v>
      </c>
      <c r="B294" s="67">
        <v>60000</v>
      </c>
    </row>
    <row r="295" spans="1:11" ht="15.5" x14ac:dyDescent="0.35">
      <c r="A295" s="18" t="s">
        <v>116</v>
      </c>
      <c r="B295" s="67">
        <v>60000</v>
      </c>
    </row>
    <row r="296" spans="1:11" ht="15.5" x14ac:dyDescent="0.35">
      <c r="A296" s="18" t="s">
        <v>109</v>
      </c>
      <c r="B296" s="67">
        <v>45000</v>
      </c>
    </row>
    <row r="297" spans="1:11" ht="15.5" x14ac:dyDescent="0.35">
      <c r="A297" s="24" t="s">
        <v>4</v>
      </c>
      <c r="B297" s="67">
        <f>SUM(B285:B296)</f>
        <v>610000</v>
      </c>
    </row>
    <row r="298" spans="1:11" x14ac:dyDescent="0.35">
      <c r="B298" s="67"/>
    </row>
    <row r="299" spans="1:11" ht="18.5" x14ac:dyDescent="0.45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</row>
    <row r="300" spans="1:11" ht="18.5" x14ac:dyDescent="0.45">
      <c r="A300" s="149">
        <v>46036</v>
      </c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</row>
    <row r="302" spans="1:11" ht="18.5" x14ac:dyDescent="0.45">
      <c r="A302" s="2" t="s">
        <v>75</v>
      </c>
      <c r="B302" s="2" t="s">
        <v>3</v>
      </c>
      <c r="C302" s="2" t="s">
        <v>100</v>
      </c>
      <c r="D302" s="2" t="s">
        <v>90</v>
      </c>
      <c r="E302" s="2" t="s">
        <v>91</v>
      </c>
      <c r="F302" s="2" t="s">
        <v>4</v>
      </c>
      <c r="G302" s="2" t="s">
        <v>101</v>
      </c>
      <c r="H302" s="2" t="s">
        <v>104</v>
      </c>
      <c r="I302" s="2"/>
      <c r="J302" s="2" t="s">
        <v>105</v>
      </c>
      <c r="K302" s="2" t="s">
        <v>106</v>
      </c>
    </row>
    <row r="303" spans="1:11" ht="15.5" x14ac:dyDescent="0.35">
      <c r="A303" s="3" t="s">
        <v>76</v>
      </c>
      <c r="B303" s="1"/>
      <c r="C303" s="20">
        <v>15500</v>
      </c>
      <c r="D303" s="1"/>
      <c r="E303" s="1"/>
      <c r="F303" s="20">
        <f>C303*B303</f>
        <v>0</v>
      </c>
      <c r="G303" s="20">
        <f>D303*C303</f>
        <v>0</v>
      </c>
      <c r="H303" s="20">
        <f>E303*C303</f>
        <v>0</v>
      </c>
      <c r="I303" s="20"/>
      <c r="J303" s="20">
        <f>B341</f>
        <v>642500</v>
      </c>
      <c r="K303" s="20" t="s">
        <v>117</v>
      </c>
    </row>
    <row r="304" spans="1:11" ht="15.5" x14ac:dyDescent="0.35">
      <c r="A304" s="3" t="s">
        <v>77</v>
      </c>
      <c r="B304" s="1"/>
      <c r="C304" s="20">
        <v>14500</v>
      </c>
      <c r="D304" s="1"/>
      <c r="E304" s="1"/>
      <c r="F304" s="20">
        <f t="shared" ref="F304:F315" si="39">C304*B304</f>
        <v>0</v>
      </c>
      <c r="G304" s="20">
        <f t="shared" ref="G304:G315" si="40">D304*C304</f>
        <v>0</v>
      </c>
      <c r="H304" s="20">
        <f t="shared" ref="H304:H319" si="41">E304*C304</f>
        <v>0</v>
      </c>
      <c r="I304" s="20"/>
      <c r="J304" s="20">
        <v>7900</v>
      </c>
      <c r="K304" s="20" t="s">
        <v>191</v>
      </c>
    </row>
    <row r="305" spans="1:11" ht="15.5" x14ac:dyDescent="0.35">
      <c r="A305" s="3" t="s">
        <v>78</v>
      </c>
      <c r="B305" s="1"/>
      <c r="C305" s="20">
        <v>15500</v>
      </c>
      <c r="D305" s="1"/>
      <c r="E305" s="1"/>
      <c r="F305" s="20">
        <f t="shared" si="39"/>
        <v>0</v>
      </c>
      <c r="G305" s="20">
        <f t="shared" si="40"/>
        <v>0</v>
      </c>
      <c r="H305" s="20">
        <f t="shared" si="41"/>
        <v>0</v>
      </c>
      <c r="I305" s="20"/>
      <c r="J305" s="20">
        <v>15000</v>
      </c>
      <c r="K305" s="20" t="s">
        <v>127</v>
      </c>
    </row>
    <row r="306" spans="1:11" ht="15.5" x14ac:dyDescent="0.35">
      <c r="A306" s="3" t="s">
        <v>79</v>
      </c>
      <c r="B306" s="1"/>
      <c r="C306" s="20">
        <v>15900</v>
      </c>
      <c r="D306" s="1"/>
      <c r="E306" s="1"/>
      <c r="F306" s="20">
        <f t="shared" si="39"/>
        <v>0</v>
      </c>
      <c r="G306" s="20">
        <f t="shared" si="40"/>
        <v>0</v>
      </c>
      <c r="H306" s="20">
        <f t="shared" si="41"/>
        <v>0</v>
      </c>
      <c r="I306" s="20"/>
      <c r="J306" s="20"/>
      <c r="K306" s="20"/>
    </row>
    <row r="307" spans="1:11" ht="15.5" x14ac:dyDescent="0.35">
      <c r="A307" s="3" t="s">
        <v>80</v>
      </c>
      <c r="B307" s="1"/>
      <c r="C307" s="20">
        <v>15900</v>
      </c>
      <c r="D307" s="1"/>
      <c r="E307" s="1"/>
      <c r="F307" s="20">
        <f t="shared" si="39"/>
        <v>0</v>
      </c>
      <c r="G307" s="20">
        <f t="shared" si="40"/>
        <v>0</v>
      </c>
      <c r="H307" s="20">
        <f t="shared" si="41"/>
        <v>0</v>
      </c>
      <c r="I307" s="20"/>
      <c r="J307" s="20"/>
      <c r="K307" s="20"/>
    </row>
    <row r="308" spans="1:11" ht="15.5" x14ac:dyDescent="0.35">
      <c r="A308" s="3" t="s">
        <v>81</v>
      </c>
      <c r="B308" s="1"/>
      <c r="C308" s="20">
        <v>20000</v>
      </c>
      <c r="D308" s="1"/>
      <c r="E308" s="1"/>
      <c r="F308" s="20">
        <f t="shared" si="39"/>
        <v>0</v>
      </c>
      <c r="G308" s="20">
        <f t="shared" si="40"/>
        <v>0</v>
      </c>
      <c r="H308" s="20">
        <f t="shared" si="41"/>
        <v>0</v>
      </c>
      <c r="I308" s="20"/>
      <c r="J308" s="20"/>
      <c r="K308" s="20"/>
    </row>
    <row r="309" spans="1:11" ht="15.5" x14ac:dyDescent="0.35">
      <c r="A309" s="3" t="s">
        <v>82</v>
      </c>
      <c r="B309" s="1"/>
      <c r="C309" s="20">
        <v>15500</v>
      </c>
      <c r="D309" s="1"/>
      <c r="E309" s="1"/>
      <c r="F309" s="20">
        <f t="shared" si="39"/>
        <v>0</v>
      </c>
      <c r="G309" s="20">
        <f t="shared" si="40"/>
        <v>0</v>
      </c>
      <c r="H309" s="20">
        <f t="shared" si="41"/>
        <v>0</v>
      </c>
      <c r="I309" s="20"/>
      <c r="J309" s="20"/>
      <c r="K309" s="20"/>
    </row>
    <row r="310" spans="1:11" ht="15.5" x14ac:dyDescent="0.35">
      <c r="A310" s="3" t="s">
        <v>83</v>
      </c>
      <c r="B310" s="1"/>
      <c r="C310" s="20">
        <v>15500</v>
      </c>
      <c r="D310" s="11"/>
      <c r="E310" s="1"/>
      <c r="F310" s="20">
        <f t="shared" si="39"/>
        <v>0</v>
      </c>
      <c r="G310" s="20">
        <f t="shared" si="40"/>
        <v>0</v>
      </c>
      <c r="H310" s="20">
        <f t="shared" si="41"/>
        <v>0</v>
      </c>
      <c r="I310" s="20"/>
      <c r="J310" s="20"/>
      <c r="K310" s="20"/>
    </row>
    <row r="311" spans="1:11" ht="15.5" x14ac:dyDescent="0.35">
      <c r="A311" s="3" t="s">
        <v>84</v>
      </c>
      <c r="B311" s="1"/>
      <c r="C311" s="20">
        <v>16400</v>
      </c>
      <c r="D311" s="1"/>
      <c r="E311" s="1"/>
      <c r="F311" s="20">
        <f t="shared" si="39"/>
        <v>0</v>
      </c>
      <c r="G311" s="20">
        <f t="shared" si="40"/>
        <v>0</v>
      </c>
      <c r="H311" s="20">
        <f t="shared" si="41"/>
        <v>0</v>
      </c>
      <c r="I311" s="20"/>
      <c r="J311" s="20"/>
      <c r="K311" s="20"/>
    </row>
    <row r="312" spans="1:11" ht="15.5" x14ac:dyDescent="0.35">
      <c r="A312" s="3" t="s">
        <v>85</v>
      </c>
      <c r="B312" s="1"/>
      <c r="C312" s="20">
        <v>16400</v>
      </c>
      <c r="D312" s="1"/>
      <c r="E312" s="1"/>
      <c r="F312" s="20">
        <f t="shared" si="39"/>
        <v>0</v>
      </c>
      <c r="G312" s="20">
        <f t="shared" si="40"/>
        <v>0</v>
      </c>
      <c r="H312" s="20">
        <f t="shared" si="41"/>
        <v>0</v>
      </c>
      <c r="I312" s="20"/>
      <c r="J312" s="20"/>
      <c r="K312" s="20"/>
    </row>
    <row r="313" spans="1:11" ht="15.5" x14ac:dyDescent="0.35">
      <c r="A313" s="3" t="s">
        <v>86</v>
      </c>
      <c r="B313" s="1"/>
      <c r="C313" s="20">
        <v>16400</v>
      </c>
      <c r="D313" s="1"/>
      <c r="E313" s="1"/>
      <c r="F313" s="20">
        <f t="shared" si="39"/>
        <v>0</v>
      </c>
      <c r="G313" s="20">
        <f t="shared" si="40"/>
        <v>0</v>
      </c>
      <c r="H313" s="20">
        <f t="shared" si="41"/>
        <v>0</v>
      </c>
      <c r="I313" s="20"/>
      <c r="J313" s="20"/>
      <c r="K313" s="20"/>
    </row>
    <row r="314" spans="1:11" ht="15.5" x14ac:dyDescent="0.35">
      <c r="A314" s="3" t="s">
        <v>87</v>
      </c>
      <c r="B314" s="1"/>
      <c r="C314" s="20">
        <v>16400</v>
      </c>
      <c r="D314" s="1"/>
      <c r="E314" s="1"/>
      <c r="F314" s="20">
        <f t="shared" si="39"/>
        <v>0</v>
      </c>
      <c r="G314" s="20">
        <f t="shared" si="40"/>
        <v>0</v>
      </c>
      <c r="H314" s="20">
        <f t="shared" si="41"/>
        <v>0</v>
      </c>
      <c r="I314" s="20"/>
      <c r="J314" s="20"/>
      <c r="K314" s="20"/>
    </row>
    <row r="315" spans="1:11" ht="15.5" x14ac:dyDescent="0.35">
      <c r="A315" s="3" t="s">
        <v>88</v>
      </c>
      <c r="B315" s="1"/>
      <c r="C315" s="20">
        <v>16400</v>
      </c>
      <c r="D315" s="1"/>
      <c r="E315" s="1"/>
      <c r="F315" s="20">
        <f t="shared" si="39"/>
        <v>0</v>
      </c>
      <c r="G315" s="20">
        <f t="shared" si="40"/>
        <v>0</v>
      </c>
      <c r="H315" s="20">
        <f t="shared" si="41"/>
        <v>0</v>
      </c>
      <c r="I315" s="20"/>
      <c r="J315" s="20"/>
      <c r="K315" s="20"/>
    </row>
    <row r="316" spans="1:11" ht="15.5" x14ac:dyDescent="0.35">
      <c r="A316" s="19" t="s">
        <v>89</v>
      </c>
      <c r="B316" s="1"/>
      <c r="C316" s="20"/>
      <c r="D316" s="1"/>
      <c r="E316" s="1"/>
      <c r="F316" s="20"/>
      <c r="G316" s="20"/>
      <c r="H316" s="20">
        <f t="shared" si="41"/>
        <v>0</v>
      </c>
      <c r="I316" s="20"/>
      <c r="J316" s="20"/>
      <c r="K316" s="20"/>
    </row>
    <row r="317" spans="1:11" ht="15.5" x14ac:dyDescent="0.35">
      <c r="A317" s="3" t="s">
        <v>92</v>
      </c>
      <c r="B317" s="1"/>
      <c r="C317" s="20">
        <v>19400</v>
      </c>
      <c r="D317" s="1"/>
      <c r="E317" s="1"/>
      <c r="F317" s="20">
        <f t="shared" ref="F317:F319" si="42">C317*B317</f>
        <v>0</v>
      </c>
      <c r="G317" s="20">
        <f t="shared" ref="G317:G319" si="43">D317*C317</f>
        <v>0</v>
      </c>
      <c r="H317" s="20">
        <f t="shared" si="41"/>
        <v>0</v>
      </c>
      <c r="I317" s="20"/>
      <c r="J317" s="20"/>
      <c r="K317" s="20"/>
    </row>
    <row r="318" spans="1:11" ht="15.5" x14ac:dyDescent="0.35">
      <c r="A318" s="3" t="s">
        <v>93</v>
      </c>
      <c r="B318" s="1"/>
      <c r="C318" s="20">
        <v>19400</v>
      </c>
      <c r="D318" s="1"/>
      <c r="E318" s="1"/>
      <c r="F318" s="20">
        <f t="shared" si="42"/>
        <v>0</v>
      </c>
      <c r="G318" s="20">
        <f t="shared" si="43"/>
        <v>0</v>
      </c>
      <c r="H318" s="20">
        <f t="shared" si="41"/>
        <v>0</v>
      </c>
      <c r="I318" s="20"/>
      <c r="J318" s="20"/>
      <c r="K318" s="20"/>
    </row>
    <row r="319" spans="1:11" ht="15.5" x14ac:dyDescent="0.35">
      <c r="A319" s="3" t="s">
        <v>94</v>
      </c>
      <c r="B319" s="1"/>
      <c r="C319" s="20">
        <v>19400</v>
      </c>
      <c r="D319" s="1"/>
      <c r="E319" s="1"/>
      <c r="F319" s="20">
        <f t="shared" si="42"/>
        <v>0</v>
      </c>
      <c r="G319" s="20">
        <f t="shared" si="43"/>
        <v>0</v>
      </c>
      <c r="H319" s="20">
        <f t="shared" si="41"/>
        <v>0</v>
      </c>
      <c r="I319" s="20"/>
      <c r="J319" s="20"/>
      <c r="K319" s="20"/>
    </row>
    <row r="320" spans="1:11" ht="15.5" x14ac:dyDescent="0.35">
      <c r="A320" s="19"/>
      <c r="B320" s="22">
        <f>SUM(B303:B319)</f>
        <v>0</v>
      </c>
      <c r="C320" s="20"/>
      <c r="D320" s="1"/>
      <c r="E320" s="1"/>
      <c r="F320" s="23">
        <f>SUM(F303:F319)</f>
        <v>0</v>
      </c>
      <c r="G320" s="23">
        <f>SUM(G303:G319)</f>
        <v>0</v>
      </c>
      <c r="H320" s="23">
        <f>SUM(H303:H319)</f>
        <v>0</v>
      </c>
      <c r="I320" s="23"/>
      <c r="J320" s="23">
        <f>SUM(J303:J319)</f>
        <v>665400</v>
      </c>
      <c r="K320" s="23">
        <f>H320-J320</f>
        <v>-665400</v>
      </c>
    </row>
    <row r="321" spans="1:11" ht="15.5" x14ac:dyDescent="0.35">
      <c r="A321" s="19" t="s">
        <v>95</v>
      </c>
      <c r="B321" s="1"/>
      <c r="C321" s="20"/>
      <c r="D321" s="1"/>
      <c r="E321" s="1"/>
      <c r="F321" s="20"/>
      <c r="G321" s="20"/>
      <c r="H321" s="20"/>
      <c r="I321" s="20"/>
      <c r="J321" s="20"/>
      <c r="K321" s="20"/>
    </row>
    <row r="322" spans="1:11" ht="15.5" x14ac:dyDescent="0.35">
      <c r="A322" s="3" t="s">
        <v>96</v>
      </c>
      <c r="B322" s="1"/>
      <c r="C322" s="20"/>
      <c r="D322" s="1"/>
      <c r="E322" s="1"/>
      <c r="F322" s="20">
        <f t="shared" ref="F322:F325" si="44">C322*B322</f>
        <v>0</v>
      </c>
      <c r="G322" s="20"/>
      <c r="H322" s="20"/>
      <c r="I322" s="20"/>
      <c r="J322" s="20"/>
      <c r="K322" s="20"/>
    </row>
    <row r="323" spans="1:11" ht="15.5" x14ac:dyDescent="0.35">
      <c r="A323" s="3" t="s">
        <v>97</v>
      </c>
      <c r="B323" s="1"/>
      <c r="C323" s="20"/>
      <c r="D323" s="1"/>
      <c r="E323" s="1"/>
      <c r="F323" s="20">
        <f t="shared" si="44"/>
        <v>0</v>
      </c>
      <c r="G323" s="20"/>
      <c r="H323" s="20"/>
      <c r="I323" s="20"/>
      <c r="J323" s="20"/>
      <c r="K323" s="20"/>
    </row>
    <row r="324" spans="1:11" ht="15.5" x14ac:dyDescent="0.35">
      <c r="A324" s="3" t="s">
        <v>98</v>
      </c>
      <c r="B324" s="1"/>
      <c r="C324" s="20"/>
      <c r="D324" s="1"/>
      <c r="E324" s="1"/>
      <c r="F324" s="20">
        <f t="shared" si="44"/>
        <v>0</v>
      </c>
      <c r="G324" s="20"/>
      <c r="H324" s="20"/>
      <c r="I324" s="20"/>
      <c r="J324" s="20"/>
      <c r="K324" s="20"/>
    </row>
    <row r="325" spans="1:11" ht="15.5" x14ac:dyDescent="0.35">
      <c r="A325" s="3" t="s">
        <v>99</v>
      </c>
      <c r="B325" s="1"/>
      <c r="C325" s="20"/>
      <c r="D325" s="1"/>
      <c r="E325" s="1"/>
      <c r="F325" s="20">
        <f t="shared" si="44"/>
        <v>0</v>
      </c>
      <c r="G325" s="20"/>
      <c r="H325" s="20"/>
      <c r="I325" s="20"/>
      <c r="J325" s="20"/>
      <c r="K325" s="20"/>
    </row>
    <row r="326" spans="1:11" ht="15.5" x14ac:dyDescent="0.35">
      <c r="A326" s="18"/>
    </row>
    <row r="328" spans="1:11" ht="15.5" x14ac:dyDescent="0.35">
      <c r="A328" s="24" t="s">
        <v>108</v>
      </c>
      <c r="J328" s="21"/>
    </row>
    <row r="329" spans="1:11" ht="15.5" x14ac:dyDescent="0.35">
      <c r="A329" s="18" t="s">
        <v>114</v>
      </c>
      <c r="B329" s="67">
        <v>45000</v>
      </c>
      <c r="J329" s="21"/>
    </row>
    <row r="330" spans="1:11" ht="15.5" x14ac:dyDescent="0.35">
      <c r="A330" s="18" t="s">
        <v>154</v>
      </c>
      <c r="B330" s="67">
        <v>60000</v>
      </c>
      <c r="J330" s="21"/>
    </row>
    <row r="331" spans="1:11" ht="15.5" x14ac:dyDescent="0.35">
      <c r="A331" s="18" t="s">
        <v>112</v>
      </c>
      <c r="B331" s="67">
        <v>60000</v>
      </c>
      <c r="J331" s="21"/>
    </row>
    <row r="332" spans="1:11" ht="15.5" x14ac:dyDescent="0.35">
      <c r="A332" s="18" t="s">
        <v>110</v>
      </c>
      <c r="B332" s="67">
        <v>40000</v>
      </c>
    </row>
    <row r="333" spans="1:11" ht="15.5" x14ac:dyDescent="0.35">
      <c r="A333" s="18" t="s">
        <v>111</v>
      </c>
      <c r="B333" s="67">
        <v>45000</v>
      </c>
    </row>
    <row r="334" spans="1:11" ht="15.5" x14ac:dyDescent="0.35">
      <c r="A334" s="18" t="s">
        <v>196</v>
      </c>
      <c r="B334" s="67">
        <v>45000</v>
      </c>
    </row>
    <row r="335" spans="1:11" ht="15.5" x14ac:dyDescent="0.35">
      <c r="A335" s="18" t="s">
        <v>113</v>
      </c>
      <c r="B335" s="67">
        <v>45000</v>
      </c>
    </row>
    <row r="336" spans="1:11" ht="15.5" x14ac:dyDescent="0.35">
      <c r="A336" s="18" t="s">
        <v>209</v>
      </c>
      <c r="B336" s="67">
        <v>45000</v>
      </c>
    </row>
    <row r="337" spans="1:11" ht="15.5" x14ac:dyDescent="0.35">
      <c r="A337" s="18" t="s">
        <v>115</v>
      </c>
      <c r="B337" s="67">
        <v>60000</v>
      </c>
    </row>
    <row r="338" spans="1:11" ht="15.5" x14ac:dyDescent="0.35">
      <c r="A338" s="18" t="s">
        <v>122</v>
      </c>
      <c r="B338" s="67">
        <v>60000</v>
      </c>
    </row>
    <row r="339" spans="1:11" ht="15.5" x14ac:dyDescent="0.35">
      <c r="A339" s="18" t="s">
        <v>116</v>
      </c>
      <c r="B339" s="67">
        <v>92500</v>
      </c>
    </row>
    <row r="340" spans="1:11" ht="15.5" x14ac:dyDescent="0.35">
      <c r="A340" s="18" t="s">
        <v>109</v>
      </c>
      <c r="B340" s="67">
        <v>45000</v>
      </c>
    </row>
    <row r="341" spans="1:11" ht="15.5" x14ac:dyDescent="0.35">
      <c r="A341" s="24" t="s">
        <v>4</v>
      </c>
      <c r="B341" s="67">
        <f>SUM(B329:B340)</f>
        <v>642500</v>
      </c>
    </row>
    <row r="344" spans="1:11" ht="18.5" x14ac:dyDescent="0.45">
      <c r="A344" s="149">
        <v>46037</v>
      </c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</row>
    <row r="346" spans="1:11" ht="18.5" x14ac:dyDescent="0.45">
      <c r="A346" s="2" t="s">
        <v>75</v>
      </c>
      <c r="B346" s="2" t="s">
        <v>3</v>
      </c>
      <c r="C346" s="2" t="s">
        <v>100</v>
      </c>
      <c r="D346" s="2" t="s">
        <v>90</v>
      </c>
      <c r="E346" s="2" t="s">
        <v>91</v>
      </c>
      <c r="F346" s="2" t="s">
        <v>4</v>
      </c>
      <c r="G346" s="2" t="s">
        <v>101</v>
      </c>
      <c r="H346" s="2" t="s">
        <v>104</v>
      </c>
      <c r="I346" s="2"/>
      <c r="J346" s="2" t="s">
        <v>105</v>
      </c>
      <c r="K346" s="2" t="s">
        <v>106</v>
      </c>
    </row>
    <row r="347" spans="1:11" ht="15.5" x14ac:dyDescent="0.35">
      <c r="A347" s="3" t="s">
        <v>76</v>
      </c>
      <c r="B347" s="1"/>
      <c r="C347" s="20">
        <v>15500</v>
      </c>
      <c r="D347" s="1"/>
      <c r="E347" s="1"/>
      <c r="F347" s="20">
        <f>C347*B347</f>
        <v>0</v>
      </c>
      <c r="G347" s="20">
        <f>D347*C347</f>
        <v>0</v>
      </c>
      <c r="H347" s="20">
        <f>E347*C347</f>
        <v>0</v>
      </c>
      <c r="I347" s="20"/>
      <c r="J347" s="20">
        <f>B385</f>
        <v>720500</v>
      </c>
      <c r="K347" s="20" t="s">
        <v>117</v>
      </c>
    </row>
    <row r="348" spans="1:11" ht="15.5" x14ac:dyDescent="0.35">
      <c r="A348" s="3" t="s">
        <v>77</v>
      </c>
      <c r="B348" s="1"/>
      <c r="C348" s="20">
        <v>14500</v>
      </c>
      <c r="D348" s="1"/>
      <c r="E348" s="1"/>
      <c r="F348" s="20">
        <f t="shared" ref="F348:F359" si="45">C348*B348</f>
        <v>0</v>
      </c>
      <c r="G348" s="20">
        <f t="shared" ref="G348:G359" si="46">D348*C348</f>
        <v>0</v>
      </c>
      <c r="H348" s="20">
        <f t="shared" ref="H348:H363" si="47">E348*C348</f>
        <v>0</v>
      </c>
      <c r="I348" s="20"/>
      <c r="J348" s="20">
        <v>7900</v>
      </c>
      <c r="K348" s="20" t="s">
        <v>191</v>
      </c>
    </row>
    <row r="349" spans="1:11" ht="15.5" x14ac:dyDescent="0.35">
      <c r="A349" s="3" t="s">
        <v>78</v>
      </c>
      <c r="B349" s="1"/>
      <c r="C349" s="20">
        <v>15500</v>
      </c>
      <c r="D349" s="1"/>
      <c r="E349" s="1"/>
      <c r="F349" s="20">
        <f t="shared" si="45"/>
        <v>0</v>
      </c>
      <c r="G349" s="20">
        <f t="shared" si="46"/>
        <v>0</v>
      </c>
      <c r="H349" s="20">
        <f t="shared" si="47"/>
        <v>0</v>
      </c>
      <c r="I349" s="20"/>
      <c r="J349" s="20">
        <v>30000</v>
      </c>
      <c r="K349" s="20" t="s">
        <v>202</v>
      </c>
    </row>
    <row r="350" spans="1:11" ht="15.5" x14ac:dyDescent="0.35">
      <c r="A350" s="3" t="s">
        <v>79</v>
      </c>
      <c r="B350" s="1"/>
      <c r="C350" s="20">
        <v>15900</v>
      </c>
      <c r="D350" s="1"/>
      <c r="E350" s="1"/>
      <c r="F350" s="20">
        <f t="shared" si="45"/>
        <v>0</v>
      </c>
      <c r="G350" s="20">
        <f t="shared" si="46"/>
        <v>0</v>
      </c>
      <c r="H350" s="20">
        <f t="shared" si="47"/>
        <v>0</v>
      </c>
      <c r="I350" s="20"/>
      <c r="J350" s="20">
        <v>138400</v>
      </c>
      <c r="K350" s="20" t="s">
        <v>155</v>
      </c>
    </row>
    <row r="351" spans="1:11" ht="15.5" x14ac:dyDescent="0.35">
      <c r="A351" s="3" t="s">
        <v>80</v>
      </c>
      <c r="B351" s="1"/>
      <c r="C351" s="20">
        <v>15900</v>
      </c>
      <c r="D351" s="1"/>
      <c r="E351" s="1"/>
      <c r="F351" s="20">
        <f t="shared" si="45"/>
        <v>0</v>
      </c>
      <c r="G351" s="20">
        <f t="shared" si="46"/>
        <v>0</v>
      </c>
      <c r="H351" s="20">
        <f t="shared" si="47"/>
        <v>0</v>
      </c>
      <c r="I351" s="20"/>
      <c r="J351" s="20"/>
      <c r="K351" s="20"/>
    </row>
    <row r="352" spans="1:11" ht="15.5" x14ac:dyDescent="0.35">
      <c r="A352" s="3" t="s">
        <v>81</v>
      </c>
      <c r="B352" s="1"/>
      <c r="C352" s="20">
        <v>20000</v>
      </c>
      <c r="D352" s="1"/>
      <c r="E352" s="1"/>
      <c r="F352" s="20">
        <f t="shared" si="45"/>
        <v>0</v>
      </c>
      <c r="G352" s="20">
        <f t="shared" si="46"/>
        <v>0</v>
      </c>
      <c r="H352" s="20">
        <f t="shared" si="47"/>
        <v>0</v>
      </c>
      <c r="I352" s="20"/>
      <c r="J352" s="20"/>
      <c r="K352" s="20"/>
    </row>
    <row r="353" spans="1:11" ht="15.5" x14ac:dyDescent="0.35">
      <c r="A353" s="3" t="s">
        <v>82</v>
      </c>
      <c r="B353" s="1"/>
      <c r="C353" s="20">
        <v>15500</v>
      </c>
      <c r="D353" s="1"/>
      <c r="E353" s="1"/>
      <c r="F353" s="20">
        <f t="shared" si="45"/>
        <v>0</v>
      </c>
      <c r="G353" s="20">
        <f t="shared" si="46"/>
        <v>0</v>
      </c>
      <c r="H353" s="20">
        <f t="shared" si="47"/>
        <v>0</v>
      </c>
      <c r="I353" s="20"/>
      <c r="J353" s="20"/>
      <c r="K353" s="20"/>
    </row>
    <row r="354" spans="1:11" ht="15.5" x14ac:dyDescent="0.35">
      <c r="A354" s="3" t="s">
        <v>83</v>
      </c>
      <c r="B354" s="1"/>
      <c r="C354" s="20">
        <v>15500</v>
      </c>
      <c r="D354" s="11"/>
      <c r="E354" s="1"/>
      <c r="F354" s="20">
        <f t="shared" si="45"/>
        <v>0</v>
      </c>
      <c r="G354" s="20">
        <f t="shared" si="46"/>
        <v>0</v>
      </c>
      <c r="H354" s="20">
        <f t="shared" si="47"/>
        <v>0</v>
      </c>
      <c r="I354" s="20"/>
      <c r="J354" s="20"/>
      <c r="K354" s="20"/>
    </row>
    <row r="355" spans="1:11" ht="15.5" x14ac:dyDescent="0.35">
      <c r="A355" s="3" t="s">
        <v>84</v>
      </c>
      <c r="B355" s="1"/>
      <c r="C355" s="20">
        <v>16400</v>
      </c>
      <c r="D355" s="1"/>
      <c r="E355" s="1"/>
      <c r="F355" s="20">
        <f t="shared" si="45"/>
        <v>0</v>
      </c>
      <c r="G355" s="20">
        <f t="shared" si="46"/>
        <v>0</v>
      </c>
      <c r="H355" s="20">
        <f t="shared" si="47"/>
        <v>0</v>
      </c>
      <c r="I355" s="20"/>
      <c r="J355" s="20"/>
      <c r="K355" s="20"/>
    </row>
    <row r="356" spans="1:11" ht="15.5" x14ac:dyDescent="0.35">
      <c r="A356" s="3" t="s">
        <v>85</v>
      </c>
      <c r="B356" s="1"/>
      <c r="C356" s="20">
        <v>16400</v>
      </c>
      <c r="D356" s="1"/>
      <c r="E356" s="1"/>
      <c r="F356" s="20">
        <f t="shared" si="45"/>
        <v>0</v>
      </c>
      <c r="G356" s="20">
        <f t="shared" si="46"/>
        <v>0</v>
      </c>
      <c r="H356" s="20">
        <f t="shared" si="47"/>
        <v>0</v>
      </c>
      <c r="I356" s="20"/>
      <c r="J356" s="20"/>
      <c r="K356" s="20"/>
    </row>
    <row r="357" spans="1:11" ht="15.5" x14ac:dyDescent="0.35">
      <c r="A357" s="3" t="s">
        <v>86</v>
      </c>
      <c r="B357" s="1"/>
      <c r="C357" s="20">
        <v>16400</v>
      </c>
      <c r="D357" s="1"/>
      <c r="E357" s="1"/>
      <c r="F357" s="20">
        <f t="shared" si="45"/>
        <v>0</v>
      </c>
      <c r="G357" s="20">
        <f t="shared" si="46"/>
        <v>0</v>
      </c>
      <c r="H357" s="20">
        <f t="shared" si="47"/>
        <v>0</v>
      </c>
      <c r="I357" s="20"/>
      <c r="J357" s="20"/>
      <c r="K357" s="20"/>
    </row>
    <row r="358" spans="1:11" ht="15.5" x14ac:dyDescent="0.35">
      <c r="A358" s="3" t="s">
        <v>87</v>
      </c>
      <c r="B358" s="1"/>
      <c r="C358" s="20">
        <v>16400</v>
      </c>
      <c r="D358" s="1"/>
      <c r="E358" s="1"/>
      <c r="F358" s="20">
        <f t="shared" si="45"/>
        <v>0</v>
      </c>
      <c r="G358" s="20">
        <f t="shared" si="46"/>
        <v>0</v>
      </c>
      <c r="H358" s="20">
        <f t="shared" si="47"/>
        <v>0</v>
      </c>
      <c r="I358" s="20"/>
      <c r="J358" s="20"/>
      <c r="K358" s="20"/>
    </row>
    <row r="359" spans="1:11" ht="15.5" x14ac:dyDescent="0.35">
      <c r="A359" s="3" t="s">
        <v>88</v>
      </c>
      <c r="B359" s="1"/>
      <c r="C359" s="20">
        <v>16400</v>
      </c>
      <c r="D359" s="1"/>
      <c r="E359" s="1"/>
      <c r="F359" s="20">
        <f t="shared" si="45"/>
        <v>0</v>
      </c>
      <c r="G359" s="20">
        <f t="shared" si="46"/>
        <v>0</v>
      </c>
      <c r="H359" s="20">
        <f t="shared" si="47"/>
        <v>0</v>
      </c>
      <c r="I359" s="20"/>
      <c r="J359" s="20"/>
      <c r="K359" s="20"/>
    </row>
    <row r="360" spans="1:11" ht="15.5" x14ac:dyDescent="0.35">
      <c r="A360" s="19" t="s">
        <v>89</v>
      </c>
      <c r="B360" s="1"/>
      <c r="C360" s="20"/>
      <c r="D360" s="1"/>
      <c r="E360" s="1"/>
      <c r="F360" s="20"/>
      <c r="G360" s="20"/>
      <c r="H360" s="20">
        <f t="shared" si="47"/>
        <v>0</v>
      </c>
      <c r="I360" s="20"/>
      <c r="J360" s="20"/>
      <c r="K360" s="20"/>
    </row>
    <row r="361" spans="1:11" ht="15.5" x14ac:dyDescent="0.35">
      <c r="A361" s="3" t="s">
        <v>92</v>
      </c>
      <c r="B361" s="1"/>
      <c r="C361" s="20">
        <v>19400</v>
      </c>
      <c r="D361" s="1"/>
      <c r="E361" s="1"/>
      <c r="F361" s="20">
        <f t="shared" ref="F361:F363" si="48">C361*B361</f>
        <v>0</v>
      </c>
      <c r="G361" s="20">
        <f t="shared" ref="G361:G363" si="49">D361*C361</f>
        <v>0</v>
      </c>
      <c r="H361" s="20">
        <f t="shared" si="47"/>
        <v>0</v>
      </c>
      <c r="I361" s="20"/>
      <c r="J361" s="20"/>
      <c r="K361" s="20"/>
    </row>
    <row r="362" spans="1:11" ht="15.5" x14ac:dyDescent="0.35">
      <c r="A362" s="3" t="s">
        <v>93</v>
      </c>
      <c r="B362" s="1"/>
      <c r="C362" s="20">
        <v>19400</v>
      </c>
      <c r="D362" s="1"/>
      <c r="E362" s="1"/>
      <c r="F362" s="20">
        <f t="shared" si="48"/>
        <v>0</v>
      </c>
      <c r="G362" s="20">
        <f t="shared" si="49"/>
        <v>0</v>
      </c>
      <c r="H362" s="20">
        <f t="shared" si="47"/>
        <v>0</v>
      </c>
      <c r="I362" s="20"/>
      <c r="J362" s="20"/>
      <c r="K362" s="20"/>
    </row>
    <row r="363" spans="1:11" ht="15.5" x14ac:dyDescent="0.35">
      <c r="A363" s="3" t="s">
        <v>94</v>
      </c>
      <c r="B363" s="1"/>
      <c r="C363" s="20">
        <v>19400</v>
      </c>
      <c r="D363" s="1"/>
      <c r="E363" s="1"/>
      <c r="F363" s="20">
        <f t="shared" si="48"/>
        <v>0</v>
      </c>
      <c r="G363" s="20">
        <f t="shared" si="49"/>
        <v>0</v>
      </c>
      <c r="H363" s="20">
        <f t="shared" si="47"/>
        <v>0</v>
      </c>
      <c r="I363" s="20"/>
      <c r="J363" s="20"/>
      <c r="K363" s="20"/>
    </row>
    <row r="364" spans="1:11" ht="15.5" x14ac:dyDescent="0.35">
      <c r="A364" s="19"/>
      <c r="B364" s="22">
        <f>SUM(B347:B363)</f>
        <v>0</v>
      </c>
      <c r="C364" s="20"/>
      <c r="D364" s="1"/>
      <c r="E364" s="1"/>
      <c r="F364" s="23">
        <f>SUM(F347:F363)</f>
        <v>0</v>
      </c>
      <c r="G364" s="23">
        <f>SUM(G347:G363)</f>
        <v>0</v>
      </c>
      <c r="H364" s="23">
        <f>SUM(H347:H363)</f>
        <v>0</v>
      </c>
      <c r="I364" s="23"/>
      <c r="J364" s="23">
        <f>SUM(J347:J363)</f>
        <v>896800</v>
      </c>
      <c r="K364" s="23">
        <f>H364-J364</f>
        <v>-896800</v>
      </c>
    </row>
    <row r="365" spans="1:11" ht="15.5" x14ac:dyDescent="0.35">
      <c r="A365" s="19" t="s">
        <v>95</v>
      </c>
      <c r="B365" s="1"/>
      <c r="C365" s="20"/>
      <c r="D365" s="1"/>
      <c r="E365" s="1"/>
      <c r="F365" s="20"/>
      <c r="G365" s="20"/>
      <c r="H365" s="20"/>
      <c r="I365" s="20"/>
      <c r="J365" s="20"/>
      <c r="K365" s="20"/>
    </row>
    <row r="366" spans="1:11" ht="15.5" x14ac:dyDescent="0.35">
      <c r="A366" s="3" t="s">
        <v>96</v>
      </c>
      <c r="B366" s="1"/>
      <c r="C366" s="20"/>
      <c r="D366" s="1"/>
      <c r="E366" s="1"/>
      <c r="F366" s="20">
        <f t="shared" ref="F366:F369" si="50">C366*B366</f>
        <v>0</v>
      </c>
      <c r="G366" s="20"/>
      <c r="H366" s="20"/>
      <c r="I366" s="20"/>
      <c r="J366" s="20"/>
      <c r="K366" s="20"/>
    </row>
    <row r="367" spans="1:11" ht="15.5" x14ac:dyDescent="0.35">
      <c r="A367" s="3" t="s">
        <v>97</v>
      </c>
      <c r="B367" s="1"/>
      <c r="C367" s="20"/>
      <c r="D367" s="1"/>
      <c r="E367" s="1"/>
      <c r="F367" s="20">
        <f t="shared" si="50"/>
        <v>0</v>
      </c>
      <c r="G367" s="20"/>
      <c r="H367" s="20"/>
      <c r="I367" s="20"/>
      <c r="J367" s="20"/>
      <c r="K367" s="20"/>
    </row>
    <row r="368" spans="1:11" ht="15.5" x14ac:dyDescent="0.35">
      <c r="A368" s="3" t="s">
        <v>98</v>
      </c>
      <c r="B368" s="1"/>
      <c r="C368" s="20"/>
      <c r="D368" s="1"/>
      <c r="E368" s="1"/>
      <c r="F368" s="20">
        <f t="shared" si="50"/>
        <v>0</v>
      </c>
      <c r="G368" s="20"/>
      <c r="H368" s="20"/>
      <c r="I368" s="20"/>
      <c r="J368" s="20"/>
      <c r="K368" s="20"/>
    </row>
    <row r="369" spans="1:11" ht="15.5" x14ac:dyDescent="0.35">
      <c r="A369" s="3" t="s">
        <v>99</v>
      </c>
      <c r="B369" s="1"/>
      <c r="C369" s="20"/>
      <c r="D369" s="1"/>
      <c r="E369" s="1"/>
      <c r="F369" s="20">
        <f t="shared" si="50"/>
        <v>0</v>
      </c>
      <c r="G369" s="20"/>
      <c r="H369" s="20"/>
      <c r="I369" s="20"/>
      <c r="J369" s="20"/>
      <c r="K369" s="20"/>
    </row>
    <row r="370" spans="1:11" ht="15.5" x14ac:dyDescent="0.35">
      <c r="A370" s="18"/>
    </row>
    <row r="372" spans="1:11" ht="15.5" x14ac:dyDescent="0.35">
      <c r="A372" s="24" t="s">
        <v>108</v>
      </c>
      <c r="J372" s="21"/>
    </row>
    <row r="373" spans="1:11" ht="15.5" x14ac:dyDescent="0.35">
      <c r="A373" s="18" t="s">
        <v>114</v>
      </c>
      <c r="B373" s="67">
        <v>84000</v>
      </c>
      <c r="J373" s="21"/>
    </row>
    <row r="374" spans="1:11" ht="15.5" x14ac:dyDescent="0.35">
      <c r="A374" s="18" t="s">
        <v>154</v>
      </c>
      <c r="B374" s="67">
        <v>60000</v>
      </c>
      <c r="J374" s="21"/>
    </row>
    <row r="375" spans="1:11" ht="15.5" x14ac:dyDescent="0.35">
      <c r="A375" s="18" t="s">
        <v>112</v>
      </c>
      <c r="B375" s="67">
        <v>60000</v>
      </c>
      <c r="J375" s="21"/>
    </row>
    <row r="376" spans="1:11" ht="15.5" x14ac:dyDescent="0.35">
      <c r="A376" s="18" t="s">
        <v>110</v>
      </c>
      <c r="B376" s="67">
        <v>40000</v>
      </c>
    </row>
    <row r="377" spans="1:11" ht="15.5" x14ac:dyDescent="0.35">
      <c r="A377" s="18" t="s">
        <v>111</v>
      </c>
      <c r="B377" s="67">
        <v>45000</v>
      </c>
    </row>
    <row r="378" spans="1:11" ht="15.5" x14ac:dyDescent="0.35">
      <c r="A378" s="18" t="s">
        <v>196</v>
      </c>
      <c r="B378" s="67">
        <v>45000</v>
      </c>
    </row>
    <row r="379" spans="1:11" ht="15.5" x14ac:dyDescent="0.35">
      <c r="A379" s="18" t="s">
        <v>113</v>
      </c>
      <c r="B379" s="67">
        <v>84000</v>
      </c>
    </row>
    <row r="380" spans="1:11" ht="15.5" x14ac:dyDescent="0.35">
      <c r="A380" s="18" t="s">
        <v>209</v>
      </c>
      <c r="B380" s="67">
        <v>45000</v>
      </c>
    </row>
    <row r="381" spans="1:11" ht="15.5" x14ac:dyDescent="0.35">
      <c r="A381" s="18" t="s">
        <v>115</v>
      </c>
      <c r="B381" s="67">
        <v>60000</v>
      </c>
    </row>
    <row r="382" spans="1:11" ht="15.5" x14ac:dyDescent="0.35">
      <c r="A382" s="18" t="s">
        <v>122</v>
      </c>
      <c r="B382" s="67">
        <v>60000</v>
      </c>
    </row>
    <row r="383" spans="1:11" ht="15.5" x14ac:dyDescent="0.35">
      <c r="A383" s="18" t="s">
        <v>116</v>
      </c>
      <c r="B383" s="67">
        <v>92500</v>
      </c>
    </row>
    <row r="384" spans="1:11" ht="15.5" x14ac:dyDescent="0.35">
      <c r="A384" s="18" t="s">
        <v>109</v>
      </c>
      <c r="B384" s="67">
        <v>45000</v>
      </c>
    </row>
    <row r="385" spans="1:11" ht="15.5" x14ac:dyDescent="0.35">
      <c r="A385" s="24" t="s">
        <v>4</v>
      </c>
      <c r="B385" s="67">
        <f>SUM(B373:B384)</f>
        <v>720500</v>
      </c>
    </row>
    <row r="388" spans="1:11" ht="18.5" x14ac:dyDescent="0.45">
      <c r="A388" s="149">
        <v>46038</v>
      </c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</row>
    <row r="390" spans="1:11" ht="18.5" x14ac:dyDescent="0.45">
      <c r="A390" s="2" t="s">
        <v>75</v>
      </c>
      <c r="B390" s="2" t="s">
        <v>3</v>
      </c>
      <c r="C390" s="2" t="s">
        <v>100</v>
      </c>
      <c r="D390" s="2" t="s">
        <v>90</v>
      </c>
      <c r="E390" s="2" t="s">
        <v>91</v>
      </c>
      <c r="F390" s="2" t="s">
        <v>4</v>
      </c>
      <c r="G390" s="2" t="s">
        <v>101</v>
      </c>
      <c r="H390" s="2" t="s">
        <v>104</v>
      </c>
      <c r="I390" s="2"/>
      <c r="J390" s="2" t="s">
        <v>105</v>
      </c>
      <c r="K390" s="2" t="s">
        <v>106</v>
      </c>
    </row>
    <row r="391" spans="1:11" ht="15.5" x14ac:dyDescent="0.35">
      <c r="A391" s="3" t="s">
        <v>76</v>
      </c>
      <c r="B391" s="1"/>
      <c r="C391" s="20">
        <v>15500</v>
      </c>
      <c r="D391" s="1"/>
      <c r="E391" s="1"/>
      <c r="F391" s="20">
        <f>C391*B391</f>
        <v>0</v>
      </c>
      <c r="G391" s="20">
        <f>D391*C391</f>
        <v>0</v>
      </c>
      <c r="H391" s="20">
        <f>E391*C391</f>
        <v>0</v>
      </c>
      <c r="I391" s="20"/>
      <c r="J391" s="20">
        <f>B429</f>
        <v>660000</v>
      </c>
      <c r="K391" s="20" t="s">
        <v>117</v>
      </c>
    </row>
    <row r="392" spans="1:11" ht="15.5" x14ac:dyDescent="0.35">
      <c r="A392" s="3" t="s">
        <v>77</v>
      </c>
      <c r="B392" s="1"/>
      <c r="C392" s="20">
        <v>14500</v>
      </c>
      <c r="D392" s="1"/>
      <c r="E392" s="1"/>
      <c r="F392" s="20">
        <f t="shared" ref="F392:F403" si="51">C392*B392</f>
        <v>0</v>
      </c>
      <c r="G392" s="20">
        <f t="shared" ref="G392:G403" si="52">D392*C392</f>
        <v>0</v>
      </c>
      <c r="H392" s="20">
        <f t="shared" ref="H392:H407" si="53">E392*C392</f>
        <v>0</v>
      </c>
      <c r="I392" s="20"/>
      <c r="J392" s="20">
        <v>10000</v>
      </c>
      <c r="K392" s="20" t="s">
        <v>191</v>
      </c>
    </row>
    <row r="393" spans="1:11" ht="15.5" x14ac:dyDescent="0.35">
      <c r="A393" s="3" t="s">
        <v>78</v>
      </c>
      <c r="B393" s="1"/>
      <c r="C393" s="20">
        <v>15500</v>
      </c>
      <c r="D393" s="1"/>
      <c r="E393" s="1"/>
      <c r="F393" s="20">
        <f t="shared" si="51"/>
        <v>0</v>
      </c>
      <c r="G393" s="20">
        <f t="shared" si="52"/>
        <v>0</v>
      </c>
      <c r="H393" s="20">
        <f t="shared" si="53"/>
        <v>0</v>
      </c>
      <c r="I393" s="20"/>
      <c r="J393" s="20">
        <v>15000</v>
      </c>
      <c r="K393" s="20" t="s">
        <v>232</v>
      </c>
    </row>
    <row r="394" spans="1:11" ht="15.5" x14ac:dyDescent="0.35">
      <c r="A394" s="3" t="s">
        <v>79</v>
      </c>
      <c r="B394" s="1"/>
      <c r="C394" s="20">
        <v>15900</v>
      </c>
      <c r="D394" s="1"/>
      <c r="E394" s="1"/>
      <c r="F394" s="20">
        <f t="shared" si="51"/>
        <v>0</v>
      </c>
      <c r="G394" s="20">
        <f t="shared" si="52"/>
        <v>0</v>
      </c>
      <c r="H394" s="20">
        <f t="shared" si="53"/>
        <v>0</v>
      </c>
      <c r="I394" s="20"/>
      <c r="J394" s="20">
        <v>15000</v>
      </c>
      <c r="K394" s="20" t="s">
        <v>233</v>
      </c>
    </row>
    <row r="395" spans="1:11" ht="15.5" x14ac:dyDescent="0.35">
      <c r="A395" s="3" t="s">
        <v>80</v>
      </c>
      <c r="B395" s="1"/>
      <c r="C395" s="20">
        <v>15900</v>
      </c>
      <c r="D395" s="1"/>
      <c r="E395" s="1"/>
      <c r="F395" s="20">
        <f t="shared" si="51"/>
        <v>0</v>
      </c>
      <c r="G395" s="20">
        <f t="shared" si="52"/>
        <v>0</v>
      </c>
      <c r="H395" s="20">
        <f t="shared" si="53"/>
        <v>0</v>
      </c>
      <c r="I395" s="20"/>
      <c r="J395" s="20"/>
      <c r="K395" s="20"/>
    </row>
    <row r="396" spans="1:11" ht="15.5" x14ac:dyDescent="0.35">
      <c r="A396" s="3" t="s">
        <v>81</v>
      </c>
      <c r="B396" s="1"/>
      <c r="C396" s="20">
        <v>20000</v>
      </c>
      <c r="D396" s="1"/>
      <c r="E396" s="1"/>
      <c r="F396" s="20">
        <f t="shared" si="51"/>
        <v>0</v>
      </c>
      <c r="G396" s="20">
        <f t="shared" si="52"/>
        <v>0</v>
      </c>
      <c r="H396" s="20">
        <f t="shared" si="53"/>
        <v>0</v>
      </c>
      <c r="I396" s="20"/>
      <c r="J396" s="20"/>
      <c r="K396" s="20"/>
    </row>
    <row r="397" spans="1:11" ht="15.5" x14ac:dyDescent="0.35">
      <c r="A397" s="3" t="s">
        <v>82</v>
      </c>
      <c r="B397" s="1"/>
      <c r="C397" s="20">
        <v>15500</v>
      </c>
      <c r="D397" s="1"/>
      <c r="E397" s="1"/>
      <c r="F397" s="20">
        <f t="shared" si="51"/>
        <v>0</v>
      </c>
      <c r="G397" s="20">
        <f t="shared" si="52"/>
        <v>0</v>
      </c>
      <c r="H397" s="20">
        <f t="shared" si="53"/>
        <v>0</v>
      </c>
      <c r="I397" s="20"/>
      <c r="J397" s="20"/>
      <c r="K397" s="20"/>
    </row>
    <row r="398" spans="1:11" ht="15.5" x14ac:dyDescent="0.35">
      <c r="A398" s="3" t="s">
        <v>83</v>
      </c>
      <c r="B398" s="1"/>
      <c r="C398" s="20">
        <v>15500</v>
      </c>
      <c r="D398" s="11"/>
      <c r="E398" s="1"/>
      <c r="F398" s="20">
        <f t="shared" si="51"/>
        <v>0</v>
      </c>
      <c r="G398" s="20">
        <f t="shared" si="52"/>
        <v>0</v>
      </c>
      <c r="H398" s="20">
        <f t="shared" si="53"/>
        <v>0</v>
      </c>
      <c r="I398" s="20"/>
      <c r="J398" s="20"/>
      <c r="K398" s="20"/>
    </row>
    <row r="399" spans="1:11" ht="15.5" x14ac:dyDescent="0.35">
      <c r="A399" s="3" t="s">
        <v>84</v>
      </c>
      <c r="B399" s="1"/>
      <c r="C399" s="20">
        <v>16400</v>
      </c>
      <c r="D399" s="1"/>
      <c r="E399" s="1"/>
      <c r="F399" s="20">
        <f t="shared" si="51"/>
        <v>0</v>
      </c>
      <c r="G399" s="20">
        <f t="shared" si="52"/>
        <v>0</v>
      </c>
      <c r="H399" s="20">
        <f t="shared" si="53"/>
        <v>0</v>
      </c>
      <c r="I399" s="20"/>
      <c r="J399" s="20"/>
      <c r="K399" s="20"/>
    </row>
    <row r="400" spans="1:11" ht="15.5" x14ac:dyDescent="0.35">
      <c r="A400" s="3" t="s">
        <v>85</v>
      </c>
      <c r="B400" s="1"/>
      <c r="C400" s="20">
        <v>16400</v>
      </c>
      <c r="D400" s="1"/>
      <c r="E400" s="1"/>
      <c r="F400" s="20">
        <f t="shared" si="51"/>
        <v>0</v>
      </c>
      <c r="G400" s="20">
        <f t="shared" si="52"/>
        <v>0</v>
      </c>
      <c r="H400" s="20">
        <f t="shared" si="53"/>
        <v>0</v>
      </c>
      <c r="I400" s="20"/>
      <c r="J400" s="20"/>
      <c r="K400" s="20"/>
    </row>
    <row r="401" spans="1:11" ht="15.5" x14ac:dyDescent="0.35">
      <c r="A401" s="3" t="s">
        <v>86</v>
      </c>
      <c r="B401" s="1"/>
      <c r="C401" s="20">
        <v>16400</v>
      </c>
      <c r="D401" s="1"/>
      <c r="E401" s="1"/>
      <c r="F401" s="20">
        <f t="shared" si="51"/>
        <v>0</v>
      </c>
      <c r="G401" s="20">
        <f t="shared" si="52"/>
        <v>0</v>
      </c>
      <c r="H401" s="20">
        <f t="shared" si="53"/>
        <v>0</v>
      </c>
      <c r="I401" s="20"/>
      <c r="J401" s="20"/>
      <c r="K401" s="20"/>
    </row>
    <row r="402" spans="1:11" ht="15.5" x14ac:dyDescent="0.35">
      <c r="A402" s="3" t="s">
        <v>87</v>
      </c>
      <c r="B402" s="1"/>
      <c r="C402" s="20">
        <v>16400</v>
      </c>
      <c r="D402" s="1"/>
      <c r="E402" s="1"/>
      <c r="F402" s="20">
        <f t="shared" si="51"/>
        <v>0</v>
      </c>
      <c r="G402" s="20">
        <f t="shared" si="52"/>
        <v>0</v>
      </c>
      <c r="H402" s="20">
        <f t="shared" si="53"/>
        <v>0</v>
      </c>
      <c r="I402" s="20"/>
      <c r="J402" s="20"/>
      <c r="K402" s="20"/>
    </row>
    <row r="403" spans="1:11" ht="15.5" x14ac:dyDescent="0.35">
      <c r="A403" s="3" t="s">
        <v>88</v>
      </c>
      <c r="B403" s="1"/>
      <c r="C403" s="20">
        <v>16400</v>
      </c>
      <c r="D403" s="1"/>
      <c r="E403" s="1"/>
      <c r="F403" s="20">
        <f t="shared" si="51"/>
        <v>0</v>
      </c>
      <c r="G403" s="20">
        <f t="shared" si="52"/>
        <v>0</v>
      </c>
      <c r="H403" s="20">
        <f t="shared" si="53"/>
        <v>0</v>
      </c>
      <c r="I403" s="20"/>
      <c r="J403" s="20"/>
      <c r="K403" s="20"/>
    </row>
    <row r="404" spans="1:11" ht="15.5" x14ac:dyDescent="0.35">
      <c r="A404" s="19" t="s">
        <v>89</v>
      </c>
      <c r="B404" s="1"/>
      <c r="C404" s="20"/>
      <c r="D404" s="1"/>
      <c r="E404" s="1"/>
      <c r="F404" s="20"/>
      <c r="G404" s="20"/>
      <c r="H404" s="20">
        <f t="shared" si="53"/>
        <v>0</v>
      </c>
      <c r="I404" s="20"/>
      <c r="J404" s="20"/>
      <c r="K404" s="20"/>
    </row>
    <row r="405" spans="1:11" ht="15.5" x14ac:dyDescent="0.35">
      <c r="A405" s="3" t="s">
        <v>92</v>
      </c>
      <c r="B405" s="1"/>
      <c r="C405" s="20">
        <v>19400</v>
      </c>
      <c r="D405" s="1"/>
      <c r="E405" s="1"/>
      <c r="F405" s="20">
        <f t="shared" ref="F405:F407" si="54">C405*B405</f>
        <v>0</v>
      </c>
      <c r="G405" s="20">
        <f t="shared" ref="G405:G407" si="55">D405*C405</f>
        <v>0</v>
      </c>
      <c r="H405" s="20">
        <f t="shared" si="53"/>
        <v>0</v>
      </c>
      <c r="I405" s="20"/>
      <c r="J405" s="20"/>
      <c r="K405" s="20"/>
    </row>
    <row r="406" spans="1:11" ht="15.5" x14ac:dyDescent="0.35">
      <c r="A406" s="3" t="s">
        <v>93</v>
      </c>
      <c r="B406" s="1"/>
      <c r="C406" s="20">
        <v>19400</v>
      </c>
      <c r="D406" s="1"/>
      <c r="E406" s="1"/>
      <c r="F406" s="20">
        <f t="shared" si="54"/>
        <v>0</v>
      </c>
      <c r="G406" s="20">
        <f t="shared" si="55"/>
        <v>0</v>
      </c>
      <c r="H406" s="20">
        <f t="shared" si="53"/>
        <v>0</v>
      </c>
      <c r="I406" s="20"/>
      <c r="J406" s="20"/>
      <c r="K406" s="20"/>
    </row>
    <row r="407" spans="1:11" ht="15.5" x14ac:dyDescent="0.35">
      <c r="A407" s="3" t="s">
        <v>94</v>
      </c>
      <c r="B407" s="1"/>
      <c r="C407" s="20">
        <v>19400</v>
      </c>
      <c r="D407" s="1"/>
      <c r="E407" s="1"/>
      <c r="F407" s="20">
        <f t="shared" si="54"/>
        <v>0</v>
      </c>
      <c r="G407" s="20">
        <f t="shared" si="55"/>
        <v>0</v>
      </c>
      <c r="H407" s="20">
        <f t="shared" si="53"/>
        <v>0</v>
      </c>
      <c r="I407" s="20"/>
      <c r="J407" s="20"/>
      <c r="K407" s="20"/>
    </row>
    <row r="408" spans="1:11" ht="15.5" x14ac:dyDescent="0.35">
      <c r="A408" s="19"/>
      <c r="B408" s="22">
        <f>SUM(B391:B407)</f>
        <v>0</v>
      </c>
      <c r="C408" s="20"/>
      <c r="D408" s="1"/>
      <c r="E408" s="1"/>
      <c r="F408" s="23">
        <f>SUM(F391:F407)</f>
        <v>0</v>
      </c>
      <c r="G408" s="23">
        <f>SUM(G391:G407)</f>
        <v>0</v>
      </c>
      <c r="H408" s="23">
        <f>SUM(H391:H407)</f>
        <v>0</v>
      </c>
      <c r="I408" s="23"/>
      <c r="J408" s="23">
        <f>SUM(J391:J407)</f>
        <v>700000</v>
      </c>
      <c r="K408" s="23">
        <f>H408-J408</f>
        <v>-700000</v>
      </c>
    </row>
    <row r="409" spans="1:11" ht="15.5" x14ac:dyDescent="0.35">
      <c r="A409" s="19" t="s">
        <v>95</v>
      </c>
      <c r="B409" s="1"/>
      <c r="C409" s="20"/>
      <c r="D409" s="1"/>
      <c r="E409" s="1"/>
      <c r="F409" s="20"/>
      <c r="G409" s="20"/>
      <c r="H409" s="20"/>
      <c r="I409" s="20"/>
      <c r="J409" s="20"/>
      <c r="K409" s="20"/>
    </row>
    <row r="410" spans="1:11" ht="15.5" x14ac:dyDescent="0.35">
      <c r="A410" s="3" t="s">
        <v>96</v>
      </c>
      <c r="B410" s="1"/>
      <c r="C410" s="20"/>
      <c r="D410" s="1"/>
      <c r="E410" s="1"/>
      <c r="F410" s="20">
        <f t="shared" ref="F410:F413" si="56">C410*B410</f>
        <v>0</v>
      </c>
      <c r="G410" s="20"/>
      <c r="H410" s="20"/>
      <c r="I410" s="20"/>
      <c r="J410" s="20"/>
      <c r="K410" s="20"/>
    </row>
    <row r="411" spans="1:11" ht="15.5" x14ac:dyDescent="0.35">
      <c r="A411" s="3" t="s">
        <v>97</v>
      </c>
      <c r="B411" s="1"/>
      <c r="C411" s="20"/>
      <c r="D411" s="1"/>
      <c r="E411" s="1"/>
      <c r="F411" s="20">
        <f t="shared" si="56"/>
        <v>0</v>
      </c>
      <c r="G411" s="20"/>
      <c r="H411" s="20"/>
      <c r="I411" s="20"/>
      <c r="J411" s="20"/>
      <c r="K411" s="20"/>
    </row>
    <row r="412" spans="1:11" ht="15.5" x14ac:dyDescent="0.35">
      <c r="A412" s="3" t="s">
        <v>98</v>
      </c>
      <c r="B412" s="1"/>
      <c r="C412" s="20"/>
      <c r="D412" s="1"/>
      <c r="E412" s="1"/>
      <c r="F412" s="20">
        <f t="shared" si="56"/>
        <v>0</v>
      </c>
      <c r="G412" s="20"/>
      <c r="H412" s="20"/>
      <c r="I412" s="20"/>
      <c r="J412" s="20"/>
      <c r="K412" s="20"/>
    </row>
    <row r="413" spans="1:11" ht="15.5" x14ac:dyDescent="0.35">
      <c r="A413" s="3" t="s">
        <v>99</v>
      </c>
      <c r="B413" s="1"/>
      <c r="C413" s="20"/>
      <c r="D413" s="1"/>
      <c r="E413" s="1"/>
      <c r="F413" s="20">
        <f t="shared" si="56"/>
        <v>0</v>
      </c>
      <c r="G413" s="20"/>
      <c r="H413" s="20"/>
      <c r="I413" s="20"/>
      <c r="J413" s="20"/>
      <c r="K413" s="20"/>
    </row>
    <row r="414" spans="1:11" ht="15.5" x14ac:dyDescent="0.35">
      <c r="A414" s="18"/>
    </row>
    <row r="416" spans="1:11" ht="15.5" x14ac:dyDescent="0.35">
      <c r="A416" s="24" t="s">
        <v>108</v>
      </c>
      <c r="J416" s="21"/>
    </row>
    <row r="417" spans="1:11" ht="15.5" x14ac:dyDescent="0.35">
      <c r="A417" s="18" t="s">
        <v>114</v>
      </c>
      <c r="B417" s="67">
        <v>45000</v>
      </c>
      <c r="J417" s="21"/>
    </row>
    <row r="418" spans="1:11" ht="15.5" x14ac:dyDescent="0.35">
      <c r="A418" s="18" t="s">
        <v>154</v>
      </c>
      <c r="B418" s="67">
        <v>60000</v>
      </c>
      <c r="J418" s="21"/>
    </row>
    <row r="419" spans="1:11" ht="15.5" x14ac:dyDescent="0.35">
      <c r="A419" s="18" t="s">
        <v>112</v>
      </c>
      <c r="B419" s="67">
        <v>60000</v>
      </c>
      <c r="J419" s="21"/>
    </row>
    <row r="420" spans="1:11" ht="15.5" x14ac:dyDescent="0.35">
      <c r="A420" s="18" t="s">
        <v>110</v>
      </c>
      <c r="B420" s="67">
        <v>90000</v>
      </c>
    </row>
    <row r="421" spans="1:11" ht="15.5" x14ac:dyDescent="0.35">
      <c r="A421" s="18" t="s">
        <v>111</v>
      </c>
      <c r="B421" s="67">
        <v>45000</v>
      </c>
    </row>
    <row r="422" spans="1:11" ht="15.5" x14ac:dyDescent="0.35">
      <c r="A422" s="18" t="s">
        <v>196</v>
      </c>
      <c r="B422" s="67">
        <v>45000</v>
      </c>
    </row>
    <row r="423" spans="1:11" ht="15.5" x14ac:dyDescent="0.35">
      <c r="A423" s="18" t="s">
        <v>113</v>
      </c>
      <c r="B423" s="67">
        <v>45000</v>
      </c>
    </row>
    <row r="424" spans="1:11" ht="15.5" x14ac:dyDescent="0.35">
      <c r="A424" s="18" t="s">
        <v>209</v>
      </c>
      <c r="B424" s="67">
        <v>45000</v>
      </c>
    </row>
    <row r="425" spans="1:11" ht="15.5" x14ac:dyDescent="0.35">
      <c r="A425" s="18" t="s">
        <v>115</v>
      </c>
      <c r="B425" s="67">
        <v>60000</v>
      </c>
    </row>
    <row r="426" spans="1:11" ht="15.5" x14ac:dyDescent="0.35">
      <c r="A426" s="18" t="s">
        <v>122</v>
      </c>
      <c r="B426" s="67">
        <v>60000</v>
      </c>
    </row>
    <row r="427" spans="1:11" ht="15.5" x14ac:dyDescent="0.35">
      <c r="A427" s="18" t="s">
        <v>116</v>
      </c>
      <c r="B427" s="67">
        <v>60000</v>
      </c>
    </row>
    <row r="428" spans="1:11" ht="15.5" x14ac:dyDescent="0.35">
      <c r="A428" s="18" t="s">
        <v>109</v>
      </c>
      <c r="B428" s="67">
        <v>45000</v>
      </c>
    </row>
    <row r="429" spans="1:11" ht="15.5" x14ac:dyDescent="0.35">
      <c r="A429" s="24" t="s">
        <v>4</v>
      </c>
      <c r="B429" s="75">
        <f>SUM(B417:B428)</f>
        <v>660000</v>
      </c>
    </row>
    <row r="432" spans="1:11" ht="18.5" x14ac:dyDescent="0.45">
      <c r="A432" s="149">
        <v>46039</v>
      </c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</row>
    <row r="434" spans="1:11" ht="18.5" x14ac:dyDescent="0.45">
      <c r="A434" s="2" t="s">
        <v>75</v>
      </c>
      <c r="B434" s="2" t="s">
        <v>3</v>
      </c>
      <c r="C434" s="2" t="s">
        <v>100</v>
      </c>
      <c r="D434" s="2" t="s">
        <v>90</v>
      </c>
      <c r="E434" s="2" t="s">
        <v>91</v>
      </c>
      <c r="F434" s="2" t="s">
        <v>4</v>
      </c>
      <c r="G434" s="2" t="s">
        <v>101</v>
      </c>
      <c r="H434" s="2" t="s">
        <v>104</v>
      </c>
      <c r="I434" s="2"/>
      <c r="J434" s="2" t="s">
        <v>105</v>
      </c>
      <c r="K434" s="2" t="s">
        <v>106</v>
      </c>
    </row>
    <row r="435" spans="1:11" ht="15.5" x14ac:dyDescent="0.35">
      <c r="A435" s="3" t="s">
        <v>76</v>
      </c>
      <c r="B435" s="1"/>
      <c r="C435" s="20">
        <v>15500</v>
      </c>
      <c r="D435" s="1"/>
      <c r="E435" s="1"/>
      <c r="F435" s="20">
        <f>C435*B435</f>
        <v>0</v>
      </c>
      <c r="G435" s="20">
        <f>D435*C435</f>
        <v>0</v>
      </c>
      <c r="H435" s="20">
        <f>E435*C435</f>
        <v>0</v>
      </c>
      <c r="I435" s="20"/>
      <c r="J435" s="20">
        <f>B465</f>
        <v>270000</v>
      </c>
      <c r="K435" s="20" t="s">
        <v>117</v>
      </c>
    </row>
    <row r="436" spans="1:11" ht="15.5" x14ac:dyDescent="0.35">
      <c r="A436" s="3" t="s">
        <v>77</v>
      </c>
      <c r="B436" s="1"/>
      <c r="C436" s="20">
        <v>14500</v>
      </c>
      <c r="D436" s="1"/>
      <c r="E436" s="1"/>
      <c r="F436" s="20">
        <f t="shared" ref="F436:F447" si="57">C436*B436</f>
        <v>0</v>
      </c>
      <c r="G436" s="20">
        <f t="shared" ref="G436:G447" si="58">D436*C436</f>
        <v>0</v>
      </c>
      <c r="H436" s="20">
        <f t="shared" ref="H436:H451" si="59">E436*C436</f>
        <v>0</v>
      </c>
      <c r="I436" s="20"/>
      <c r="J436" s="20">
        <v>11400</v>
      </c>
      <c r="K436" s="20" t="s">
        <v>191</v>
      </c>
    </row>
    <row r="437" spans="1:11" ht="15.5" x14ac:dyDescent="0.35">
      <c r="A437" s="3" t="s">
        <v>78</v>
      </c>
      <c r="B437" s="1"/>
      <c r="C437" s="20">
        <v>15500</v>
      </c>
      <c r="D437" s="1"/>
      <c r="E437" s="1"/>
      <c r="F437" s="20">
        <f t="shared" si="57"/>
        <v>0</v>
      </c>
      <c r="G437" s="20">
        <f t="shared" si="58"/>
        <v>0</v>
      </c>
      <c r="H437" s="20">
        <f t="shared" si="59"/>
        <v>0</v>
      </c>
      <c r="I437" s="20"/>
      <c r="J437" s="20">
        <v>250000</v>
      </c>
      <c r="K437" s="20" t="s">
        <v>107</v>
      </c>
    </row>
    <row r="438" spans="1:11" ht="15.5" x14ac:dyDescent="0.35">
      <c r="A438" s="3" t="s">
        <v>79</v>
      </c>
      <c r="B438" s="1"/>
      <c r="C438" s="20">
        <v>15900</v>
      </c>
      <c r="D438" s="1"/>
      <c r="E438" s="1"/>
      <c r="F438" s="20">
        <f t="shared" si="57"/>
        <v>0</v>
      </c>
      <c r="G438" s="20">
        <f t="shared" si="58"/>
        <v>0</v>
      </c>
      <c r="H438" s="20">
        <f t="shared" si="59"/>
        <v>0</v>
      </c>
      <c r="I438" s="20"/>
      <c r="J438" s="20"/>
      <c r="K438" s="20"/>
    </row>
    <row r="439" spans="1:11" ht="15.5" x14ac:dyDescent="0.35">
      <c r="A439" s="3" t="s">
        <v>80</v>
      </c>
      <c r="B439" s="1"/>
      <c r="C439" s="20">
        <v>15900</v>
      </c>
      <c r="D439" s="1"/>
      <c r="E439" s="1"/>
      <c r="F439" s="20">
        <f t="shared" si="57"/>
        <v>0</v>
      </c>
      <c r="G439" s="20">
        <f t="shared" si="58"/>
        <v>0</v>
      </c>
      <c r="H439" s="20">
        <f t="shared" si="59"/>
        <v>0</v>
      </c>
      <c r="I439" s="20"/>
      <c r="J439" s="20"/>
      <c r="K439" s="20"/>
    </row>
    <row r="440" spans="1:11" ht="15.5" x14ac:dyDescent="0.35">
      <c r="A440" s="3" t="s">
        <v>81</v>
      </c>
      <c r="B440" s="1"/>
      <c r="C440" s="20">
        <v>20000</v>
      </c>
      <c r="D440" s="1"/>
      <c r="E440" s="1"/>
      <c r="F440" s="20">
        <f t="shared" si="57"/>
        <v>0</v>
      </c>
      <c r="G440" s="20">
        <f t="shared" si="58"/>
        <v>0</v>
      </c>
      <c r="H440" s="20">
        <f t="shared" si="59"/>
        <v>0</v>
      </c>
      <c r="I440" s="20"/>
      <c r="J440" s="20"/>
      <c r="K440" s="20"/>
    </row>
    <row r="441" spans="1:11" ht="15.5" x14ac:dyDescent="0.35">
      <c r="A441" s="3" t="s">
        <v>82</v>
      </c>
      <c r="B441" s="1"/>
      <c r="C441" s="20">
        <v>15500</v>
      </c>
      <c r="D441" s="1"/>
      <c r="E441" s="1"/>
      <c r="F441" s="20">
        <f t="shared" si="57"/>
        <v>0</v>
      </c>
      <c r="G441" s="20">
        <f t="shared" si="58"/>
        <v>0</v>
      </c>
      <c r="H441" s="20">
        <f t="shared" si="59"/>
        <v>0</v>
      </c>
      <c r="I441" s="20"/>
      <c r="J441" s="20"/>
      <c r="K441" s="20"/>
    </row>
    <row r="442" spans="1:11" ht="15.5" x14ac:dyDescent="0.35">
      <c r="A442" s="3" t="s">
        <v>83</v>
      </c>
      <c r="B442" s="1"/>
      <c r="C442" s="20">
        <v>15500</v>
      </c>
      <c r="D442" s="11"/>
      <c r="E442" s="1"/>
      <c r="F442" s="20">
        <f t="shared" si="57"/>
        <v>0</v>
      </c>
      <c r="G442" s="20">
        <f t="shared" si="58"/>
        <v>0</v>
      </c>
      <c r="H442" s="20">
        <f t="shared" si="59"/>
        <v>0</v>
      </c>
      <c r="I442" s="20"/>
      <c r="J442" s="20"/>
      <c r="K442" s="20"/>
    </row>
    <row r="443" spans="1:11" ht="15.5" x14ac:dyDescent="0.35">
      <c r="A443" s="3" t="s">
        <v>84</v>
      </c>
      <c r="B443" s="1"/>
      <c r="C443" s="20">
        <v>16400</v>
      </c>
      <c r="D443" s="1"/>
      <c r="E443" s="1"/>
      <c r="F443" s="20">
        <f t="shared" si="57"/>
        <v>0</v>
      </c>
      <c r="G443" s="20">
        <f t="shared" si="58"/>
        <v>0</v>
      </c>
      <c r="H443" s="20">
        <f t="shared" si="59"/>
        <v>0</v>
      </c>
      <c r="I443" s="20"/>
      <c r="J443" s="20"/>
      <c r="K443" s="20"/>
    </row>
    <row r="444" spans="1:11" ht="15.5" x14ac:dyDescent="0.35">
      <c r="A444" s="3" t="s">
        <v>85</v>
      </c>
      <c r="B444" s="1"/>
      <c r="C444" s="20">
        <v>16400</v>
      </c>
      <c r="D444" s="1"/>
      <c r="E444" s="1"/>
      <c r="F444" s="20">
        <f t="shared" si="57"/>
        <v>0</v>
      </c>
      <c r="G444" s="20">
        <f t="shared" si="58"/>
        <v>0</v>
      </c>
      <c r="H444" s="20">
        <f t="shared" si="59"/>
        <v>0</v>
      </c>
      <c r="I444" s="20"/>
      <c r="J444" s="20"/>
      <c r="K444" s="20"/>
    </row>
    <row r="445" spans="1:11" ht="15.5" x14ac:dyDescent="0.35">
      <c r="A445" s="3" t="s">
        <v>86</v>
      </c>
      <c r="B445" s="1"/>
      <c r="C445" s="20">
        <v>16400</v>
      </c>
      <c r="D445" s="1"/>
      <c r="E445" s="1"/>
      <c r="F445" s="20">
        <f t="shared" si="57"/>
        <v>0</v>
      </c>
      <c r="G445" s="20">
        <f t="shared" si="58"/>
        <v>0</v>
      </c>
      <c r="H445" s="20">
        <f t="shared" si="59"/>
        <v>0</v>
      </c>
      <c r="I445" s="20"/>
      <c r="J445" s="20"/>
      <c r="K445" s="20"/>
    </row>
    <row r="446" spans="1:11" ht="15.5" x14ac:dyDescent="0.35">
      <c r="A446" s="3" t="s">
        <v>87</v>
      </c>
      <c r="B446" s="1"/>
      <c r="C446" s="20">
        <v>16400</v>
      </c>
      <c r="D446" s="1"/>
      <c r="E446" s="1"/>
      <c r="F446" s="20">
        <f t="shared" si="57"/>
        <v>0</v>
      </c>
      <c r="G446" s="20">
        <f t="shared" si="58"/>
        <v>0</v>
      </c>
      <c r="H446" s="20">
        <f t="shared" si="59"/>
        <v>0</v>
      </c>
      <c r="I446" s="20"/>
      <c r="J446" s="20"/>
      <c r="K446" s="20"/>
    </row>
    <row r="447" spans="1:11" ht="15.5" x14ac:dyDescent="0.35">
      <c r="A447" s="3" t="s">
        <v>88</v>
      </c>
      <c r="B447" s="1"/>
      <c r="C447" s="20">
        <v>16400</v>
      </c>
      <c r="D447" s="1"/>
      <c r="E447" s="1"/>
      <c r="F447" s="20">
        <f t="shared" si="57"/>
        <v>0</v>
      </c>
      <c r="G447" s="20">
        <f t="shared" si="58"/>
        <v>0</v>
      </c>
      <c r="H447" s="20">
        <f t="shared" si="59"/>
        <v>0</v>
      </c>
      <c r="I447" s="20"/>
      <c r="J447" s="20"/>
      <c r="K447" s="20"/>
    </row>
    <row r="448" spans="1:11" ht="15.5" x14ac:dyDescent="0.35">
      <c r="A448" s="19" t="s">
        <v>89</v>
      </c>
      <c r="B448" s="1"/>
      <c r="C448" s="20"/>
      <c r="D448" s="1"/>
      <c r="E448" s="1"/>
      <c r="F448" s="20"/>
      <c r="G448" s="20"/>
      <c r="H448" s="20">
        <f t="shared" si="59"/>
        <v>0</v>
      </c>
      <c r="I448" s="20"/>
      <c r="J448" s="20"/>
      <c r="K448" s="20"/>
    </row>
    <row r="449" spans="1:11" ht="15.5" x14ac:dyDescent="0.35">
      <c r="A449" s="3" t="s">
        <v>92</v>
      </c>
      <c r="B449" s="1"/>
      <c r="C449" s="20">
        <v>19400</v>
      </c>
      <c r="D449" s="1"/>
      <c r="E449" s="1"/>
      <c r="F449" s="20">
        <f t="shared" ref="F449:F451" si="60">C449*B449</f>
        <v>0</v>
      </c>
      <c r="G449" s="20">
        <f t="shared" ref="G449:G451" si="61">D449*C449</f>
        <v>0</v>
      </c>
      <c r="H449" s="20">
        <f t="shared" si="59"/>
        <v>0</v>
      </c>
      <c r="I449" s="20"/>
      <c r="J449" s="20"/>
      <c r="K449" s="20"/>
    </row>
    <row r="450" spans="1:11" ht="15.5" x14ac:dyDescent="0.35">
      <c r="A450" s="3" t="s">
        <v>93</v>
      </c>
      <c r="B450" s="1"/>
      <c r="C450" s="20">
        <v>19400</v>
      </c>
      <c r="D450" s="1"/>
      <c r="E450" s="1"/>
      <c r="F450" s="20">
        <f t="shared" si="60"/>
        <v>0</v>
      </c>
      <c r="G450" s="20">
        <f t="shared" si="61"/>
        <v>0</v>
      </c>
      <c r="H450" s="20">
        <f t="shared" si="59"/>
        <v>0</v>
      </c>
      <c r="I450" s="20"/>
      <c r="J450" s="20"/>
      <c r="K450" s="20"/>
    </row>
    <row r="451" spans="1:11" ht="15.5" x14ac:dyDescent="0.35">
      <c r="A451" s="3" t="s">
        <v>94</v>
      </c>
      <c r="B451" s="1"/>
      <c r="C451" s="20">
        <v>19400</v>
      </c>
      <c r="D451" s="1"/>
      <c r="E451" s="1"/>
      <c r="F451" s="20">
        <f t="shared" si="60"/>
        <v>0</v>
      </c>
      <c r="G451" s="20">
        <f t="shared" si="61"/>
        <v>0</v>
      </c>
      <c r="H451" s="20">
        <f t="shared" si="59"/>
        <v>0</v>
      </c>
      <c r="I451" s="20"/>
      <c r="J451" s="20"/>
      <c r="K451" s="20"/>
    </row>
    <row r="452" spans="1:11" ht="15.5" x14ac:dyDescent="0.35">
      <c r="A452" s="19"/>
      <c r="B452" s="22">
        <f>SUM(B435:B451)</f>
        <v>0</v>
      </c>
      <c r="C452" s="20"/>
      <c r="D452" s="1"/>
      <c r="E452" s="1"/>
      <c r="F452" s="23">
        <f>SUM(F435:F451)</f>
        <v>0</v>
      </c>
      <c r="G452" s="23">
        <f>SUM(G435:G451)</f>
        <v>0</v>
      </c>
      <c r="H452" s="23">
        <f>SUM(H435:H451)</f>
        <v>0</v>
      </c>
      <c r="I452" s="23"/>
      <c r="J452" s="23">
        <f>SUM(J435:J451)</f>
        <v>531400</v>
      </c>
      <c r="K452" s="23">
        <f>H452-J452</f>
        <v>-531400</v>
      </c>
    </row>
    <row r="453" spans="1:11" ht="15.5" x14ac:dyDescent="0.35">
      <c r="A453" s="19" t="s">
        <v>95</v>
      </c>
      <c r="B453" s="1"/>
      <c r="C453" s="20"/>
      <c r="D453" s="1"/>
      <c r="E453" s="1"/>
      <c r="F453" s="20"/>
      <c r="G453" s="20"/>
      <c r="H453" s="20"/>
      <c r="I453" s="20"/>
      <c r="J453" s="20"/>
      <c r="K453" s="20"/>
    </row>
    <row r="454" spans="1:11" ht="15.5" x14ac:dyDescent="0.35">
      <c r="A454" s="3" t="s">
        <v>96</v>
      </c>
      <c r="B454" s="1"/>
      <c r="C454" s="20"/>
      <c r="D454" s="1"/>
      <c r="E454" s="1"/>
      <c r="F454" s="20">
        <f t="shared" ref="F454:F457" si="62">C454*B454</f>
        <v>0</v>
      </c>
      <c r="G454" s="20"/>
      <c r="H454" s="20"/>
      <c r="I454" s="20"/>
      <c r="J454" s="20"/>
      <c r="K454" s="20"/>
    </row>
    <row r="455" spans="1:11" ht="15.5" x14ac:dyDescent="0.35">
      <c r="A455" s="3" t="s">
        <v>97</v>
      </c>
      <c r="B455" s="1"/>
      <c r="C455" s="20"/>
      <c r="D455" s="1"/>
      <c r="E455" s="1"/>
      <c r="F455" s="20">
        <f t="shared" si="62"/>
        <v>0</v>
      </c>
      <c r="G455" s="20"/>
      <c r="H455" s="20"/>
      <c r="I455" s="20"/>
      <c r="J455" s="20"/>
      <c r="K455" s="20"/>
    </row>
    <row r="456" spans="1:11" ht="15.5" x14ac:dyDescent="0.35">
      <c r="A456" s="3" t="s">
        <v>98</v>
      </c>
      <c r="B456" s="1"/>
      <c r="C456" s="20"/>
      <c r="D456" s="1"/>
      <c r="E456" s="1"/>
      <c r="F456" s="20">
        <f t="shared" si="62"/>
        <v>0</v>
      </c>
      <c r="G456" s="20"/>
      <c r="H456" s="20"/>
      <c r="I456" s="20"/>
      <c r="J456" s="20"/>
      <c r="K456" s="20"/>
    </row>
    <row r="457" spans="1:11" ht="15.5" x14ac:dyDescent="0.35">
      <c r="A457" s="3" t="s">
        <v>99</v>
      </c>
      <c r="B457" s="1"/>
      <c r="C457" s="20"/>
      <c r="D457" s="1"/>
      <c r="E457" s="1"/>
      <c r="F457" s="20">
        <f t="shared" si="62"/>
        <v>0</v>
      </c>
      <c r="G457" s="20"/>
      <c r="H457" s="20"/>
      <c r="I457" s="20"/>
      <c r="J457" s="20"/>
      <c r="K457" s="20"/>
    </row>
    <row r="458" spans="1:11" ht="15.5" x14ac:dyDescent="0.35">
      <c r="A458" s="18"/>
    </row>
    <row r="460" spans="1:11" ht="15.5" x14ac:dyDescent="0.35">
      <c r="A460" s="24" t="s">
        <v>108</v>
      </c>
      <c r="J460" s="21"/>
    </row>
    <row r="461" spans="1:11" ht="15.5" x14ac:dyDescent="0.35">
      <c r="A461" s="18" t="s">
        <v>114</v>
      </c>
      <c r="B461" s="67">
        <v>60000</v>
      </c>
      <c r="J461" s="21"/>
    </row>
    <row r="462" spans="1:11" ht="15.5" x14ac:dyDescent="0.35">
      <c r="A462" s="18" t="s">
        <v>112</v>
      </c>
      <c r="B462" s="67">
        <v>60000</v>
      </c>
      <c r="J462" s="21"/>
    </row>
    <row r="463" spans="1:11" ht="15.5" x14ac:dyDescent="0.35">
      <c r="A463" s="18" t="s">
        <v>110</v>
      </c>
      <c r="B463" s="67">
        <v>60000</v>
      </c>
    </row>
    <row r="464" spans="1:11" ht="15.5" x14ac:dyDescent="0.35">
      <c r="A464" s="18" t="s">
        <v>111</v>
      </c>
      <c r="B464" s="67">
        <v>90000</v>
      </c>
      <c r="C464" t="s">
        <v>235</v>
      </c>
    </row>
    <row r="465" spans="1:11" ht="15.5" x14ac:dyDescent="0.35">
      <c r="A465" s="24" t="s">
        <v>4</v>
      </c>
      <c r="B465" s="75">
        <f>SUM(B461:B464)</f>
        <v>270000</v>
      </c>
    </row>
    <row r="468" spans="1:11" ht="18.5" x14ac:dyDescent="0.45">
      <c r="A468" s="149">
        <v>46041</v>
      </c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</row>
    <row r="470" spans="1:11" ht="18.5" x14ac:dyDescent="0.45">
      <c r="A470" s="2" t="s">
        <v>75</v>
      </c>
      <c r="B470" s="2" t="s">
        <v>3</v>
      </c>
      <c r="C470" s="2" t="s">
        <v>100</v>
      </c>
      <c r="D470" s="2" t="s">
        <v>90</v>
      </c>
      <c r="E470" s="2" t="s">
        <v>91</v>
      </c>
      <c r="F470" s="2" t="s">
        <v>4</v>
      </c>
      <c r="G470" s="2" t="s">
        <v>101</v>
      </c>
      <c r="H470" s="2" t="s">
        <v>104</v>
      </c>
      <c r="I470" s="2"/>
      <c r="J470" s="2" t="s">
        <v>105</v>
      </c>
      <c r="K470" s="2" t="s">
        <v>106</v>
      </c>
    </row>
    <row r="471" spans="1:11" ht="15.5" x14ac:dyDescent="0.35">
      <c r="A471" s="3" t="s">
        <v>76</v>
      </c>
      <c r="B471" s="1">
        <v>117</v>
      </c>
      <c r="C471" s="20">
        <v>17500</v>
      </c>
      <c r="D471" s="1">
        <v>56</v>
      </c>
      <c r="E471" s="1">
        <v>61</v>
      </c>
      <c r="F471" s="20">
        <f>C471*B471</f>
        <v>2047500</v>
      </c>
      <c r="G471" s="20">
        <f>D471*C471</f>
        <v>980000</v>
      </c>
      <c r="H471" s="20">
        <f>E471*C471</f>
        <v>1067500</v>
      </c>
      <c r="I471" s="20" t="b">
        <f>E471+D471=B471</f>
        <v>1</v>
      </c>
      <c r="J471" s="20">
        <f>B508</f>
        <v>689000</v>
      </c>
      <c r="K471" s="20" t="s">
        <v>117</v>
      </c>
    </row>
    <row r="472" spans="1:11" ht="15.5" x14ac:dyDescent="0.35">
      <c r="A472" s="3" t="s">
        <v>77</v>
      </c>
      <c r="B472" s="1">
        <v>7</v>
      </c>
      <c r="C472" s="20">
        <v>16000</v>
      </c>
      <c r="D472" s="1">
        <v>1</v>
      </c>
      <c r="E472" s="1">
        <v>6</v>
      </c>
      <c r="F472" s="20">
        <f t="shared" ref="F472:F483" si="63">C472*B472</f>
        <v>112000</v>
      </c>
      <c r="G472" s="20">
        <f t="shared" ref="G472:G483" si="64">D472*C472</f>
        <v>16000</v>
      </c>
      <c r="H472" s="20">
        <f t="shared" ref="H472:H487" si="65">E472*C472</f>
        <v>96000</v>
      </c>
      <c r="I472" s="20" t="b">
        <f t="shared" ref="I472:I487" si="66">E472+D472=B472</f>
        <v>1</v>
      </c>
      <c r="J472" s="20">
        <v>10000</v>
      </c>
      <c r="K472" s="20" t="s">
        <v>191</v>
      </c>
    </row>
    <row r="473" spans="1:11" ht="15.5" x14ac:dyDescent="0.35">
      <c r="A473" s="3" t="s">
        <v>78</v>
      </c>
      <c r="B473" s="1">
        <v>62</v>
      </c>
      <c r="C473" s="20">
        <v>17500</v>
      </c>
      <c r="D473" s="1">
        <v>29</v>
      </c>
      <c r="E473" s="1">
        <v>33</v>
      </c>
      <c r="F473" s="20">
        <f t="shared" si="63"/>
        <v>1085000</v>
      </c>
      <c r="G473" s="20">
        <f t="shared" si="64"/>
        <v>507500</v>
      </c>
      <c r="H473" s="20">
        <f t="shared" si="65"/>
        <v>577500</v>
      </c>
      <c r="I473" s="20" t="b">
        <f t="shared" si="66"/>
        <v>1</v>
      </c>
      <c r="J473" s="20">
        <v>30000</v>
      </c>
      <c r="K473" s="20" t="s">
        <v>246</v>
      </c>
    </row>
    <row r="474" spans="1:11" ht="15.5" x14ac:dyDescent="0.35">
      <c r="A474" s="3" t="s">
        <v>79</v>
      </c>
      <c r="B474" s="1">
        <v>26</v>
      </c>
      <c r="C474" s="20">
        <v>18500</v>
      </c>
      <c r="D474" s="1">
        <v>12</v>
      </c>
      <c r="E474" s="1">
        <v>14</v>
      </c>
      <c r="F474" s="20">
        <f t="shared" si="63"/>
        <v>481000</v>
      </c>
      <c r="G474" s="20">
        <f t="shared" si="64"/>
        <v>222000</v>
      </c>
      <c r="H474" s="20">
        <f t="shared" si="65"/>
        <v>259000</v>
      </c>
      <c r="I474" s="20" t="b">
        <f t="shared" si="66"/>
        <v>1</v>
      </c>
      <c r="J474" s="20">
        <v>74500</v>
      </c>
      <c r="K474" s="20" t="s">
        <v>11</v>
      </c>
    </row>
    <row r="475" spans="1:11" ht="15.5" x14ac:dyDescent="0.35">
      <c r="A475" s="3" t="s">
        <v>80</v>
      </c>
      <c r="B475" s="1"/>
      <c r="C475" s="20">
        <v>18500</v>
      </c>
      <c r="D475" s="1"/>
      <c r="E475" s="1"/>
      <c r="F475" s="20">
        <f t="shared" si="63"/>
        <v>0</v>
      </c>
      <c r="G475" s="20">
        <f t="shared" si="64"/>
        <v>0</v>
      </c>
      <c r="H475" s="20">
        <f t="shared" si="65"/>
        <v>0</v>
      </c>
      <c r="I475" s="20" t="b">
        <f t="shared" si="66"/>
        <v>1</v>
      </c>
      <c r="J475" s="20"/>
      <c r="K475" s="20"/>
    </row>
    <row r="476" spans="1:11" ht="15.5" x14ac:dyDescent="0.35">
      <c r="A476" s="3" t="s">
        <v>81</v>
      </c>
      <c r="B476" s="1"/>
      <c r="C476" s="20">
        <v>23000</v>
      </c>
      <c r="D476" s="1"/>
      <c r="E476" s="1"/>
      <c r="F476" s="20">
        <f t="shared" si="63"/>
        <v>0</v>
      </c>
      <c r="G476" s="20">
        <f t="shared" si="64"/>
        <v>0</v>
      </c>
      <c r="H476" s="20">
        <f t="shared" si="65"/>
        <v>0</v>
      </c>
      <c r="I476" s="20" t="b">
        <f t="shared" si="66"/>
        <v>1</v>
      </c>
      <c r="J476" s="20"/>
      <c r="K476" s="20"/>
    </row>
    <row r="477" spans="1:11" ht="15.5" x14ac:dyDescent="0.35">
      <c r="A477" s="3" t="s">
        <v>82</v>
      </c>
      <c r="B477" s="1">
        <v>33</v>
      </c>
      <c r="C477" s="20">
        <v>18000</v>
      </c>
      <c r="D477" s="1">
        <v>22</v>
      </c>
      <c r="E477" s="1">
        <v>11</v>
      </c>
      <c r="F477" s="20">
        <f t="shared" si="63"/>
        <v>594000</v>
      </c>
      <c r="G477" s="20">
        <f t="shared" si="64"/>
        <v>396000</v>
      </c>
      <c r="H477" s="20">
        <f t="shared" si="65"/>
        <v>198000</v>
      </c>
      <c r="I477" s="20" t="b">
        <f t="shared" si="66"/>
        <v>1</v>
      </c>
      <c r="J477" s="20"/>
      <c r="K477" s="20"/>
    </row>
    <row r="478" spans="1:11" ht="15.5" x14ac:dyDescent="0.35">
      <c r="A478" s="3" t="s">
        <v>83</v>
      </c>
      <c r="B478" s="1"/>
      <c r="C478" s="20">
        <v>18000</v>
      </c>
      <c r="D478" s="11"/>
      <c r="E478" s="1"/>
      <c r="F478" s="20">
        <f t="shared" si="63"/>
        <v>0</v>
      </c>
      <c r="G478" s="20">
        <f t="shared" si="64"/>
        <v>0</v>
      </c>
      <c r="H478" s="20">
        <f t="shared" si="65"/>
        <v>0</v>
      </c>
      <c r="I478" s="20" t="b">
        <f t="shared" si="66"/>
        <v>1</v>
      </c>
      <c r="J478" s="20"/>
      <c r="K478" s="20"/>
    </row>
    <row r="479" spans="1:11" ht="15.5" x14ac:dyDescent="0.35">
      <c r="A479" s="3" t="s">
        <v>84</v>
      </c>
      <c r="B479" s="1"/>
      <c r="C479" s="20">
        <v>18500</v>
      </c>
      <c r="D479" s="1"/>
      <c r="E479" s="1"/>
      <c r="F479" s="20">
        <f t="shared" si="63"/>
        <v>0</v>
      </c>
      <c r="G479" s="20">
        <f t="shared" si="64"/>
        <v>0</v>
      </c>
      <c r="H479" s="20">
        <f t="shared" si="65"/>
        <v>0</v>
      </c>
      <c r="I479" s="20" t="b">
        <f t="shared" si="66"/>
        <v>1</v>
      </c>
      <c r="J479" s="20"/>
      <c r="K479" s="20"/>
    </row>
    <row r="480" spans="1:11" ht="15.5" x14ac:dyDescent="0.35">
      <c r="A480" s="3" t="s">
        <v>85</v>
      </c>
      <c r="B480" s="1"/>
      <c r="C480" s="20">
        <v>18500</v>
      </c>
      <c r="D480" s="1"/>
      <c r="E480" s="1"/>
      <c r="F480" s="20">
        <f t="shared" si="63"/>
        <v>0</v>
      </c>
      <c r="G480" s="20">
        <f t="shared" si="64"/>
        <v>0</v>
      </c>
      <c r="H480" s="20">
        <f t="shared" si="65"/>
        <v>0</v>
      </c>
      <c r="I480" s="20" t="b">
        <f t="shared" si="66"/>
        <v>1</v>
      </c>
      <c r="J480" s="20"/>
      <c r="K480" s="20"/>
    </row>
    <row r="481" spans="1:11" ht="15.5" x14ac:dyDescent="0.35">
      <c r="A481" s="3" t="s">
        <v>86</v>
      </c>
      <c r="B481" s="1">
        <v>2</v>
      </c>
      <c r="C481" s="20">
        <v>18500</v>
      </c>
      <c r="D481" s="1">
        <v>2</v>
      </c>
      <c r="E481" s="1"/>
      <c r="F481" s="20">
        <f t="shared" si="63"/>
        <v>37000</v>
      </c>
      <c r="G481" s="20">
        <f t="shared" si="64"/>
        <v>37000</v>
      </c>
      <c r="H481" s="20">
        <f t="shared" si="65"/>
        <v>0</v>
      </c>
      <c r="I481" s="20" t="b">
        <f t="shared" si="66"/>
        <v>1</v>
      </c>
      <c r="J481" s="20"/>
      <c r="K481" s="20"/>
    </row>
    <row r="482" spans="1:11" ht="15.5" x14ac:dyDescent="0.35">
      <c r="A482" s="3" t="s">
        <v>87</v>
      </c>
      <c r="B482" s="1"/>
      <c r="C482" s="20">
        <v>18500</v>
      </c>
      <c r="D482" s="1"/>
      <c r="E482" s="1"/>
      <c r="F482" s="20">
        <f t="shared" si="63"/>
        <v>0</v>
      </c>
      <c r="G482" s="20">
        <f t="shared" si="64"/>
        <v>0</v>
      </c>
      <c r="H482" s="20">
        <f t="shared" si="65"/>
        <v>0</v>
      </c>
      <c r="I482" s="20" t="b">
        <f t="shared" si="66"/>
        <v>1</v>
      </c>
      <c r="J482" s="20"/>
      <c r="K482" s="20"/>
    </row>
    <row r="483" spans="1:11" ht="15.5" x14ac:dyDescent="0.35">
      <c r="A483" s="3" t="s">
        <v>88</v>
      </c>
      <c r="B483" s="1">
        <v>8</v>
      </c>
      <c r="C483" s="20">
        <v>18500</v>
      </c>
      <c r="D483" s="1">
        <v>3</v>
      </c>
      <c r="E483" s="1">
        <v>5</v>
      </c>
      <c r="F483" s="20">
        <f t="shared" si="63"/>
        <v>148000</v>
      </c>
      <c r="G483" s="20">
        <f t="shared" si="64"/>
        <v>55500</v>
      </c>
      <c r="H483" s="20">
        <f t="shared" si="65"/>
        <v>92500</v>
      </c>
      <c r="I483" s="20" t="b">
        <f t="shared" si="66"/>
        <v>1</v>
      </c>
      <c r="J483" s="20"/>
      <c r="K483" s="20"/>
    </row>
    <row r="484" spans="1:11" ht="15.5" x14ac:dyDescent="0.35">
      <c r="A484" s="19" t="s">
        <v>89</v>
      </c>
      <c r="B484" s="1"/>
      <c r="C484" s="20"/>
      <c r="D484" s="1"/>
      <c r="E484" s="1"/>
      <c r="F484" s="20"/>
      <c r="G484" s="20"/>
      <c r="H484" s="20"/>
      <c r="I484" s="20"/>
      <c r="J484" s="20"/>
      <c r="K484" s="20"/>
    </row>
    <row r="485" spans="1:11" ht="15.5" x14ac:dyDescent="0.35">
      <c r="A485" s="3" t="s">
        <v>92</v>
      </c>
      <c r="B485" s="1">
        <v>50</v>
      </c>
      <c r="C485" s="20">
        <v>21500</v>
      </c>
      <c r="D485" s="1">
        <v>17</v>
      </c>
      <c r="E485" s="1">
        <v>33</v>
      </c>
      <c r="F485" s="20">
        <f t="shared" ref="F485:F487" si="67">C485*B485</f>
        <v>1075000</v>
      </c>
      <c r="G485" s="20">
        <f t="shared" ref="G485:G487" si="68">D485*C485</f>
        <v>365500</v>
      </c>
      <c r="H485" s="20">
        <f t="shared" si="65"/>
        <v>709500</v>
      </c>
      <c r="I485" s="20" t="b">
        <f t="shared" si="66"/>
        <v>1</v>
      </c>
      <c r="J485" s="20"/>
      <c r="K485" s="20"/>
    </row>
    <row r="486" spans="1:11" ht="15.5" x14ac:dyDescent="0.35">
      <c r="A486" s="3" t="s">
        <v>93</v>
      </c>
      <c r="B486" s="1"/>
      <c r="C486" s="20">
        <v>21500</v>
      </c>
      <c r="D486" s="1"/>
      <c r="E486" s="1"/>
      <c r="F486" s="20">
        <f t="shared" si="67"/>
        <v>0</v>
      </c>
      <c r="G486" s="20">
        <f t="shared" si="68"/>
        <v>0</v>
      </c>
      <c r="H486" s="20">
        <f t="shared" si="65"/>
        <v>0</v>
      </c>
      <c r="I486" s="20" t="b">
        <f t="shared" si="66"/>
        <v>1</v>
      </c>
      <c r="J486" s="20"/>
      <c r="K486" s="20"/>
    </row>
    <row r="487" spans="1:11" ht="15.5" x14ac:dyDescent="0.35">
      <c r="A487" s="3" t="s">
        <v>94</v>
      </c>
      <c r="B487" s="1">
        <v>23</v>
      </c>
      <c r="C487" s="20">
        <v>21500</v>
      </c>
      <c r="D487" s="1">
        <v>12</v>
      </c>
      <c r="E487" s="1">
        <v>11</v>
      </c>
      <c r="F487" s="20">
        <f t="shared" si="67"/>
        <v>494500</v>
      </c>
      <c r="G487" s="20">
        <f t="shared" si="68"/>
        <v>258000</v>
      </c>
      <c r="H487" s="20">
        <f t="shared" si="65"/>
        <v>236500</v>
      </c>
      <c r="I487" s="20" t="b">
        <f t="shared" si="66"/>
        <v>1</v>
      </c>
      <c r="J487" s="20"/>
      <c r="K487" s="20"/>
    </row>
    <row r="488" spans="1:11" ht="15.5" x14ac:dyDescent="0.35">
      <c r="A488" s="19"/>
      <c r="B488" s="22">
        <f>SUM(B471:B487)</f>
        <v>328</v>
      </c>
      <c r="C488" s="20"/>
      <c r="D488" s="1"/>
      <c r="E488" s="1"/>
      <c r="F488" s="23">
        <f>SUM(F471:F487)</f>
        <v>6074000</v>
      </c>
      <c r="G488" s="23">
        <f>SUM(G471:G487)</f>
        <v>2837500</v>
      </c>
      <c r="H488" s="23">
        <f>SUM(H471:H487)</f>
        <v>3236500</v>
      </c>
      <c r="I488" s="20"/>
      <c r="J488" s="23">
        <f>SUM(J471:J487)</f>
        <v>803500</v>
      </c>
      <c r="K488" s="23">
        <f>H488-J488</f>
        <v>2433000</v>
      </c>
    </row>
    <row r="489" spans="1:11" ht="15.5" x14ac:dyDescent="0.35">
      <c r="A489" s="19" t="s">
        <v>95</v>
      </c>
      <c r="B489" s="1"/>
      <c r="C489" s="20"/>
      <c r="D489" s="1"/>
      <c r="E489" s="1"/>
      <c r="F489" s="20"/>
      <c r="G489" s="20"/>
      <c r="H489" s="20"/>
      <c r="I489" s="20"/>
      <c r="J489" s="20"/>
      <c r="K489" s="20"/>
    </row>
    <row r="490" spans="1:11" ht="15.5" x14ac:dyDescent="0.35">
      <c r="A490" s="3" t="s">
        <v>96</v>
      </c>
      <c r="B490" s="1"/>
      <c r="C490" s="20">
        <v>3000</v>
      </c>
      <c r="D490" s="1"/>
      <c r="E490" s="1"/>
      <c r="F490" s="20">
        <f t="shared" ref="F490:F493" si="69">C490*B490</f>
        <v>0</v>
      </c>
      <c r="G490" s="20"/>
      <c r="H490" s="20"/>
      <c r="I490" s="20"/>
      <c r="J490" s="20"/>
      <c r="K490" s="20"/>
    </row>
    <row r="491" spans="1:11" ht="15.5" x14ac:dyDescent="0.35">
      <c r="A491" s="3" t="s">
        <v>97</v>
      </c>
      <c r="B491" s="1"/>
      <c r="C491" s="20">
        <v>2500</v>
      </c>
      <c r="D491" s="1"/>
      <c r="E491" s="1"/>
      <c r="F491" s="20">
        <f t="shared" si="69"/>
        <v>0</v>
      </c>
      <c r="G491" s="20"/>
      <c r="H491" s="20"/>
      <c r="I491" s="20"/>
      <c r="J491" s="20"/>
      <c r="K491" s="20"/>
    </row>
    <row r="492" spans="1:11" ht="15.5" x14ac:dyDescent="0.35">
      <c r="A492" s="3" t="s">
        <v>98</v>
      </c>
      <c r="B492" s="1"/>
      <c r="C492" s="20">
        <v>1800</v>
      </c>
      <c r="D492" s="1"/>
      <c r="E492" s="1"/>
      <c r="F492" s="20">
        <f t="shared" si="69"/>
        <v>0</v>
      </c>
      <c r="G492" s="20"/>
      <c r="H492" s="20"/>
      <c r="I492" s="20"/>
      <c r="J492" s="20"/>
      <c r="K492" s="20"/>
    </row>
    <row r="493" spans="1:11" ht="15.5" x14ac:dyDescent="0.35">
      <c r="A493" s="3" t="s">
        <v>99</v>
      </c>
      <c r="B493" s="1"/>
      <c r="C493" s="20">
        <v>3500</v>
      </c>
      <c r="D493" s="1"/>
      <c r="E493" s="1"/>
      <c r="F493" s="20">
        <f t="shared" si="69"/>
        <v>0</v>
      </c>
      <c r="G493" s="20"/>
      <c r="H493" s="20"/>
      <c r="I493" s="20"/>
      <c r="J493" s="20"/>
      <c r="K493" s="20"/>
    </row>
    <row r="494" spans="1:11" ht="15.5" x14ac:dyDescent="0.35">
      <c r="A494" s="18"/>
    </row>
    <row r="496" spans="1:11" ht="15.5" x14ac:dyDescent="0.35">
      <c r="A496" s="24" t="s">
        <v>108</v>
      </c>
      <c r="J496" s="21"/>
    </row>
    <row r="497" spans="1:11" ht="15.5" x14ac:dyDescent="0.35">
      <c r="A497" s="18" t="s">
        <v>114</v>
      </c>
      <c r="B497" s="67">
        <v>45000</v>
      </c>
      <c r="J497" s="21"/>
    </row>
    <row r="498" spans="1:11" ht="15.5" x14ac:dyDescent="0.35">
      <c r="A498" s="18" t="s">
        <v>154</v>
      </c>
      <c r="B498" s="67">
        <v>60000</v>
      </c>
      <c r="J498" s="21"/>
    </row>
    <row r="499" spans="1:11" ht="15.5" x14ac:dyDescent="0.35">
      <c r="A499" s="18" t="s">
        <v>112</v>
      </c>
      <c r="B499" s="67">
        <v>60000</v>
      </c>
      <c r="J499" s="21"/>
    </row>
    <row r="500" spans="1:11" ht="15.5" x14ac:dyDescent="0.35">
      <c r="A500" s="18" t="s">
        <v>110</v>
      </c>
      <c r="B500" s="67">
        <v>45000</v>
      </c>
    </row>
    <row r="501" spans="1:11" ht="15.5" x14ac:dyDescent="0.35">
      <c r="A501" s="18" t="s">
        <v>111</v>
      </c>
      <c r="B501" s="67">
        <v>45000</v>
      </c>
    </row>
    <row r="502" spans="1:11" ht="15.5" x14ac:dyDescent="0.35">
      <c r="A502" s="18" t="s">
        <v>196</v>
      </c>
      <c r="B502" s="67">
        <v>45000</v>
      </c>
    </row>
    <row r="503" spans="1:11" ht="15.5" x14ac:dyDescent="0.35">
      <c r="A503" s="18" t="s">
        <v>113</v>
      </c>
      <c r="B503" s="67">
        <v>45000</v>
      </c>
    </row>
    <row r="504" spans="1:11" ht="15.5" x14ac:dyDescent="0.35">
      <c r="A504" s="18" t="s">
        <v>209</v>
      </c>
      <c r="B504" s="67">
        <v>92500</v>
      </c>
      <c r="C504" t="s">
        <v>245</v>
      </c>
    </row>
    <row r="505" spans="1:11" ht="15.5" x14ac:dyDescent="0.35">
      <c r="A505" s="18" t="s">
        <v>115</v>
      </c>
      <c r="B505" s="67">
        <v>79500</v>
      </c>
      <c r="C505" t="s">
        <v>245</v>
      </c>
    </row>
    <row r="506" spans="1:11" ht="15.5" x14ac:dyDescent="0.35">
      <c r="A506" s="18" t="s">
        <v>122</v>
      </c>
      <c r="B506" s="67">
        <v>79500</v>
      </c>
      <c r="C506" t="s">
        <v>245</v>
      </c>
    </row>
    <row r="507" spans="1:11" ht="15.5" x14ac:dyDescent="0.35">
      <c r="A507" s="18" t="s">
        <v>109</v>
      </c>
      <c r="B507" s="67">
        <v>92500</v>
      </c>
      <c r="C507" t="s">
        <v>245</v>
      </c>
    </row>
    <row r="508" spans="1:11" ht="15.5" x14ac:dyDescent="0.35">
      <c r="A508" s="24" t="s">
        <v>4</v>
      </c>
      <c r="B508" s="75">
        <f>SUM(B497:B507)</f>
        <v>689000</v>
      </c>
    </row>
    <row r="511" spans="1:11" ht="18.5" x14ac:dyDescent="0.45">
      <c r="A511" s="149">
        <v>46042</v>
      </c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</row>
    <row r="513" spans="1:11" ht="18.5" x14ac:dyDescent="0.45">
      <c r="A513" s="2" t="s">
        <v>75</v>
      </c>
      <c r="B513" s="2" t="s">
        <v>3</v>
      </c>
      <c r="C513" s="2" t="s">
        <v>100</v>
      </c>
      <c r="D513" s="2" t="s">
        <v>90</v>
      </c>
      <c r="E513" s="2" t="s">
        <v>91</v>
      </c>
      <c r="F513" s="2" t="s">
        <v>4</v>
      </c>
      <c r="G513" s="2" t="s">
        <v>101</v>
      </c>
      <c r="H513" s="2" t="s">
        <v>104</v>
      </c>
      <c r="I513" s="2"/>
      <c r="J513" s="2" t="s">
        <v>105</v>
      </c>
      <c r="K513" s="2" t="s">
        <v>106</v>
      </c>
    </row>
    <row r="514" spans="1:11" ht="15.5" x14ac:dyDescent="0.35">
      <c r="A514" s="3" t="s">
        <v>76</v>
      </c>
      <c r="B514" s="1">
        <v>124</v>
      </c>
      <c r="C514" s="20">
        <v>17500</v>
      </c>
      <c r="D514" s="1">
        <v>81</v>
      </c>
      <c r="E514" s="1">
        <v>43</v>
      </c>
      <c r="F514" s="20">
        <f>C514*B514</f>
        <v>2170000</v>
      </c>
      <c r="G514" s="20">
        <f>D514*C514</f>
        <v>1417500</v>
      </c>
      <c r="H514" s="20">
        <f>E514*C514</f>
        <v>752500</v>
      </c>
      <c r="I514" s="20" t="b">
        <f>E514+D514=B514</f>
        <v>1</v>
      </c>
      <c r="J514" s="20">
        <f>B551</f>
        <v>555000</v>
      </c>
      <c r="K514" s="20" t="s">
        <v>117</v>
      </c>
    </row>
    <row r="515" spans="1:11" ht="15.5" x14ac:dyDescent="0.35">
      <c r="A515" s="3" t="s">
        <v>77</v>
      </c>
      <c r="B515" s="1">
        <v>10</v>
      </c>
      <c r="C515" s="20">
        <v>16000</v>
      </c>
      <c r="D515" s="1">
        <v>1</v>
      </c>
      <c r="E515" s="1">
        <v>9</v>
      </c>
      <c r="F515" s="20">
        <f t="shared" ref="F515:F526" si="70">C515*B515</f>
        <v>160000</v>
      </c>
      <c r="G515" s="20">
        <f t="shared" ref="G515:G526" si="71">D515*C515</f>
        <v>16000</v>
      </c>
      <c r="H515" s="20">
        <f t="shared" ref="H515:H530" si="72">E515*C515</f>
        <v>144000</v>
      </c>
      <c r="I515" s="20" t="b">
        <f t="shared" ref="I515:I536" si="73">E515+D515=B515</f>
        <v>1</v>
      </c>
      <c r="J515" s="20">
        <v>10000</v>
      </c>
      <c r="K515" s="20" t="s">
        <v>191</v>
      </c>
    </row>
    <row r="516" spans="1:11" ht="15.5" x14ac:dyDescent="0.35">
      <c r="A516" s="3" t="s">
        <v>78</v>
      </c>
      <c r="B516" s="1">
        <v>65</v>
      </c>
      <c r="C516" s="20">
        <v>17500</v>
      </c>
      <c r="D516" s="1">
        <v>25</v>
      </c>
      <c r="E516" s="1">
        <v>40</v>
      </c>
      <c r="F516" s="20">
        <f t="shared" si="70"/>
        <v>1137500</v>
      </c>
      <c r="G516" s="20">
        <f t="shared" si="71"/>
        <v>437500</v>
      </c>
      <c r="H516" s="20">
        <f t="shared" si="72"/>
        <v>700000</v>
      </c>
      <c r="I516" s="20" t="b">
        <f t="shared" si="73"/>
        <v>1</v>
      </c>
      <c r="J516" s="20">
        <v>400000</v>
      </c>
      <c r="K516" s="20" t="s">
        <v>107</v>
      </c>
    </row>
    <row r="517" spans="1:11" ht="15.5" x14ac:dyDescent="0.35">
      <c r="A517" s="3" t="s">
        <v>79</v>
      </c>
      <c r="B517" s="1">
        <v>28</v>
      </c>
      <c r="C517" s="20">
        <v>18500</v>
      </c>
      <c r="D517" s="1">
        <v>9</v>
      </c>
      <c r="E517" s="1">
        <v>19</v>
      </c>
      <c r="F517" s="20">
        <f t="shared" si="70"/>
        <v>518000</v>
      </c>
      <c r="G517" s="20">
        <f t="shared" si="71"/>
        <v>166500</v>
      </c>
      <c r="H517" s="20">
        <f t="shared" si="72"/>
        <v>351500</v>
      </c>
      <c r="I517" s="20" t="b">
        <f t="shared" si="73"/>
        <v>1</v>
      </c>
      <c r="J517" s="20">
        <v>40222</v>
      </c>
      <c r="K517" s="20" t="s">
        <v>247</v>
      </c>
    </row>
    <row r="518" spans="1:11" ht="15.5" x14ac:dyDescent="0.35">
      <c r="A518" s="3" t="s">
        <v>80</v>
      </c>
      <c r="B518" s="1"/>
      <c r="C518" s="20">
        <v>18500</v>
      </c>
      <c r="D518" s="1"/>
      <c r="E518" s="1"/>
      <c r="F518" s="20">
        <f t="shared" si="70"/>
        <v>0</v>
      </c>
      <c r="G518" s="20">
        <f t="shared" si="71"/>
        <v>0</v>
      </c>
      <c r="H518" s="20">
        <f t="shared" si="72"/>
        <v>0</v>
      </c>
      <c r="I518" s="20" t="b">
        <f t="shared" si="73"/>
        <v>1</v>
      </c>
      <c r="J518" s="20"/>
      <c r="K518" s="20"/>
    </row>
    <row r="519" spans="1:11" ht="15.5" x14ac:dyDescent="0.35">
      <c r="A519" s="3" t="s">
        <v>81</v>
      </c>
      <c r="B519" s="1"/>
      <c r="C519" s="20">
        <v>23000</v>
      </c>
      <c r="D519" s="1"/>
      <c r="E519" s="1"/>
      <c r="F519" s="20">
        <f t="shared" si="70"/>
        <v>0</v>
      </c>
      <c r="G519" s="20">
        <f t="shared" si="71"/>
        <v>0</v>
      </c>
      <c r="H519" s="20">
        <f t="shared" si="72"/>
        <v>0</v>
      </c>
      <c r="I519" s="20" t="b">
        <f t="shared" si="73"/>
        <v>1</v>
      </c>
      <c r="J519" s="20"/>
      <c r="K519" s="20"/>
    </row>
    <row r="520" spans="1:11" ht="15.5" x14ac:dyDescent="0.35">
      <c r="A520" s="3" t="s">
        <v>82</v>
      </c>
      <c r="B520" s="1"/>
      <c r="C520" s="20">
        <v>18000</v>
      </c>
      <c r="D520" s="1"/>
      <c r="E520" s="1"/>
      <c r="F520" s="20">
        <f t="shared" si="70"/>
        <v>0</v>
      </c>
      <c r="G520" s="20">
        <f t="shared" si="71"/>
        <v>0</v>
      </c>
      <c r="H520" s="20">
        <f t="shared" si="72"/>
        <v>0</v>
      </c>
      <c r="I520" s="20" t="b">
        <f t="shared" si="73"/>
        <v>1</v>
      </c>
      <c r="J520" s="20"/>
      <c r="K520" s="20"/>
    </row>
    <row r="521" spans="1:11" ht="15.5" x14ac:dyDescent="0.35">
      <c r="A521" s="3" t="s">
        <v>83</v>
      </c>
      <c r="B521" s="1"/>
      <c r="C521" s="20">
        <v>18000</v>
      </c>
      <c r="D521" s="11"/>
      <c r="E521" s="1"/>
      <c r="F521" s="20">
        <f t="shared" si="70"/>
        <v>0</v>
      </c>
      <c r="G521" s="20">
        <f t="shared" si="71"/>
        <v>0</v>
      </c>
      <c r="H521" s="20">
        <f t="shared" si="72"/>
        <v>0</v>
      </c>
      <c r="I521" s="20" t="b">
        <f t="shared" si="73"/>
        <v>1</v>
      </c>
      <c r="J521" s="20"/>
      <c r="K521" s="20"/>
    </row>
    <row r="522" spans="1:11" ht="15.5" x14ac:dyDescent="0.35">
      <c r="A522" s="3" t="s">
        <v>84</v>
      </c>
      <c r="B522" s="1"/>
      <c r="C522" s="20">
        <v>18500</v>
      </c>
      <c r="D522" s="1"/>
      <c r="E522" s="1"/>
      <c r="F522" s="20">
        <f t="shared" si="70"/>
        <v>0</v>
      </c>
      <c r="G522" s="20">
        <f t="shared" si="71"/>
        <v>0</v>
      </c>
      <c r="H522" s="20">
        <f t="shared" si="72"/>
        <v>0</v>
      </c>
      <c r="I522" s="20" t="b">
        <f t="shared" si="73"/>
        <v>1</v>
      </c>
      <c r="J522" s="20"/>
      <c r="K522" s="20"/>
    </row>
    <row r="523" spans="1:11" ht="15.5" x14ac:dyDescent="0.35">
      <c r="A523" s="3" t="s">
        <v>85</v>
      </c>
      <c r="B523" s="1">
        <v>50</v>
      </c>
      <c r="C523" s="20">
        <v>18500</v>
      </c>
      <c r="D523" s="1">
        <v>15</v>
      </c>
      <c r="E523" s="1">
        <v>35</v>
      </c>
      <c r="F523" s="20">
        <f t="shared" si="70"/>
        <v>925000</v>
      </c>
      <c r="G523" s="20">
        <f t="shared" si="71"/>
        <v>277500</v>
      </c>
      <c r="H523" s="20">
        <f t="shared" si="72"/>
        <v>647500</v>
      </c>
      <c r="I523" s="20" t="b">
        <f t="shared" si="73"/>
        <v>1</v>
      </c>
      <c r="J523" s="20"/>
      <c r="K523" s="20"/>
    </row>
    <row r="524" spans="1:11" ht="15.5" x14ac:dyDescent="0.35">
      <c r="A524" s="3" t="s">
        <v>86</v>
      </c>
      <c r="B524" s="1"/>
      <c r="C524" s="20">
        <v>18500</v>
      </c>
      <c r="D524" s="1"/>
      <c r="E524" s="1"/>
      <c r="F524" s="20">
        <f t="shared" si="70"/>
        <v>0</v>
      </c>
      <c r="G524" s="20">
        <f t="shared" si="71"/>
        <v>0</v>
      </c>
      <c r="H524" s="20">
        <f t="shared" si="72"/>
        <v>0</v>
      </c>
      <c r="I524" s="20" t="b">
        <f t="shared" si="73"/>
        <v>1</v>
      </c>
      <c r="J524" s="20"/>
      <c r="K524" s="20"/>
    </row>
    <row r="525" spans="1:11" ht="15.5" x14ac:dyDescent="0.35">
      <c r="A525" s="3" t="s">
        <v>87</v>
      </c>
      <c r="B525" s="1">
        <v>6</v>
      </c>
      <c r="C525" s="20">
        <v>18500</v>
      </c>
      <c r="D525" s="1">
        <v>2</v>
      </c>
      <c r="E525" s="1">
        <v>4</v>
      </c>
      <c r="F525" s="20">
        <f t="shared" si="70"/>
        <v>111000</v>
      </c>
      <c r="G525" s="20">
        <f t="shared" si="71"/>
        <v>37000</v>
      </c>
      <c r="H525" s="20">
        <f t="shared" si="72"/>
        <v>74000</v>
      </c>
      <c r="I525" s="20" t="b">
        <f t="shared" si="73"/>
        <v>1</v>
      </c>
      <c r="J525" s="20"/>
      <c r="K525" s="20"/>
    </row>
    <row r="526" spans="1:11" ht="15.5" x14ac:dyDescent="0.35">
      <c r="A526" s="3" t="s">
        <v>88</v>
      </c>
      <c r="B526" s="1">
        <v>9</v>
      </c>
      <c r="C526" s="20">
        <v>18500</v>
      </c>
      <c r="D526" s="1">
        <v>2</v>
      </c>
      <c r="E526" s="1">
        <v>7</v>
      </c>
      <c r="F526" s="20">
        <f t="shared" si="70"/>
        <v>166500</v>
      </c>
      <c r="G526" s="20">
        <f t="shared" si="71"/>
        <v>37000</v>
      </c>
      <c r="H526" s="20">
        <f t="shared" si="72"/>
        <v>129500</v>
      </c>
      <c r="I526" s="20" t="b">
        <f t="shared" si="73"/>
        <v>1</v>
      </c>
      <c r="J526" s="20"/>
      <c r="K526" s="20"/>
    </row>
    <row r="527" spans="1:11" ht="15.5" x14ac:dyDescent="0.35">
      <c r="A527" s="19" t="s">
        <v>89</v>
      </c>
      <c r="B527" s="1"/>
      <c r="C527" s="20"/>
      <c r="D527" s="1"/>
      <c r="E527" s="1"/>
      <c r="F527" s="20"/>
      <c r="G527" s="20"/>
      <c r="H527" s="20"/>
      <c r="I527" s="20"/>
      <c r="J527" s="20"/>
      <c r="K527" s="20"/>
    </row>
    <row r="528" spans="1:11" ht="15.5" x14ac:dyDescent="0.35">
      <c r="A528" s="3" t="s">
        <v>92</v>
      </c>
      <c r="B528" s="1"/>
      <c r="C528" s="20">
        <v>21500</v>
      </c>
      <c r="D528" s="1"/>
      <c r="E528" s="1"/>
      <c r="F528" s="20">
        <f t="shared" ref="F528:F530" si="74">C528*B528</f>
        <v>0</v>
      </c>
      <c r="G528" s="20">
        <f t="shared" ref="G528:G530" si="75">D528*C528</f>
        <v>0</v>
      </c>
      <c r="H528" s="20">
        <f t="shared" si="72"/>
        <v>0</v>
      </c>
      <c r="I528" s="20" t="b">
        <f t="shared" si="73"/>
        <v>1</v>
      </c>
      <c r="J528" s="20"/>
      <c r="K528" s="20"/>
    </row>
    <row r="529" spans="1:11" ht="15.5" x14ac:dyDescent="0.35">
      <c r="A529" s="3" t="s">
        <v>93</v>
      </c>
      <c r="B529" s="1">
        <v>42</v>
      </c>
      <c r="C529" s="20">
        <v>21500</v>
      </c>
      <c r="D529" s="1">
        <v>12</v>
      </c>
      <c r="E529" s="1">
        <v>30</v>
      </c>
      <c r="F529" s="20">
        <f t="shared" si="74"/>
        <v>903000</v>
      </c>
      <c r="G529" s="20">
        <f t="shared" si="75"/>
        <v>258000</v>
      </c>
      <c r="H529" s="20">
        <f t="shared" si="72"/>
        <v>645000</v>
      </c>
      <c r="I529" s="20" t="b">
        <f t="shared" si="73"/>
        <v>1</v>
      </c>
      <c r="J529" s="20"/>
      <c r="K529" s="20"/>
    </row>
    <row r="530" spans="1:11" ht="15.5" x14ac:dyDescent="0.35">
      <c r="A530" s="3" t="s">
        <v>94</v>
      </c>
      <c r="B530" s="1">
        <v>40</v>
      </c>
      <c r="C530" s="20">
        <v>21500</v>
      </c>
      <c r="D530" s="1">
        <v>15</v>
      </c>
      <c r="E530" s="1">
        <v>25</v>
      </c>
      <c r="F530" s="20">
        <f t="shared" si="74"/>
        <v>860000</v>
      </c>
      <c r="G530" s="20">
        <f t="shared" si="75"/>
        <v>322500</v>
      </c>
      <c r="H530" s="20">
        <f t="shared" si="72"/>
        <v>537500</v>
      </c>
      <c r="I530" s="20" t="b">
        <f t="shared" si="73"/>
        <v>1</v>
      </c>
      <c r="J530" s="20"/>
      <c r="K530" s="20"/>
    </row>
    <row r="531" spans="1:11" ht="15.5" x14ac:dyDescent="0.35">
      <c r="A531" s="19"/>
      <c r="B531" s="22">
        <f>SUM(B514:B530)</f>
        <v>374</v>
      </c>
      <c r="C531" s="20"/>
      <c r="D531" s="1"/>
      <c r="E531" s="1"/>
      <c r="F531" s="23">
        <f>SUM(F514:F530)</f>
        <v>6951000</v>
      </c>
      <c r="G531" s="23">
        <f>SUM(G514:G530)</f>
        <v>2969500</v>
      </c>
      <c r="H531" s="23">
        <f>SUM(H514:H530)</f>
        <v>3981500</v>
      </c>
      <c r="I531" s="20"/>
      <c r="J531" s="23">
        <f>SUM(J514:J530)</f>
        <v>1005222</v>
      </c>
      <c r="K531" s="23">
        <f>H531-J531</f>
        <v>2976278</v>
      </c>
    </row>
    <row r="532" spans="1:11" ht="15.5" x14ac:dyDescent="0.35">
      <c r="A532" s="19" t="s">
        <v>95</v>
      </c>
      <c r="B532" s="1"/>
      <c r="C532" s="20"/>
      <c r="D532" s="1"/>
      <c r="E532" s="1"/>
      <c r="F532" s="20"/>
      <c r="G532" s="20"/>
      <c r="H532" s="20"/>
      <c r="I532" s="20" t="b">
        <f t="shared" si="73"/>
        <v>1</v>
      </c>
      <c r="J532" s="20"/>
      <c r="K532" s="20"/>
    </row>
    <row r="533" spans="1:11" ht="15.5" x14ac:dyDescent="0.35">
      <c r="A533" s="3" t="s">
        <v>96</v>
      </c>
      <c r="B533" s="1"/>
      <c r="C533" s="20">
        <v>3000</v>
      </c>
      <c r="D533" s="1"/>
      <c r="E533" s="1"/>
      <c r="F533" s="20">
        <f t="shared" ref="F533:F536" si="76">C533*B533</f>
        <v>0</v>
      </c>
      <c r="G533" s="20"/>
      <c r="H533" s="20"/>
      <c r="I533" s="20" t="b">
        <f t="shared" si="73"/>
        <v>1</v>
      </c>
      <c r="J533" s="20"/>
      <c r="K533" s="20"/>
    </row>
    <row r="534" spans="1:11" ht="15.5" x14ac:dyDescent="0.35">
      <c r="A534" s="3" t="s">
        <v>97</v>
      </c>
      <c r="B534" s="1"/>
      <c r="C534" s="20">
        <v>2500</v>
      </c>
      <c r="D534" s="1"/>
      <c r="E534" s="1"/>
      <c r="F534" s="20">
        <f t="shared" si="76"/>
        <v>0</v>
      </c>
      <c r="G534" s="20"/>
      <c r="H534" s="20"/>
      <c r="I534" s="20" t="b">
        <f t="shared" si="73"/>
        <v>1</v>
      </c>
      <c r="J534" s="20"/>
      <c r="K534" s="20"/>
    </row>
    <row r="535" spans="1:11" ht="15.5" x14ac:dyDescent="0.35">
      <c r="A535" s="3" t="s">
        <v>98</v>
      </c>
      <c r="B535" s="1"/>
      <c r="C535" s="20">
        <v>1800</v>
      </c>
      <c r="D535" s="1"/>
      <c r="E535" s="1"/>
      <c r="F535" s="20">
        <f t="shared" si="76"/>
        <v>0</v>
      </c>
      <c r="G535" s="20"/>
      <c r="H535" s="20"/>
      <c r="I535" s="20" t="b">
        <f t="shared" si="73"/>
        <v>1</v>
      </c>
      <c r="J535" s="20"/>
      <c r="K535" s="20"/>
    </row>
    <row r="536" spans="1:11" ht="15.5" x14ac:dyDescent="0.35">
      <c r="A536" s="3" t="s">
        <v>99</v>
      </c>
      <c r="B536" s="1"/>
      <c r="C536" s="20">
        <v>3500</v>
      </c>
      <c r="D536" s="1"/>
      <c r="E536" s="1"/>
      <c r="F536" s="20">
        <f t="shared" si="76"/>
        <v>0</v>
      </c>
      <c r="G536" s="20"/>
      <c r="H536" s="20"/>
      <c r="I536" s="20" t="b">
        <f t="shared" si="73"/>
        <v>1</v>
      </c>
      <c r="J536" s="20"/>
      <c r="K536" s="20"/>
    </row>
    <row r="537" spans="1:11" ht="15.5" x14ac:dyDescent="0.35">
      <c r="A537" s="18"/>
    </row>
    <row r="539" spans="1:11" ht="15.5" x14ac:dyDescent="0.35">
      <c r="A539" s="24" t="s">
        <v>108</v>
      </c>
      <c r="J539" s="21"/>
    </row>
    <row r="540" spans="1:11" ht="15.5" x14ac:dyDescent="0.35">
      <c r="A540" s="18" t="s">
        <v>114</v>
      </c>
      <c r="B540" s="67">
        <v>45000</v>
      </c>
      <c r="J540" s="21"/>
    </row>
    <row r="541" spans="1:11" ht="15.5" x14ac:dyDescent="0.35">
      <c r="A541" s="18" t="s">
        <v>154</v>
      </c>
      <c r="B541" s="67">
        <v>60000</v>
      </c>
      <c r="J541" s="21"/>
    </row>
    <row r="542" spans="1:11" ht="15.5" x14ac:dyDescent="0.35">
      <c r="A542" s="18" t="s">
        <v>112</v>
      </c>
      <c r="B542" s="67">
        <v>60000</v>
      </c>
      <c r="J542" s="21"/>
    </row>
    <row r="543" spans="1:11" ht="15.5" x14ac:dyDescent="0.35">
      <c r="A543" s="18" t="s">
        <v>110</v>
      </c>
      <c r="B543" s="67">
        <v>45000</v>
      </c>
    </row>
    <row r="544" spans="1:11" ht="15.5" x14ac:dyDescent="0.35">
      <c r="A544" s="18" t="s">
        <v>111</v>
      </c>
      <c r="B544" s="67">
        <v>45000</v>
      </c>
    </row>
    <row r="545" spans="1:11" ht="15.5" x14ac:dyDescent="0.35">
      <c r="A545" s="18" t="s">
        <v>196</v>
      </c>
      <c r="B545" s="67">
        <v>45000</v>
      </c>
    </row>
    <row r="546" spans="1:11" ht="15.5" x14ac:dyDescent="0.35">
      <c r="A546" s="18" t="s">
        <v>113</v>
      </c>
      <c r="B546" s="67">
        <v>45000</v>
      </c>
    </row>
    <row r="547" spans="1:11" ht="15.5" x14ac:dyDescent="0.35">
      <c r="A547" s="18" t="s">
        <v>209</v>
      </c>
      <c r="B547" s="67">
        <v>45000</v>
      </c>
    </row>
    <row r="548" spans="1:11" ht="15.5" x14ac:dyDescent="0.35">
      <c r="A548" s="18" t="s">
        <v>115</v>
      </c>
      <c r="B548" s="67">
        <v>60000</v>
      </c>
    </row>
    <row r="549" spans="1:11" ht="15.5" x14ac:dyDescent="0.35">
      <c r="A549" s="18" t="s">
        <v>122</v>
      </c>
      <c r="B549" s="67">
        <v>60000</v>
      </c>
    </row>
    <row r="550" spans="1:11" ht="15.5" x14ac:dyDescent="0.35">
      <c r="A550" s="18" t="s">
        <v>109</v>
      </c>
      <c r="B550" s="67">
        <v>45000</v>
      </c>
    </row>
    <row r="551" spans="1:11" ht="15.5" x14ac:dyDescent="0.35">
      <c r="A551" s="24" t="s">
        <v>4</v>
      </c>
      <c r="B551" s="75">
        <f>SUM(B540:B550)</f>
        <v>555000</v>
      </c>
    </row>
    <row r="554" spans="1:11" ht="18.5" x14ac:dyDescent="0.45">
      <c r="A554" s="149">
        <v>46043</v>
      </c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</row>
    <row r="556" spans="1:11" ht="18.5" x14ac:dyDescent="0.45">
      <c r="A556" s="2" t="s">
        <v>75</v>
      </c>
      <c r="B556" s="2" t="s">
        <v>3</v>
      </c>
      <c r="C556" s="2" t="s">
        <v>100</v>
      </c>
      <c r="D556" s="2" t="s">
        <v>90</v>
      </c>
      <c r="E556" s="2" t="s">
        <v>91</v>
      </c>
      <c r="F556" s="2" t="s">
        <v>4</v>
      </c>
      <c r="G556" s="2" t="s">
        <v>101</v>
      </c>
      <c r="H556" s="2" t="s">
        <v>104</v>
      </c>
      <c r="I556" s="2"/>
      <c r="J556" s="2" t="s">
        <v>105</v>
      </c>
      <c r="K556" s="2" t="s">
        <v>106</v>
      </c>
    </row>
    <row r="557" spans="1:11" ht="15.5" x14ac:dyDescent="0.35">
      <c r="A557" s="3" t="s">
        <v>76</v>
      </c>
      <c r="B557" s="1">
        <v>108</v>
      </c>
      <c r="C557" s="20">
        <v>17500</v>
      </c>
      <c r="D557" s="1">
        <v>52</v>
      </c>
      <c r="E557" s="1">
        <v>56</v>
      </c>
      <c r="F557" s="20">
        <f>C557*B557</f>
        <v>1890000</v>
      </c>
      <c r="G557" s="20">
        <f>D557*C557</f>
        <v>910000</v>
      </c>
      <c r="H557" s="20">
        <f>E557*C557</f>
        <v>980000</v>
      </c>
      <c r="I557" s="20" t="b">
        <f>E557+D557=B557</f>
        <v>1</v>
      </c>
      <c r="J557" s="20">
        <f>B594</f>
        <v>555000</v>
      </c>
      <c r="K557" s="20" t="s">
        <v>117</v>
      </c>
    </row>
    <row r="558" spans="1:11" ht="15.5" x14ac:dyDescent="0.35">
      <c r="A558" s="3" t="s">
        <v>77</v>
      </c>
      <c r="B558" s="1">
        <v>14</v>
      </c>
      <c r="C558" s="20">
        <v>16000</v>
      </c>
      <c r="D558" s="1">
        <v>7</v>
      </c>
      <c r="E558" s="1">
        <v>7</v>
      </c>
      <c r="F558" s="20">
        <f t="shared" ref="F558:F569" si="77">C558*B558</f>
        <v>224000</v>
      </c>
      <c r="G558" s="20">
        <f t="shared" ref="G558:G569" si="78">D558*C558</f>
        <v>112000</v>
      </c>
      <c r="H558" s="20">
        <f t="shared" ref="H558:H573" si="79">E558*C558</f>
        <v>112000</v>
      </c>
      <c r="I558" s="20" t="b">
        <f t="shared" ref="I558:I579" si="80">E558+D558=B558</f>
        <v>1</v>
      </c>
      <c r="J558" s="20">
        <v>10000</v>
      </c>
      <c r="K558" s="20" t="s">
        <v>191</v>
      </c>
    </row>
    <row r="559" spans="1:11" ht="15.5" x14ac:dyDescent="0.35">
      <c r="A559" s="3" t="s">
        <v>78</v>
      </c>
      <c r="B559" s="1">
        <v>66</v>
      </c>
      <c r="C559" s="20">
        <v>17500</v>
      </c>
      <c r="D559" s="1">
        <v>29</v>
      </c>
      <c r="E559" s="1">
        <v>37</v>
      </c>
      <c r="F559" s="20">
        <f t="shared" si="77"/>
        <v>1155000</v>
      </c>
      <c r="G559" s="20">
        <f t="shared" si="78"/>
        <v>507500</v>
      </c>
      <c r="H559" s="20">
        <f t="shared" si="79"/>
        <v>647500</v>
      </c>
      <c r="I559" s="20" t="b">
        <f t="shared" si="80"/>
        <v>1</v>
      </c>
      <c r="J559" s="20">
        <v>410000</v>
      </c>
      <c r="K559" s="20" t="s">
        <v>107</v>
      </c>
    </row>
    <row r="560" spans="1:11" ht="15.5" x14ac:dyDescent="0.35">
      <c r="A560" s="3" t="s">
        <v>79</v>
      </c>
      <c r="B560" s="1"/>
      <c r="C560" s="20">
        <v>18500</v>
      </c>
      <c r="D560" s="1"/>
      <c r="E560" s="1"/>
      <c r="F560" s="20">
        <f t="shared" si="77"/>
        <v>0</v>
      </c>
      <c r="G560" s="20">
        <f t="shared" si="78"/>
        <v>0</v>
      </c>
      <c r="H560" s="20">
        <f t="shared" si="79"/>
        <v>0</v>
      </c>
      <c r="I560" s="20" t="b">
        <f t="shared" si="80"/>
        <v>1</v>
      </c>
      <c r="J560" s="20"/>
      <c r="K560" s="20"/>
    </row>
    <row r="561" spans="1:11" ht="15.5" x14ac:dyDescent="0.35">
      <c r="A561" s="3" t="s">
        <v>80</v>
      </c>
      <c r="B561" s="1">
        <v>40</v>
      </c>
      <c r="C561" s="20">
        <v>18500</v>
      </c>
      <c r="D561" s="1">
        <v>15</v>
      </c>
      <c r="E561" s="1">
        <v>25</v>
      </c>
      <c r="F561" s="20">
        <f t="shared" si="77"/>
        <v>740000</v>
      </c>
      <c r="G561" s="20">
        <f t="shared" si="78"/>
        <v>277500</v>
      </c>
      <c r="H561" s="20">
        <f t="shared" si="79"/>
        <v>462500</v>
      </c>
      <c r="I561" s="20" t="b">
        <f t="shared" si="80"/>
        <v>1</v>
      </c>
      <c r="J561" s="20"/>
      <c r="K561" s="20"/>
    </row>
    <row r="562" spans="1:11" ht="15.5" x14ac:dyDescent="0.35">
      <c r="A562" s="3" t="s">
        <v>81</v>
      </c>
      <c r="B562" s="1"/>
      <c r="C562" s="20">
        <v>23000</v>
      </c>
      <c r="D562" s="1"/>
      <c r="E562" s="1"/>
      <c r="F562" s="20">
        <f t="shared" si="77"/>
        <v>0</v>
      </c>
      <c r="G562" s="20">
        <f t="shared" si="78"/>
        <v>0</v>
      </c>
      <c r="H562" s="20">
        <f t="shared" si="79"/>
        <v>0</v>
      </c>
      <c r="I562" s="20" t="b">
        <f t="shared" si="80"/>
        <v>1</v>
      </c>
      <c r="J562" s="20"/>
      <c r="K562" s="20"/>
    </row>
    <row r="563" spans="1:11" ht="15.5" x14ac:dyDescent="0.35">
      <c r="A563" s="3" t="s">
        <v>82</v>
      </c>
      <c r="B563" s="1"/>
      <c r="C563" s="20">
        <v>18000</v>
      </c>
      <c r="D563" s="1"/>
      <c r="E563" s="1"/>
      <c r="F563" s="20">
        <f t="shared" si="77"/>
        <v>0</v>
      </c>
      <c r="G563" s="20">
        <f t="shared" si="78"/>
        <v>0</v>
      </c>
      <c r="H563" s="20">
        <f t="shared" si="79"/>
        <v>0</v>
      </c>
      <c r="I563" s="20" t="b">
        <f t="shared" si="80"/>
        <v>1</v>
      </c>
      <c r="J563" s="20"/>
      <c r="K563" s="20"/>
    </row>
    <row r="564" spans="1:11" ht="15.5" x14ac:dyDescent="0.35">
      <c r="A564" s="3" t="s">
        <v>83</v>
      </c>
      <c r="B564" s="1">
        <v>34</v>
      </c>
      <c r="C564" s="20">
        <v>18000</v>
      </c>
      <c r="D564" s="11">
        <v>17</v>
      </c>
      <c r="E564" s="1">
        <v>17</v>
      </c>
      <c r="F564" s="20">
        <f t="shared" si="77"/>
        <v>612000</v>
      </c>
      <c r="G564" s="20">
        <f t="shared" si="78"/>
        <v>306000</v>
      </c>
      <c r="H564" s="20">
        <f t="shared" si="79"/>
        <v>306000</v>
      </c>
      <c r="I564" s="20" t="b">
        <f t="shared" si="80"/>
        <v>1</v>
      </c>
      <c r="J564" s="20"/>
      <c r="K564" s="20"/>
    </row>
    <row r="565" spans="1:11" ht="15.5" x14ac:dyDescent="0.35">
      <c r="A565" s="3" t="s">
        <v>84</v>
      </c>
      <c r="B565" s="1"/>
      <c r="C565" s="20">
        <v>18500</v>
      </c>
      <c r="D565" s="1"/>
      <c r="E565" s="1"/>
      <c r="F565" s="20">
        <f t="shared" si="77"/>
        <v>0</v>
      </c>
      <c r="G565" s="20">
        <f t="shared" si="78"/>
        <v>0</v>
      </c>
      <c r="H565" s="20">
        <f t="shared" si="79"/>
        <v>0</v>
      </c>
      <c r="I565" s="20" t="b">
        <f t="shared" si="80"/>
        <v>1</v>
      </c>
      <c r="J565" s="20"/>
      <c r="K565" s="20"/>
    </row>
    <row r="566" spans="1:11" ht="15.5" x14ac:dyDescent="0.35">
      <c r="A566" s="3" t="s">
        <v>85</v>
      </c>
      <c r="B566" s="1"/>
      <c r="C566" s="20">
        <v>18500</v>
      </c>
      <c r="D566" s="1"/>
      <c r="E566" s="1"/>
      <c r="F566" s="20">
        <f t="shared" si="77"/>
        <v>0</v>
      </c>
      <c r="G566" s="20">
        <f t="shared" si="78"/>
        <v>0</v>
      </c>
      <c r="H566" s="20">
        <f t="shared" si="79"/>
        <v>0</v>
      </c>
      <c r="I566" s="20" t="b">
        <f t="shared" si="80"/>
        <v>1</v>
      </c>
      <c r="J566" s="20"/>
      <c r="K566" s="20"/>
    </row>
    <row r="567" spans="1:11" ht="15.5" x14ac:dyDescent="0.35">
      <c r="A567" s="3" t="s">
        <v>86</v>
      </c>
      <c r="B567" s="1">
        <v>13</v>
      </c>
      <c r="C567" s="20">
        <v>18500</v>
      </c>
      <c r="D567" s="1">
        <v>10</v>
      </c>
      <c r="E567" s="1">
        <v>3</v>
      </c>
      <c r="F567" s="20">
        <f t="shared" si="77"/>
        <v>240500</v>
      </c>
      <c r="G567" s="20">
        <f t="shared" si="78"/>
        <v>185000</v>
      </c>
      <c r="H567" s="20">
        <f t="shared" si="79"/>
        <v>55500</v>
      </c>
      <c r="I567" s="20" t="b">
        <f t="shared" si="80"/>
        <v>1</v>
      </c>
      <c r="J567" s="20"/>
      <c r="K567" s="20"/>
    </row>
    <row r="568" spans="1:11" ht="15.5" x14ac:dyDescent="0.35">
      <c r="A568" s="3" t="s">
        <v>87</v>
      </c>
      <c r="B568" s="1"/>
      <c r="C568" s="20">
        <v>18500</v>
      </c>
      <c r="D568" s="1"/>
      <c r="E568" s="1"/>
      <c r="F568" s="20">
        <f t="shared" si="77"/>
        <v>0</v>
      </c>
      <c r="G568" s="20">
        <f t="shared" si="78"/>
        <v>0</v>
      </c>
      <c r="H568" s="20">
        <f t="shared" si="79"/>
        <v>0</v>
      </c>
      <c r="I568" s="20" t="b">
        <f t="shared" si="80"/>
        <v>1</v>
      </c>
      <c r="J568" s="20"/>
      <c r="K568" s="20"/>
    </row>
    <row r="569" spans="1:11" ht="15.5" x14ac:dyDescent="0.35">
      <c r="A569" s="3" t="s">
        <v>88</v>
      </c>
      <c r="B569" s="1">
        <v>7</v>
      </c>
      <c r="C569" s="20">
        <v>18500</v>
      </c>
      <c r="D569" s="1">
        <v>1</v>
      </c>
      <c r="E569" s="1">
        <v>6</v>
      </c>
      <c r="F569" s="20">
        <f t="shared" si="77"/>
        <v>129500</v>
      </c>
      <c r="G569" s="20">
        <f t="shared" si="78"/>
        <v>18500</v>
      </c>
      <c r="H569" s="20">
        <f t="shared" si="79"/>
        <v>111000</v>
      </c>
      <c r="I569" s="20" t="b">
        <f t="shared" si="80"/>
        <v>1</v>
      </c>
      <c r="J569" s="20"/>
      <c r="K569" s="20"/>
    </row>
    <row r="570" spans="1:11" ht="15.5" x14ac:dyDescent="0.35">
      <c r="A570" s="19" t="s">
        <v>89</v>
      </c>
      <c r="B570" s="1"/>
      <c r="C570" s="20"/>
      <c r="D570" s="1"/>
      <c r="E570" s="1"/>
      <c r="F570" s="20"/>
      <c r="G570" s="20"/>
      <c r="H570" s="20"/>
      <c r="I570" s="20"/>
      <c r="J570" s="20"/>
      <c r="K570" s="20"/>
    </row>
    <row r="571" spans="1:11" ht="15.5" x14ac:dyDescent="0.35">
      <c r="A571" s="3" t="s">
        <v>92</v>
      </c>
      <c r="B571" s="1">
        <v>40</v>
      </c>
      <c r="C571" s="20">
        <v>21500</v>
      </c>
      <c r="D571" s="1">
        <v>19</v>
      </c>
      <c r="E571" s="1">
        <v>21</v>
      </c>
      <c r="F571" s="20">
        <f t="shared" ref="F571:F573" si="81">C571*B571</f>
        <v>860000</v>
      </c>
      <c r="G571" s="20">
        <f t="shared" ref="G571:G573" si="82">D571*C571</f>
        <v>408500</v>
      </c>
      <c r="H571" s="20">
        <f t="shared" si="79"/>
        <v>451500</v>
      </c>
      <c r="I571" s="20" t="b">
        <f t="shared" si="80"/>
        <v>1</v>
      </c>
      <c r="J571" s="20"/>
      <c r="K571" s="20"/>
    </row>
    <row r="572" spans="1:11" ht="15.5" x14ac:dyDescent="0.35">
      <c r="A572" s="3" t="s">
        <v>93</v>
      </c>
      <c r="B572" s="1">
        <v>8</v>
      </c>
      <c r="C572" s="20">
        <v>21500</v>
      </c>
      <c r="D572" s="1">
        <v>5</v>
      </c>
      <c r="E572" s="1">
        <v>3</v>
      </c>
      <c r="F572" s="20">
        <f t="shared" si="81"/>
        <v>172000</v>
      </c>
      <c r="G572" s="20">
        <f t="shared" si="82"/>
        <v>107500</v>
      </c>
      <c r="H572" s="20">
        <f t="shared" si="79"/>
        <v>64500</v>
      </c>
      <c r="I572" s="20" t="b">
        <f t="shared" si="80"/>
        <v>1</v>
      </c>
      <c r="J572" s="20"/>
      <c r="K572" s="20"/>
    </row>
    <row r="573" spans="1:11" ht="15.5" x14ac:dyDescent="0.35">
      <c r="A573" s="3" t="s">
        <v>94</v>
      </c>
      <c r="B573" s="1">
        <v>27</v>
      </c>
      <c r="C573" s="20">
        <v>21500</v>
      </c>
      <c r="D573" s="1">
        <v>18</v>
      </c>
      <c r="E573" s="1">
        <v>9</v>
      </c>
      <c r="F573" s="20">
        <f t="shared" si="81"/>
        <v>580500</v>
      </c>
      <c r="G573" s="20">
        <f t="shared" si="82"/>
        <v>387000</v>
      </c>
      <c r="H573" s="20">
        <f t="shared" si="79"/>
        <v>193500</v>
      </c>
      <c r="I573" s="20" t="b">
        <f t="shared" si="80"/>
        <v>1</v>
      </c>
      <c r="J573" s="20"/>
      <c r="K573" s="20"/>
    </row>
    <row r="574" spans="1:11" ht="15.5" x14ac:dyDescent="0.35">
      <c r="A574" s="19"/>
      <c r="B574" s="22">
        <f>SUM(B557:B573)</f>
        <v>357</v>
      </c>
      <c r="C574" s="20"/>
      <c r="D574" s="1"/>
      <c r="E574" s="1"/>
      <c r="F574" s="23">
        <f>SUM(F557:F573)</f>
        <v>6603500</v>
      </c>
      <c r="G574" s="23">
        <f>SUM(G557:G573)</f>
        <v>3219500</v>
      </c>
      <c r="H574" s="23">
        <f>SUM(H557:H573)</f>
        <v>3384000</v>
      </c>
      <c r="I574" s="20"/>
      <c r="J574" s="23">
        <f>SUM(J557:J573)</f>
        <v>975000</v>
      </c>
      <c r="K574" s="23">
        <f>H574-J574</f>
        <v>2409000</v>
      </c>
    </row>
    <row r="575" spans="1:11" ht="15.5" x14ac:dyDescent="0.35">
      <c r="A575" s="19" t="s">
        <v>95</v>
      </c>
      <c r="B575" s="1"/>
      <c r="C575" s="20"/>
      <c r="D575" s="1"/>
      <c r="E575" s="1"/>
      <c r="F575" s="20"/>
      <c r="G575" s="20"/>
      <c r="H575" s="20"/>
      <c r="I575" s="20" t="b">
        <f t="shared" si="80"/>
        <v>1</v>
      </c>
      <c r="J575" s="20"/>
      <c r="K575" s="20"/>
    </row>
    <row r="576" spans="1:11" ht="15.5" x14ac:dyDescent="0.35">
      <c r="A576" s="3" t="s">
        <v>96</v>
      </c>
      <c r="B576" s="1"/>
      <c r="C576" s="20">
        <v>3000</v>
      </c>
      <c r="D576" s="1"/>
      <c r="E576" s="1"/>
      <c r="F576" s="20">
        <f t="shared" ref="F576:F579" si="83">C576*B576</f>
        <v>0</v>
      </c>
      <c r="G576" s="20"/>
      <c r="H576" s="20"/>
      <c r="I576" s="20" t="b">
        <f t="shared" si="80"/>
        <v>1</v>
      </c>
      <c r="J576" s="20"/>
      <c r="K576" s="20"/>
    </row>
    <row r="577" spans="1:11" ht="15.5" x14ac:dyDescent="0.35">
      <c r="A577" s="3" t="s">
        <v>97</v>
      </c>
      <c r="B577" s="1"/>
      <c r="C577" s="20">
        <v>2500</v>
      </c>
      <c r="D577" s="1"/>
      <c r="E577" s="1"/>
      <c r="F577" s="20">
        <f t="shared" si="83"/>
        <v>0</v>
      </c>
      <c r="G577" s="20"/>
      <c r="H577" s="20"/>
      <c r="I577" s="20" t="b">
        <f t="shared" si="80"/>
        <v>1</v>
      </c>
      <c r="J577" s="20"/>
      <c r="K577" s="20"/>
    </row>
    <row r="578" spans="1:11" ht="15.5" x14ac:dyDescent="0.35">
      <c r="A578" s="3" t="s">
        <v>98</v>
      </c>
      <c r="B578" s="1"/>
      <c r="C578" s="20">
        <v>1800</v>
      </c>
      <c r="D578" s="1"/>
      <c r="E578" s="1"/>
      <c r="F578" s="20">
        <f t="shared" si="83"/>
        <v>0</v>
      </c>
      <c r="G578" s="20"/>
      <c r="H578" s="20"/>
      <c r="I578" s="20" t="b">
        <f t="shared" si="80"/>
        <v>1</v>
      </c>
      <c r="J578" s="20"/>
      <c r="K578" s="20"/>
    </row>
    <row r="579" spans="1:11" ht="15.5" x14ac:dyDescent="0.35">
      <c r="A579" s="3" t="s">
        <v>99</v>
      </c>
      <c r="B579" s="1"/>
      <c r="C579" s="20">
        <v>3500</v>
      </c>
      <c r="D579" s="1"/>
      <c r="E579" s="1"/>
      <c r="F579" s="20">
        <f t="shared" si="83"/>
        <v>0</v>
      </c>
      <c r="G579" s="20"/>
      <c r="H579" s="20"/>
      <c r="I579" s="20" t="b">
        <f t="shared" si="80"/>
        <v>1</v>
      </c>
      <c r="J579" s="20"/>
      <c r="K579" s="20"/>
    </row>
    <row r="580" spans="1:11" ht="15.5" x14ac:dyDescent="0.35">
      <c r="A580" s="18"/>
    </row>
    <row r="582" spans="1:11" ht="15.5" x14ac:dyDescent="0.35">
      <c r="A582" s="24" t="s">
        <v>108</v>
      </c>
      <c r="J582" s="21"/>
    </row>
    <row r="583" spans="1:11" ht="15.5" x14ac:dyDescent="0.35">
      <c r="A583" s="18" t="s">
        <v>114</v>
      </c>
      <c r="B583" s="67">
        <v>45000</v>
      </c>
      <c r="J583" s="21"/>
    </row>
    <row r="584" spans="1:11" ht="15.5" x14ac:dyDescent="0.35">
      <c r="A584" s="18" t="s">
        <v>154</v>
      </c>
      <c r="B584" s="67">
        <v>60000</v>
      </c>
      <c r="J584" s="21"/>
    </row>
    <row r="585" spans="1:11" ht="15.5" x14ac:dyDescent="0.35">
      <c r="A585" s="18" t="s">
        <v>112</v>
      </c>
      <c r="B585" s="67">
        <v>60000</v>
      </c>
      <c r="J585" s="21"/>
    </row>
    <row r="586" spans="1:11" ht="15.5" x14ac:dyDescent="0.35">
      <c r="A586" s="18" t="s">
        <v>110</v>
      </c>
      <c r="B586" s="67">
        <v>45000</v>
      </c>
    </row>
    <row r="587" spans="1:11" ht="15.5" x14ac:dyDescent="0.35">
      <c r="A587" s="18" t="s">
        <v>111</v>
      </c>
      <c r="B587" s="67">
        <v>45000</v>
      </c>
    </row>
    <row r="588" spans="1:11" ht="15.5" x14ac:dyDescent="0.35">
      <c r="A588" s="18" t="s">
        <v>196</v>
      </c>
      <c r="B588" s="67">
        <v>45000</v>
      </c>
    </row>
    <row r="589" spans="1:11" ht="15.5" x14ac:dyDescent="0.35">
      <c r="A589" s="18" t="s">
        <v>113</v>
      </c>
      <c r="B589" s="67">
        <v>45000</v>
      </c>
    </row>
    <row r="590" spans="1:11" ht="15.5" x14ac:dyDescent="0.35">
      <c r="A590" s="18" t="s">
        <v>209</v>
      </c>
      <c r="B590" s="67">
        <v>45000</v>
      </c>
    </row>
    <row r="591" spans="1:11" ht="15.5" x14ac:dyDescent="0.35">
      <c r="A591" s="18" t="s">
        <v>115</v>
      </c>
      <c r="B591" s="67">
        <v>60000</v>
      </c>
    </row>
    <row r="592" spans="1:11" ht="15.5" x14ac:dyDescent="0.35">
      <c r="A592" s="18" t="s">
        <v>122</v>
      </c>
      <c r="B592" s="67">
        <v>60000</v>
      </c>
    </row>
    <row r="593" spans="1:11" ht="15.5" x14ac:dyDescent="0.35">
      <c r="A593" s="18" t="s">
        <v>109</v>
      </c>
      <c r="B593" s="67">
        <v>45000</v>
      </c>
    </row>
    <row r="594" spans="1:11" ht="15.5" x14ac:dyDescent="0.35">
      <c r="A594" s="24" t="s">
        <v>4</v>
      </c>
      <c r="B594" s="75">
        <f>SUM(B583:B593)</f>
        <v>555000</v>
      </c>
    </row>
    <row r="597" spans="1:11" ht="18.5" x14ac:dyDescent="0.45">
      <c r="A597" s="149">
        <v>46044</v>
      </c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</row>
    <row r="599" spans="1:11" ht="18.5" x14ac:dyDescent="0.45">
      <c r="A599" s="2" t="s">
        <v>75</v>
      </c>
      <c r="B599" s="2" t="s">
        <v>3</v>
      </c>
      <c r="C599" s="2" t="s">
        <v>100</v>
      </c>
      <c r="D599" s="2" t="s">
        <v>90</v>
      </c>
      <c r="E599" s="2" t="s">
        <v>91</v>
      </c>
      <c r="F599" s="2" t="s">
        <v>4</v>
      </c>
      <c r="G599" s="2" t="s">
        <v>101</v>
      </c>
      <c r="H599" s="2" t="s">
        <v>104</v>
      </c>
      <c r="I599" s="2"/>
      <c r="J599" s="2" t="s">
        <v>105</v>
      </c>
      <c r="K599" s="2" t="s">
        <v>106</v>
      </c>
    </row>
    <row r="600" spans="1:11" ht="15.5" x14ac:dyDescent="0.35">
      <c r="A600" s="3" t="s">
        <v>76</v>
      </c>
      <c r="B600" s="1">
        <v>95</v>
      </c>
      <c r="C600" s="20">
        <v>17500</v>
      </c>
      <c r="D600" s="1">
        <v>55</v>
      </c>
      <c r="E600" s="1">
        <v>40</v>
      </c>
      <c r="F600" s="20">
        <f>C600*B600</f>
        <v>1662500</v>
      </c>
      <c r="G600" s="20">
        <f>D600*C600</f>
        <v>962500</v>
      </c>
      <c r="H600" s="20">
        <f>E600*C600</f>
        <v>700000</v>
      </c>
      <c r="I600" s="20" t="b">
        <f>E600+D600=B600</f>
        <v>1</v>
      </c>
      <c r="J600" s="20">
        <f>B637</f>
        <v>587500</v>
      </c>
      <c r="K600" s="20" t="s">
        <v>117</v>
      </c>
    </row>
    <row r="601" spans="1:11" ht="15.5" x14ac:dyDescent="0.35">
      <c r="A601" s="3" t="s">
        <v>77</v>
      </c>
      <c r="B601" s="1">
        <v>13</v>
      </c>
      <c r="C601" s="20">
        <v>16000</v>
      </c>
      <c r="D601" s="1">
        <v>12</v>
      </c>
      <c r="E601" s="1">
        <v>1</v>
      </c>
      <c r="F601" s="20">
        <f t="shared" ref="F601:F612" si="84">C601*B601</f>
        <v>208000</v>
      </c>
      <c r="G601" s="20">
        <f t="shared" ref="G601:G612" si="85">D601*C601</f>
        <v>192000</v>
      </c>
      <c r="H601" s="20">
        <f t="shared" ref="H601:H616" si="86">E601*C601</f>
        <v>16000</v>
      </c>
      <c r="I601" s="20" t="b">
        <f t="shared" ref="I601:I622" si="87">E601+D601=B601</f>
        <v>1</v>
      </c>
      <c r="J601" s="20">
        <v>10000</v>
      </c>
      <c r="K601" s="20" t="s">
        <v>191</v>
      </c>
    </row>
    <row r="602" spans="1:11" ht="15.5" x14ac:dyDescent="0.35">
      <c r="A602" s="3" t="s">
        <v>78</v>
      </c>
      <c r="B602" s="1">
        <v>38</v>
      </c>
      <c r="C602" s="20">
        <v>17500</v>
      </c>
      <c r="D602" s="1">
        <v>17</v>
      </c>
      <c r="E602" s="1">
        <v>21</v>
      </c>
      <c r="F602" s="20">
        <f t="shared" si="84"/>
        <v>665000</v>
      </c>
      <c r="G602" s="20">
        <f t="shared" si="85"/>
        <v>297500</v>
      </c>
      <c r="H602" s="20">
        <f t="shared" si="86"/>
        <v>367500</v>
      </c>
      <c r="I602" s="20" t="b">
        <f t="shared" si="87"/>
        <v>1</v>
      </c>
      <c r="J602" s="20">
        <v>30000</v>
      </c>
      <c r="K602" s="20" t="s">
        <v>248</v>
      </c>
    </row>
    <row r="603" spans="1:11" ht="15.5" x14ac:dyDescent="0.35">
      <c r="A603" s="3" t="s">
        <v>79</v>
      </c>
      <c r="B603" s="1">
        <v>29</v>
      </c>
      <c r="C603" s="20">
        <v>18500</v>
      </c>
      <c r="D603" s="1">
        <v>16</v>
      </c>
      <c r="E603" s="1">
        <v>13</v>
      </c>
      <c r="F603" s="20">
        <f t="shared" si="84"/>
        <v>536500</v>
      </c>
      <c r="G603" s="20">
        <f t="shared" si="85"/>
        <v>296000</v>
      </c>
      <c r="H603" s="20">
        <f t="shared" si="86"/>
        <v>240500</v>
      </c>
      <c r="I603" s="20" t="b">
        <f t="shared" si="87"/>
        <v>1</v>
      </c>
      <c r="J603" s="20">
        <v>124500</v>
      </c>
      <c r="K603" s="20" t="s">
        <v>155</v>
      </c>
    </row>
    <row r="604" spans="1:11" ht="15.5" x14ac:dyDescent="0.35">
      <c r="A604" s="3" t="s">
        <v>80</v>
      </c>
      <c r="B604" s="1"/>
      <c r="C604" s="20">
        <v>18500</v>
      </c>
      <c r="D604" s="1"/>
      <c r="E604" s="1"/>
      <c r="F604" s="20">
        <f t="shared" si="84"/>
        <v>0</v>
      </c>
      <c r="G604" s="20">
        <f t="shared" si="85"/>
        <v>0</v>
      </c>
      <c r="H604" s="20">
        <f t="shared" si="86"/>
        <v>0</v>
      </c>
      <c r="I604" s="20" t="b">
        <f t="shared" si="87"/>
        <v>1</v>
      </c>
      <c r="J604" s="20"/>
      <c r="K604" s="20"/>
    </row>
    <row r="605" spans="1:11" ht="15.5" x14ac:dyDescent="0.35">
      <c r="A605" s="3" t="s">
        <v>81</v>
      </c>
      <c r="B605" s="1"/>
      <c r="C605" s="20">
        <v>23000</v>
      </c>
      <c r="D605" s="1"/>
      <c r="E605" s="1"/>
      <c r="F605" s="20">
        <f t="shared" si="84"/>
        <v>0</v>
      </c>
      <c r="G605" s="20">
        <f t="shared" si="85"/>
        <v>0</v>
      </c>
      <c r="H605" s="20">
        <f t="shared" si="86"/>
        <v>0</v>
      </c>
      <c r="I605" s="20" t="b">
        <f t="shared" si="87"/>
        <v>1</v>
      </c>
      <c r="J605" s="20"/>
      <c r="K605" s="20"/>
    </row>
    <row r="606" spans="1:11" ht="15.5" x14ac:dyDescent="0.35">
      <c r="A606" s="3" t="s">
        <v>82</v>
      </c>
      <c r="B606" s="1"/>
      <c r="C606" s="20">
        <v>18000</v>
      </c>
      <c r="D606" s="1"/>
      <c r="E606" s="1"/>
      <c r="F606" s="20">
        <f t="shared" si="84"/>
        <v>0</v>
      </c>
      <c r="G606" s="20">
        <f t="shared" si="85"/>
        <v>0</v>
      </c>
      <c r="H606" s="20">
        <f t="shared" si="86"/>
        <v>0</v>
      </c>
      <c r="I606" s="20" t="b">
        <f t="shared" si="87"/>
        <v>1</v>
      </c>
      <c r="J606" s="20"/>
      <c r="K606" s="20"/>
    </row>
    <row r="607" spans="1:11" ht="15.5" x14ac:dyDescent="0.35">
      <c r="A607" s="3" t="s">
        <v>83</v>
      </c>
      <c r="B607" s="1"/>
      <c r="C607" s="20">
        <v>18000</v>
      </c>
      <c r="D607" s="11"/>
      <c r="E607" s="1"/>
      <c r="F607" s="20">
        <f t="shared" si="84"/>
        <v>0</v>
      </c>
      <c r="G607" s="20">
        <f t="shared" si="85"/>
        <v>0</v>
      </c>
      <c r="H607" s="20">
        <f t="shared" si="86"/>
        <v>0</v>
      </c>
      <c r="I607" s="20" t="b">
        <f t="shared" si="87"/>
        <v>1</v>
      </c>
      <c r="J607" s="20"/>
      <c r="K607" s="20"/>
    </row>
    <row r="608" spans="1:11" ht="15.5" x14ac:dyDescent="0.35">
      <c r="A608" s="3" t="s">
        <v>84</v>
      </c>
      <c r="B608" s="1">
        <v>47</v>
      </c>
      <c r="C608" s="20">
        <v>18500</v>
      </c>
      <c r="D608" s="1">
        <v>16</v>
      </c>
      <c r="E608" s="1">
        <v>31</v>
      </c>
      <c r="F608" s="20">
        <f t="shared" si="84"/>
        <v>869500</v>
      </c>
      <c r="G608" s="20">
        <f t="shared" si="85"/>
        <v>296000</v>
      </c>
      <c r="H608" s="20">
        <f t="shared" si="86"/>
        <v>573500</v>
      </c>
      <c r="I608" s="20" t="b">
        <f t="shared" si="87"/>
        <v>1</v>
      </c>
      <c r="J608" s="20"/>
      <c r="K608" s="20"/>
    </row>
    <row r="609" spans="1:11" ht="15.5" x14ac:dyDescent="0.35">
      <c r="A609" s="3" t="s">
        <v>85</v>
      </c>
      <c r="B609" s="1"/>
      <c r="C609" s="20">
        <v>18500</v>
      </c>
      <c r="D609" s="1"/>
      <c r="E609" s="1"/>
      <c r="F609" s="20">
        <f t="shared" si="84"/>
        <v>0</v>
      </c>
      <c r="G609" s="20">
        <f t="shared" si="85"/>
        <v>0</v>
      </c>
      <c r="H609" s="20">
        <f t="shared" si="86"/>
        <v>0</v>
      </c>
      <c r="I609" s="20" t="b">
        <f t="shared" si="87"/>
        <v>1</v>
      </c>
      <c r="J609" s="20"/>
      <c r="K609" s="20"/>
    </row>
    <row r="610" spans="1:11" ht="15.5" x14ac:dyDescent="0.35">
      <c r="A610" s="3" t="s">
        <v>86</v>
      </c>
      <c r="B610" s="1"/>
      <c r="C610" s="20">
        <v>18500</v>
      </c>
      <c r="D610" s="1"/>
      <c r="E610" s="1"/>
      <c r="F610" s="20">
        <f t="shared" si="84"/>
        <v>0</v>
      </c>
      <c r="G610" s="20">
        <f t="shared" si="85"/>
        <v>0</v>
      </c>
      <c r="H610" s="20">
        <f t="shared" si="86"/>
        <v>0</v>
      </c>
      <c r="I610" s="20" t="b">
        <f t="shared" si="87"/>
        <v>1</v>
      </c>
      <c r="J610" s="20"/>
      <c r="K610" s="20"/>
    </row>
    <row r="611" spans="1:11" ht="15.5" x14ac:dyDescent="0.35">
      <c r="A611" s="3" t="s">
        <v>87</v>
      </c>
      <c r="B611" s="1">
        <v>4</v>
      </c>
      <c r="C611" s="20">
        <v>18500</v>
      </c>
      <c r="D611" s="1">
        <v>2</v>
      </c>
      <c r="E611" s="1">
        <v>2</v>
      </c>
      <c r="F611" s="20">
        <f t="shared" si="84"/>
        <v>74000</v>
      </c>
      <c r="G611" s="20">
        <f t="shared" si="85"/>
        <v>37000</v>
      </c>
      <c r="H611" s="20">
        <f t="shared" si="86"/>
        <v>37000</v>
      </c>
      <c r="I611" s="20" t="b">
        <f t="shared" si="87"/>
        <v>1</v>
      </c>
      <c r="J611" s="20"/>
      <c r="K611" s="20"/>
    </row>
    <row r="612" spans="1:11" ht="15.5" x14ac:dyDescent="0.35">
      <c r="A612" s="3" t="s">
        <v>88</v>
      </c>
      <c r="B612" s="1">
        <v>13</v>
      </c>
      <c r="C612" s="20">
        <v>18500</v>
      </c>
      <c r="D612" s="1">
        <v>4</v>
      </c>
      <c r="E612" s="1">
        <v>9</v>
      </c>
      <c r="F612" s="20">
        <f t="shared" si="84"/>
        <v>240500</v>
      </c>
      <c r="G612" s="20">
        <f t="shared" si="85"/>
        <v>74000</v>
      </c>
      <c r="H612" s="20">
        <f t="shared" si="86"/>
        <v>166500</v>
      </c>
      <c r="I612" s="20" t="b">
        <f t="shared" si="87"/>
        <v>1</v>
      </c>
      <c r="J612" s="20"/>
      <c r="K612" s="20"/>
    </row>
    <row r="613" spans="1:11" ht="15.5" x14ac:dyDescent="0.35">
      <c r="A613" s="19" t="s">
        <v>89</v>
      </c>
      <c r="B613" s="1"/>
      <c r="C613" s="20"/>
      <c r="D613" s="1"/>
      <c r="E613" s="1"/>
      <c r="F613" s="20"/>
      <c r="G613" s="20"/>
      <c r="H613" s="20"/>
      <c r="I613" s="20"/>
      <c r="J613" s="20"/>
      <c r="K613" s="20"/>
    </row>
    <row r="614" spans="1:11" ht="15.5" x14ac:dyDescent="0.35">
      <c r="A614" s="3" t="s">
        <v>92</v>
      </c>
      <c r="B614" s="1"/>
      <c r="C614" s="20">
        <v>21500</v>
      </c>
      <c r="D614" s="1"/>
      <c r="E614" s="1"/>
      <c r="F614" s="20">
        <f t="shared" ref="F614:F616" si="88">C614*B614</f>
        <v>0</v>
      </c>
      <c r="G614" s="20">
        <f t="shared" ref="G614:G616" si="89">D614*C614</f>
        <v>0</v>
      </c>
      <c r="H614" s="20">
        <f t="shared" si="86"/>
        <v>0</v>
      </c>
      <c r="I614" s="20" t="b">
        <f t="shared" si="87"/>
        <v>1</v>
      </c>
      <c r="J614" s="20"/>
      <c r="K614" s="20"/>
    </row>
    <row r="615" spans="1:11" ht="15.5" x14ac:dyDescent="0.35">
      <c r="A615" s="3" t="s">
        <v>93</v>
      </c>
      <c r="B615" s="1">
        <v>22</v>
      </c>
      <c r="C615" s="20">
        <v>21500</v>
      </c>
      <c r="D615" s="1">
        <v>9</v>
      </c>
      <c r="E615" s="1">
        <v>13</v>
      </c>
      <c r="F615" s="20">
        <f t="shared" si="88"/>
        <v>473000</v>
      </c>
      <c r="G615" s="20">
        <f t="shared" si="89"/>
        <v>193500</v>
      </c>
      <c r="H615" s="20">
        <f t="shared" si="86"/>
        <v>279500</v>
      </c>
      <c r="I615" s="20" t="b">
        <f t="shared" si="87"/>
        <v>1</v>
      </c>
      <c r="J615" s="20"/>
      <c r="K615" s="20"/>
    </row>
    <row r="616" spans="1:11" ht="15.5" x14ac:dyDescent="0.35">
      <c r="A616" s="3" t="s">
        <v>94</v>
      </c>
      <c r="B616" s="1">
        <v>32</v>
      </c>
      <c r="C616" s="20">
        <v>21500</v>
      </c>
      <c r="D616" s="1">
        <v>12</v>
      </c>
      <c r="E616" s="1">
        <v>20</v>
      </c>
      <c r="F616" s="20">
        <f t="shared" si="88"/>
        <v>688000</v>
      </c>
      <c r="G616" s="20">
        <f t="shared" si="89"/>
        <v>258000</v>
      </c>
      <c r="H616" s="20">
        <f t="shared" si="86"/>
        <v>430000</v>
      </c>
      <c r="I616" s="20" t="b">
        <f t="shared" si="87"/>
        <v>1</v>
      </c>
      <c r="J616" s="20"/>
      <c r="K616" s="20"/>
    </row>
    <row r="617" spans="1:11" ht="15.5" x14ac:dyDescent="0.35">
      <c r="A617" s="19"/>
      <c r="B617" s="22">
        <f>SUM(B600:B616)</f>
        <v>293</v>
      </c>
      <c r="C617" s="20"/>
      <c r="D617" s="1"/>
      <c r="E617" s="1"/>
      <c r="F617" s="23">
        <f>SUM(F600:F616)</f>
        <v>5417000</v>
      </c>
      <c r="G617" s="23">
        <f>SUM(G600:G616)</f>
        <v>2606500</v>
      </c>
      <c r="H617" s="23">
        <f>SUM(H600:H616)</f>
        <v>2810500</v>
      </c>
      <c r="I617" s="20"/>
      <c r="J617" s="23">
        <f>SUM(J600:J616)</f>
        <v>752000</v>
      </c>
      <c r="K617" s="23">
        <f>H617-J617</f>
        <v>2058500</v>
      </c>
    </row>
    <row r="618" spans="1:11" ht="15.5" x14ac:dyDescent="0.35">
      <c r="A618" s="19" t="s">
        <v>95</v>
      </c>
      <c r="B618" s="1"/>
      <c r="C618" s="20"/>
      <c r="D618" s="1"/>
      <c r="E618" s="1"/>
      <c r="F618" s="20"/>
      <c r="G618" s="20"/>
      <c r="H618" s="20"/>
      <c r="I618" s="20" t="b">
        <f t="shared" si="87"/>
        <v>1</v>
      </c>
      <c r="J618" s="20"/>
      <c r="K618" s="20"/>
    </row>
    <row r="619" spans="1:11" ht="15.5" x14ac:dyDescent="0.35">
      <c r="A619" s="3" t="s">
        <v>96</v>
      </c>
      <c r="B619" s="1"/>
      <c r="C619" s="20">
        <v>3000</v>
      </c>
      <c r="D619" s="1"/>
      <c r="E619" s="1"/>
      <c r="F619" s="20">
        <f t="shared" ref="F619:F622" si="90">C619*B619</f>
        <v>0</v>
      </c>
      <c r="G619" s="20"/>
      <c r="H619" s="20"/>
      <c r="I619" s="20" t="b">
        <f t="shared" si="87"/>
        <v>1</v>
      </c>
      <c r="J619" s="20"/>
      <c r="K619" s="20"/>
    </row>
    <row r="620" spans="1:11" ht="15.5" x14ac:dyDescent="0.35">
      <c r="A620" s="3" t="s">
        <v>97</v>
      </c>
      <c r="B620" s="1"/>
      <c r="C620" s="20">
        <v>2500</v>
      </c>
      <c r="D620" s="1"/>
      <c r="E620" s="1"/>
      <c r="F620" s="20">
        <f t="shared" si="90"/>
        <v>0</v>
      </c>
      <c r="G620" s="20"/>
      <c r="H620" s="20"/>
      <c r="I620" s="20" t="b">
        <f t="shared" si="87"/>
        <v>1</v>
      </c>
      <c r="J620" s="20"/>
      <c r="K620" s="20"/>
    </row>
    <row r="621" spans="1:11" ht="15.5" x14ac:dyDescent="0.35">
      <c r="A621" s="3" t="s">
        <v>98</v>
      </c>
      <c r="B621" s="1"/>
      <c r="C621" s="20">
        <v>1800</v>
      </c>
      <c r="D621" s="1"/>
      <c r="E621" s="1"/>
      <c r="F621" s="20">
        <f t="shared" si="90"/>
        <v>0</v>
      </c>
      <c r="G621" s="20"/>
      <c r="H621" s="20"/>
      <c r="I621" s="20" t="b">
        <f t="shared" si="87"/>
        <v>1</v>
      </c>
      <c r="J621" s="20"/>
      <c r="K621" s="20"/>
    </row>
    <row r="622" spans="1:11" ht="15.5" x14ac:dyDescent="0.35">
      <c r="A622" s="3" t="s">
        <v>99</v>
      </c>
      <c r="B622" s="1"/>
      <c r="C622" s="20">
        <v>3500</v>
      </c>
      <c r="D622" s="1"/>
      <c r="E622" s="1"/>
      <c r="F622" s="20">
        <f t="shared" si="90"/>
        <v>0</v>
      </c>
      <c r="G622" s="20"/>
      <c r="H622" s="20"/>
      <c r="I622" s="20" t="b">
        <f t="shared" si="87"/>
        <v>1</v>
      </c>
      <c r="J622" s="20"/>
      <c r="K622" s="20"/>
    </row>
    <row r="623" spans="1:11" ht="15.5" x14ac:dyDescent="0.35">
      <c r="A623" s="18"/>
    </row>
    <row r="625" spans="1:11" ht="15.5" x14ac:dyDescent="0.35">
      <c r="A625" s="24" t="s">
        <v>108</v>
      </c>
      <c r="J625" s="21"/>
    </row>
    <row r="626" spans="1:11" ht="15.5" x14ac:dyDescent="0.35">
      <c r="A626" s="18" t="s">
        <v>114</v>
      </c>
      <c r="B626" s="67">
        <v>45000</v>
      </c>
      <c r="J626" s="21"/>
    </row>
    <row r="627" spans="1:11" ht="15.5" x14ac:dyDescent="0.35">
      <c r="A627" s="18" t="s">
        <v>154</v>
      </c>
      <c r="B627" s="67">
        <v>92500</v>
      </c>
      <c r="C627" t="s">
        <v>243</v>
      </c>
      <c r="J627" s="21"/>
    </row>
    <row r="628" spans="1:11" ht="15.5" x14ac:dyDescent="0.35">
      <c r="A628" s="18" t="s">
        <v>112</v>
      </c>
      <c r="B628" s="67">
        <v>60000</v>
      </c>
      <c r="J628" s="21"/>
    </row>
    <row r="629" spans="1:11" ht="15.5" x14ac:dyDescent="0.35">
      <c r="A629" s="18" t="s">
        <v>110</v>
      </c>
      <c r="B629" s="67">
        <v>45000</v>
      </c>
    </row>
    <row r="630" spans="1:11" ht="15.5" x14ac:dyDescent="0.35">
      <c r="A630" s="18" t="s">
        <v>111</v>
      </c>
      <c r="B630" s="67">
        <v>45000</v>
      </c>
    </row>
    <row r="631" spans="1:11" ht="15.5" x14ac:dyDescent="0.35">
      <c r="A631" s="18" t="s">
        <v>196</v>
      </c>
      <c r="B631" s="67">
        <v>45000</v>
      </c>
    </row>
    <row r="632" spans="1:11" ht="15.5" x14ac:dyDescent="0.35">
      <c r="A632" s="18" t="s">
        <v>113</v>
      </c>
      <c r="B632" s="67">
        <v>45000</v>
      </c>
    </row>
    <row r="633" spans="1:11" ht="15.5" x14ac:dyDescent="0.35">
      <c r="A633" s="18" t="s">
        <v>209</v>
      </c>
      <c r="B633" s="67">
        <v>45000</v>
      </c>
    </row>
    <row r="634" spans="1:11" ht="15.5" x14ac:dyDescent="0.35">
      <c r="A634" s="18" t="s">
        <v>115</v>
      </c>
      <c r="B634" s="67">
        <v>60000</v>
      </c>
    </row>
    <row r="635" spans="1:11" ht="15.5" x14ac:dyDescent="0.35">
      <c r="A635" s="18" t="s">
        <v>122</v>
      </c>
      <c r="B635" s="67">
        <v>60000</v>
      </c>
    </row>
    <row r="636" spans="1:11" ht="15.5" x14ac:dyDescent="0.35">
      <c r="A636" s="18" t="s">
        <v>109</v>
      </c>
      <c r="B636" s="67">
        <v>45000</v>
      </c>
    </row>
    <row r="637" spans="1:11" ht="15.5" x14ac:dyDescent="0.35">
      <c r="A637" s="24" t="s">
        <v>4</v>
      </c>
      <c r="B637" s="75">
        <f>SUM(B626:B636)</f>
        <v>587500</v>
      </c>
    </row>
    <row r="640" spans="1:11" ht="18.5" x14ac:dyDescent="0.45">
      <c r="A640" s="149">
        <v>46045</v>
      </c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</row>
    <row r="642" spans="1:11" ht="18.5" x14ac:dyDescent="0.45">
      <c r="A642" s="2" t="s">
        <v>75</v>
      </c>
      <c r="B642" s="2" t="s">
        <v>3</v>
      </c>
      <c r="C642" s="2" t="s">
        <v>100</v>
      </c>
      <c r="D642" s="2" t="s">
        <v>90</v>
      </c>
      <c r="E642" s="2" t="s">
        <v>91</v>
      </c>
      <c r="F642" s="2" t="s">
        <v>4</v>
      </c>
      <c r="G642" s="2" t="s">
        <v>101</v>
      </c>
      <c r="H642" s="2" t="s">
        <v>104</v>
      </c>
      <c r="I642" s="2"/>
      <c r="J642" s="2" t="s">
        <v>105</v>
      </c>
      <c r="K642" s="2" t="s">
        <v>106</v>
      </c>
    </row>
    <row r="643" spans="1:11" ht="15.5" x14ac:dyDescent="0.35">
      <c r="A643" s="3" t="s">
        <v>76</v>
      </c>
      <c r="B643" s="1">
        <v>75</v>
      </c>
      <c r="C643" s="20">
        <v>17500</v>
      </c>
      <c r="D643" s="1">
        <v>26</v>
      </c>
      <c r="E643" s="1">
        <v>55</v>
      </c>
      <c r="F643" s="20">
        <f>C643*B643</f>
        <v>1312500</v>
      </c>
      <c r="G643" s="20">
        <f>D643*C643</f>
        <v>455000</v>
      </c>
      <c r="H643" s="20">
        <f>E643*C643</f>
        <v>962500</v>
      </c>
      <c r="I643" s="20" t="b">
        <f>E643+D643=B643</f>
        <v>0</v>
      </c>
      <c r="J643" s="20">
        <f>B680</f>
        <v>555000</v>
      </c>
      <c r="K643" s="20" t="s">
        <v>117</v>
      </c>
    </row>
    <row r="644" spans="1:11" ht="15.5" x14ac:dyDescent="0.35">
      <c r="A644" s="3" t="s">
        <v>77</v>
      </c>
      <c r="B644" s="1">
        <v>8</v>
      </c>
      <c r="C644" s="20">
        <v>16000</v>
      </c>
      <c r="D644" s="1">
        <v>5</v>
      </c>
      <c r="E644" s="1">
        <v>3</v>
      </c>
      <c r="F644" s="20">
        <f t="shared" ref="F644:F655" si="91">C644*B644</f>
        <v>128000</v>
      </c>
      <c r="G644" s="20">
        <f t="shared" ref="G644:G655" si="92">D644*C644</f>
        <v>80000</v>
      </c>
      <c r="H644" s="20">
        <f t="shared" ref="H644:H659" si="93">E644*C644</f>
        <v>48000</v>
      </c>
      <c r="I644" s="20" t="b">
        <f t="shared" ref="I644:I665" si="94">E644+D644=B644</f>
        <v>1</v>
      </c>
      <c r="J644" s="20">
        <v>10000</v>
      </c>
      <c r="K644" s="20" t="s">
        <v>191</v>
      </c>
    </row>
    <row r="645" spans="1:11" ht="15.5" x14ac:dyDescent="0.35">
      <c r="A645" s="3" t="s">
        <v>78</v>
      </c>
      <c r="B645" s="1">
        <v>58</v>
      </c>
      <c r="C645" s="20">
        <v>17500</v>
      </c>
      <c r="D645" s="1">
        <v>18</v>
      </c>
      <c r="E645" s="1">
        <v>40</v>
      </c>
      <c r="F645" s="20">
        <f t="shared" si="91"/>
        <v>1015000</v>
      </c>
      <c r="G645" s="20">
        <f t="shared" si="92"/>
        <v>315000</v>
      </c>
      <c r="H645" s="20">
        <f t="shared" si="93"/>
        <v>700000</v>
      </c>
      <c r="I645" s="20" t="b">
        <f t="shared" si="94"/>
        <v>1</v>
      </c>
      <c r="J645" s="20">
        <v>80700</v>
      </c>
      <c r="K645" s="20" t="s">
        <v>212</v>
      </c>
    </row>
    <row r="646" spans="1:11" ht="15.5" x14ac:dyDescent="0.35">
      <c r="A646" s="3" t="s">
        <v>79</v>
      </c>
      <c r="B646" s="1">
        <v>30</v>
      </c>
      <c r="C646" s="20">
        <v>18500</v>
      </c>
      <c r="D646" s="1">
        <v>4</v>
      </c>
      <c r="E646" s="1">
        <v>26</v>
      </c>
      <c r="F646" s="20">
        <f t="shared" si="91"/>
        <v>555000</v>
      </c>
      <c r="G646" s="20">
        <f t="shared" si="92"/>
        <v>74000</v>
      </c>
      <c r="H646" s="20">
        <f t="shared" si="93"/>
        <v>481000</v>
      </c>
      <c r="I646" s="20" t="b">
        <f t="shared" si="94"/>
        <v>1</v>
      </c>
      <c r="J646" s="20">
        <v>17500</v>
      </c>
      <c r="K646" s="20" t="s">
        <v>127</v>
      </c>
    </row>
    <row r="647" spans="1:11" ht="15.5" x14ac:dyDescent="0.35">
      <c r="A647" s="3" t="s">
        <v>80</v>
      </c>
      <c r="B647" s="1"/>
      <c r="C647" s="20">
        <v>18500</v>
      </c>
      <c r="D647" s="1"/>
      <c r="E647" s="1"/>
      <c r="F647" s="20">
        <f t="shared" si="91"/>
        <v>0</v>
      </c>
      <c r="G647" s="20">
        <f t="shared" si="92"/>
        <v>0</v>
      </c>
      <c r="H647" s="20">
        <f t="shared" si="93"/>
        <v>0</v>
      </c>
      <c r="I647" s="20" t="b">
        <f t="shared" si="94"/>
        <v>1</v>
      </c>
      <c r="J647" s="20">
        <v>320000</v>
      </c>
      <c r="K647" s="20" t="s">
        <v>107</v>
      </c>
    </row>
    <row r="648" spans="1:11" ht="15.5" x14ac:dyDescent="0.35">
      <c r="A648" s="3" t="s">
        <v>81</v>
      </c>
      <c r="B648" s="1"/>
      <c r="C648" s="20">
        <v>23000</v>
      </c>
      <c r="D648" s="1"/>
      <c r="E648" s="1"/>
      <c r="F648" s="20">
        <f t="shared" si="91"/>
        <v>0</v>
      </c>
      <c r="G648" s="20">
        <f t="shared" si="92"/>
        <v>0</v>
      </c>
      <c r="H648" s="20">
        <f t="shared" si="93"/>
        <v>0</v>
      </c>
      <c r="I648" s="20" t="b">
        <f t="shared" si="94"/>
        <v>1</v>
      </c>
      <c r="J648" s="20"/>
      <c r="K648" s="20"/>
    </row>
    <row r="649" spans="1:11" ht="15.5" x14ac:dyDescent="0.35">
      <c r="A649" s="3" t="s">
        <v>82</v>
      </c>
      <c r="B649" s="1"/>
      <c r="C649" s="20">
        <v>18000</v>
      </c>
      <c r="D649" s="1"/>
      <c r="E649" s="1"/>
      <c r="F649" s="20">
        <f t="shared" si="91"/>
        <v>0</v>
      </c>
      <c r="G649" s="20">
        <f t="shared" si="92"/>
        <v>0</v>
      </c>
      <c r="H649" s="20">
        <f t="shared" si="93"/>
        <v>0</v>
      </c>
      <c r="I649" s="20" t="b">
        <f t="shared" si="94"/>
        <v>1</v>
      </c>
      <c r="J649" s="20"/>
      <c r="K649" s="20"/>
    </row>
    <row r="650" spans="1:11" ht="15.5" x14ac:dyDescent="0.35">
      <c r="A650" s="3" t="s">
        <v>83</v>
      </c>
      <c r="B650" s="1"/>
      <c r="C650" s="20">
        <v>18000</v>
      </c>
      <c r="D650" s="11"/>
      <c r="E650" s="1"/>
      <c r="F650" s="20">
        <f t="shared" si="91"/>
        <v>0</v>
      </c>
      <c r="G650" s="20">
        <f t="shared" si="92"/>
        <v>0</v>
      </c>
      <c r="H650" s="20">
        <f t="shared" si="93"/>
        <v>0</v>
      </c>
      <c r="I650" s="20" t="b">
        <f t="shared" si="94"/>
        <v>1</v>
      </c>
      <c r="J650" s="20"/>
      <c r="K650" s="20"/>
    </row>
    <row r="651" spans="1:11" ht="15.5" x14ac:dyDescent="0.35">
      <c r="A651" s="3" t="s">
        <v>84</v>
      </c>
      <c r="B651" s="1"/>
      <c r="C651" s="20">
        <v>18500</v>
      </c>
      <c r="D651" s="1"/>
      <c r="E651" s="1"/>
      <c r="F651" s="20">
        <f t="shared" si="91"/>
        <v>0</v>
      </c>
      <c r="G651" s="20">
        <f t="shared" si="92"/>
        <v>0</v>
      </c>
      <c r="H651" s="20">
        <f t="shared" si="93"/>
        <v>0</v>
      </c>
      <c r="I651" s="20" t="b">
        <f t="shared" si="94"/>
        <v>1</v>
      </c>
      <c r="J651" s="20"/>
      <c r="K651" s="20"/>
    </row>
    <row r="652" spans="1:11" ht="15.5" x14ac:dyDescent="0.35">
      <c r="A652" s="3" t="s">
        <v>85</v>
      </c>
      <c r="B652" s="1">
        <v>35</v>
      </c>
      <c r="C652" s="20">
        <v>18500</v>
      </c>
      <c r="D652" s="1">
        <v>17</v>
      </c>
      <c r="E652" s="1">
        <v>18</v>
      </c>
      <c r="F652" s="20">
        <f t="shared" si="91"/>
        <v>647500</v>
      </c>
      <c r="G652" s="20">
        <f t="shared" si="92"/>
        <v>314500</v>
      </c>
      <c r="H652" s="20">
        <f t="shared" si="93"/>
        <v>333000</v>
      </c>
      <c r="I652" s="20" t="b">
        <f t="shared" si="94"/>
        <v>1</v>
      </c>
      <c r="J652" s="20"/>
      <c r="K652" s="20"/>
    </row>
    <row r="653" spans="1:11" ht="15.5" x14ac:dyDescent="0.35">
      <c r="A653" s="3" t="s">
        <v>86</v>
      </c>
      <c r="B653" s="1">
        <v>7</v>
      </c>
      <c r="C653" s="20">
        <v>18500</v>
      </c>
      <c r="D653" s="1">
        <v>3</v>
      </c>
      <c r="E653" s="1">
        <v>4</v>
      </c>
      <c r="F653" s="20">
        <f t="shared" si="91"/>
        <v>129500</v>
      </c>
      <c r="G653" s="20">
        <f t="shared" si="92"/>
        <v>55500</v>
      </c>
      <c r="H653" s="20">
        <f t="shared" si="93"/>
        <v>74000</v>
      </c>
      <c r="I653" s="20" t="b">
        <f t="shared" si="94"/>
        <v>1</v>
      </c>
      <c r="J653" s="20"/>
      <c r="K653" s="20"/>
    </row>
    <row r="654" spans="1:11" ht="15.5" x14ac:dyDescent="0.35">
      <c r="A654" s="3" t="s">
        <v>87</v>
      </c>
      <c r="B654" s="1"/>
      <c r="C654" s="20">
        <v>18500</v>
      </c>
      <c r="D654" s="1"/>
      <c r="E654" s="1"/>
      <c r="F654" s="20">
        <f t="shared" si="91"/>
        <v>0</v>
      </c>
      <c r="G654" s="20">
        <f t="shared" si="92"/>
        <v>0</v>
      </c>
      <c r="H654" s="20">
        <f t="shared" si="93"/>
        <v>0</v>
      </c>
      <c r="I654" s="20" t="b">
        <f t="shared" si="94"/>
        <v>1</v>
      </c>
      <c r="J654" s="20"/>
      <c r="K654" s="20"/>
    </row>
    <row r="655" spans="1:11" ht="15.5" x14ac:dyDescent="0.35">
      <c r="A655" s="3" t="s">
        <v>88</v>
      </c>
      <c r="B655" s="1">
        <v>9</v>
      </c>
      <c r="C655" s="20">
        <v>18500</v>
      </c>
      <c r="D655" s="1">
        <v>5</v>
      </c>
      <c r="E655" s="1">
        <v>4</v>
      </c>
      <c r="F655" s="20">
        <f t="shared" si="91"/>
        <v>166500</v>
      </c>
      <c r="G655" s="20">
        <f t="shared" si="92"/>
        <v>92500</v>
      </c>
      <c r="H655" s="20">
        <f t="shared" si="93"/>
        <v>74000</v>
      </c>
      <c r="I655" s="20" t="b">
        <f t="shared" si="94"/>
        <v>1</v>
      </c>
      <c r="J655" s="20"/>
      <c r="K655" s="20"/>
    </row>
    <row r="656" spans="1:11" ht="15.5" x14ac:dyDescent="0.35">
      <c r="A656" s="19" t="s">
        <v>89</v>
      </c>
      <c r="B656" s="1"/>
      <c r="C656" s="20"/>
      <c r="D656" s="1"/>
      <c r="E656" s="1"/>
      <c r="F656" s="20"/>
      <c r="G656" s="20"/>
      <c r="H656" s="20"/>
      <c r="I656" s="20"/>
      <c r="J656" s="20"/>
      <c r="K656" s="20"/>
    </row>
    <row r="657" spans="1:11" ht="15.5" x14ac:dyDescent="0.35">
      <c r="A657" s="3" t="s">
        <v>92</v>
      </c>
      <c r="B657" s="1">
        <v>30</v>
      </c>
      <c r="C657" s="20">
        <v>21500</v>
      </c>
      <c r="D657" s="1">
        <v>12</v>
      </c>
      <c r="E657" s="1">
        <v>18</v>
      </c>
      <c r="F657" s="20">
        <f t="shared" ref="F657:F659" si="95">C657*B657</f>
        <v>645000</v>
      </c>
      <c r="G657" s="20">
        <f t="shared" ref="G657:G659" si="96">D657*C657</f>
        <v>258000</v>
      </c>
      <c r="H657" s="20">
        <f t="shared" si="93"/>
        <v>387000</v>
      </c>
      <c r="I657" s="20" t="b">
        <f t="shared" si="94"/>
        <v>1</v>
      </c>
      <c r="J657" s="20"/>
      <c r="K657" s="20"/>
    </row>
    <row r="658" spans="1:11" ht="15.5" x14ac:dyDescent="0.35">
      <c r="A658" s="3" t="s">
        <v>93</v>
      </c>
      <c r="B658" s="1"/>
      <c r="C658" s="20">
        <v>21500</v>
      </c>
      <c r="D658" s="1"/>
      <c r="E658" s="1"/>
      <c r="F658" s="20">
        <f t="shared" si="95"/>
        <v>0</v>
      </c>
      <c r="G658" s="20">
        <f t="shared" si="96"/>
        <v>0</v>
      </c>
      <c r="H658" s="20">
        <f t="shared" si="93"/>
        <v>0</v>
      </c>
      <c r="I658" s="20" t="b">
        <f t="shared" si="94"/>
        <v>1</v>
      </c>
      <c r="J658" s="20"/>
      <c r="K658" s="20"/>
    </row>
    <row r="659" spans="1:11" ht="15.5" x14ac:dyDescent="0.35">
      <c r="A659" s="3" t="s">
        <v>94</v>
      </c>
      <c r="B659" s="1">
        <v>30</v>
      </c>
      <c r="C659" s="20">
        <v>21500</v>
      </c>
      <c r="D659" s="1">
        <v>19</v>
      </c>
      <c r="E659" s="1">
        <v>11</v>
      </c>
      <c r="F659" s="20">
        <f t="shared" si="95"/>
        <v>645000</v>
      </c>
      <c r="G659" s="20">
        <f t="shared" si="96"/>
        <v>408500</v>
      </c>
      <c r="H659" s="20">
        <f t="shared" si="93"/>
        <v>236500</v>
      </c>
      <c r="I659" s="20" t="b">
        <f t="shared" si="94"/>
        <v>1</v>
      </c>
      <c r="J659" s="20"/>
      <c r="K659" s="20"/>
    </row>
    <row r="660" spans="1:11" ht="15.5" x14ac:dyDescent="0.35">
      <c r="A660" s="19"/>
      <c r="B660" s="22">
        <f>SUM(B643:B659)</f>
        <v>282</v>
      </c>
      <c r="C660" s="20"/>
      <c r="D660" s="1"/>
      <c r="E660" s="1"/>
      <c r="F660" s="23">
        <f>SUM(F643:F659)</f>
        <v>5244000</v>
      </c>
      <c r="G660" s="23">
        <f>SUM(G643:G659)</f>
        <v>2053000</v>
      </c>
      <c r="H660" s="23">
        <f>SUM(H643:H659)</f>
        <v>3296000</v>
      </c>
      <c r="I660" s="20"/>
      <c r="J660" s="23">
        <f>SUM(J643:J659)</f>
        <v>983200</v>
      </c>
      <c r="K660" s="23">
        <f>H660-J660</f>
        <v>2312800</v>
      </c>
    </row>
    <row r="661" spans="1:11" ht="15.5" x14ac:dyDescent="0.35">
      <c r="A661" s="19" t="s">
        <v>95</v>
      </c>
      <c r="B661" s="1"/>
      <c r="C661" s="20"/>
      <c r="D661" s="1"/>
      <c r="E661" s="1"/>
      <c r="F661" s="20"/>
      <c r="G661" s="20"/>
      <c r="H661" s="20"/>
      <c r="I661" s="20" t="b">
        <f t="shared" si="94"/>
        <v>1</v>
      </c>
      <c r="J661" s="20"/>
      <c r="K661" s="20"/>
    </row>
    <row r="662" spans="1:11" ht="15.5" x14ac:dyDescent="0.35">
      <c r="A662" s="3" t="s">
        <v>96</v>
      </c>
      <c r="B662" s="1"/>
      <c r="C662" s="20">
        <v>3000</v>
      </c>
      <c r="D662" s="1"/>
      <c r="E662" s="1"/>
      <c r="F662" s="20">
        <f t="shared" ref="F662:F665" si="97">C662*B662</f>
        <v>0</v>
      </c>
      <c r="G662" s="20"/>
      <c r="H662" s="20"/>
      <c r="I662" s="20" t="b">
        <f t="shared" si="94"/>
        <v>1</v>
      </c>
      <c r="J662" s="20"/>
      <c r="K662" s="20"/>
    </row>
    <row r="663" spans="1:11" ht="15.5" x14ac:dyDescent="0.35">
      <c r="A663" s="3" t="s">
        <v>97</v>
      </c>
      <c r="B663" s="1"/>
      <c r="C663" s="20">
        <v>2500</v>
      </c>
      <c r="D663" s="1"/>
      <c r="E663" s="1"/>
      <c r="F663" s="20">
        <f t="shared" si="97"/>
        <v>0</v>
      </c>
      <c r="G663" s="20"/>
      <c r="H663" s="20"/>
      <c r="I663" s="20" t="b">
        <f t="shared" si="94"/>
        <v>1</v>
      </c>
      <c r="J663" s="20"/>
      <c r="K663" s="20"/>
    </row>
    <row r="664" spans="1:11" ht="15.5" x14ac:dyDescent="0.35">
      <c r="A664" s="3" t="s">
        <v>98</v>
      </c>
      <c r="B664" s="1"/>
      <c r="C664" s="20">
        <v>1800</v>
      </c>
      <c r="D664" s="1"/>
      <c r="E664" s="1"/>
      <c r="F664" s="20">
        <f t="shared" si="97"/>
        <v>0</v>
      </c>
      <c r="G664" s="20"/>
      <c r="H664" s="20"/>
      <c r="I664" s="20" t="b">
        <f t="shared" si="94"/>
        <v>1</v>
      </c>
      <c r="J664" s="20"/>
      <c r="K664" s="20"/>
    </row>
    <row r="665" spans="1:11" ht="15.5" x14ac:dyDescent="0.35">
      <c r="A665" s="3" t="s">
        <v>99</v>
      </c>
      <c r="B665" s="1"/>
      <c r="C665" s="20">
        <v>3500</v>
      </c>
      <c r="D665" s="1"/>
      <c r="E665" s="1"/>
      <c r="F665" s="20">
        <f t="shared" si="97"/>
        <v>0</v>
      </c>
      <c r="G665" s="20"/>
      <c r="H665" s="20"/>
      <c r="I665" s="20" t="b">
        <f t="shared" si="94"/>
        <v>1</v>
      </c>
      <c r="J665" s="20"/>
      <c r="K665" s="20"/>
    </row>
    <row r="666" spans="1:11" ht="15.5" x14ac:dyDescent="0.35">
      <c r="A666" s="18"/>
    </row>
    <row r="668" spans="1:11" ht="15.5" x14ac:dyDescent="0.35">
      <c r="A668" s="24" t="s">
        <v>108</v>
      </c>
      <c r="J668" s="21"/>
    </row>
    <row r="669" spans="1:11" ht="15.5" x14ac:dyDescent="0.35">
      <c r="A669" s="18" t="s">
        <v>114</v>
      </c>
      <c r="B669" s="67">
        <v>45000</v>
      </c>
      <c r="J669" s="21"/>
    </row>
    <row r="670" spans="1:11" ht="15.5" x14ac:dyDescent="0.35">
      <c r="A670" s="18" t="s">
        <v>154</v>
      </c>
      <c r="B670" s="67">
        <v>60000</v>
      </c>
      <c r="J670" s="21"/>
    </row>
    <row r="671" spans="1:11" ht="15.5" x14ac:dyDescent="0.35">
      <c r="A671" s="18" t="s">
        <v>112</v>
      </c>
      <c r="B671" s="67">
        <v>60000</v>
      </c>
      <c r="J671" s="21"/>
    </row>
    <row r="672" spans="1:11" ht="15.5" x14ac:dyDescent="0.35">
      <c r="A672" s="18" t="s">
        <v>110</v>
      </c>
      <c r="B672" s="67">
        <v>45000</v>
      </c>
    </row>
    <row r="673" spans="1:11" ht="15.5" x14ac:dyDescent="0.35">
      <c r="A673" s="18" t="s">
        <v>111</v>
      </c>
      <c r="B673" s="67">
        <v>45000</v>
      </c>
    </row>
    <row r="674" spans="1:11" ht="15.5" x14ac:dyDescent="0.35">
      <c r="A674" s="18" t="s">
        <v>196</v>
      </c>
      <c r="B674" s="67">
        <v>45000</v>
      </c>
    </row>
    <row r="675" spans="1:11" ht="15.5" x14ac:dyDescent="0.35">
      <c r="A675" s="18" t="s">
        <v>113</v>
      </c>
      <c r="B675" s="67">
        <v>45000</v>
      </c>
    </row>
    <row r="676" spans="1:11" ht="15.5" x14ac:dyDescent="0.35">
      <c r="A676" s="18" t="s">
        <v>209</v>
      </c>
      <c r="B676" s="67">
        <v>45000</v>
      </c>
    </row>
    <row r="677" spans="1:11" ht="15.5" x14ac:dyDescent="0.35">
      <c r="A677" s="18" t="s">
        <v>115</v>
      </c>
      <c r="B677" s="67">
        <v>60000</v>
      </c>
    </row>
    <row r="678" spans="1:11" ht="15.5" x14ac:dyDescent="0.35">
      <c r="A678" s="18" t="s">
        <v>122</v>
      </c>
      <c r="B678" s="67">
        <v>60000</v>
      </c>
    </row>
    <row r="679" spans="1:11" ht="15.5" x14ac:dyDescent="0.35">
      <c r="A679" s="18" t="s">
        <v>109</v>
      </c>
      <c r="B679" s="67">
        <v>45000</v>
      </c>
    </row>
    <row r="680" spans="1:11" ht="15.5" x14ac:dyDescent="0.35">
      <c r="A680" s="24" t="s">
        <v>4</v>
      </c>
      <c r="B680" s="75">
        <f>SUM(B669:B679)</f>
        <v>555000</v>
      </c>
    </row>
    <row r="683" spans="1:11" ht="18.5" x14ac:dyDescent="0.45">
      <c r="A683" s="149">
        <v>46046</v>
      </c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</row>
    <row r="685" spans="1:11" ht="18.5" x14ac:dyDescent="0.45">
      <c r="A685" s="2" t="s">
        <v>75</v>
      </c>
      <c r="B685" s="2" t="s">
        <v>3</v>
      </c>
      <c r="C685" s="2" t="s">
        <v>100</v>
      </c>
      <c r="D685" s="2" t="s">
        <v>90</v>
      </c>
      <c r="E685" s="2" t="s">
        <v>91</v>
      </c>
      <c r="F685" s="2" t="s">
        <v>4</v>
      </c>
      <c r="G685" s="2" t="s">
        <v>101</v>
      </c>
      <c r="H685" s="2" t="s">
        <v>104</v>
      </c>
      <c r="I685" s="2"/>
      <c r="J685" s="2" t="s">
        <v>105</v>
      </c>
      <c r="K685" s="2" t="s">
        <v>106</v>
      </c>
    </row>
    <row r="686" spans="1:11" ht="15.5" x14ac:dyDescent="0.35">
      <c r="A686" s="3" t="s">
        <v>76</v>
      </c>
      <c r="B686" s="1">
        <v>40</v>
      </c>
      <c r="C686" s="20">
        <v>17500</v>
      </c>
      <c r="D686" s="1">
        <v>15</v>
      </c>
      <c r="E686" s="1">
        <v>25</v>
      </c>
      <c r="F686" s="20">
        <f>C686*B686</f>
        <v>700000</v>
      </c>
      <c r="G686" s="20">
        <f>D686*C686</f>
        <v>262500</v>
      </c>
      <c r="H686" s="20">
        <f>E686*C686</f>
        <v>437500</v>
      </c>
      <c r="I686" s="20" t="b">
        <f>E686+D686=B686</f>
        <v>1</v>
      </c>
      <c r="J686" s="20">
        <f>B717</f>
        <v>300000</v>
      </c>
      <c r="K686" s="20" t="s">
        <v>117</v>
      </c>
    </row>
    <row r="687" spans="1:11" ht="15.5" x14ac:dyDescent="0.35">
      <c r="A687" s="3" t="s">
        <v>77</v>
      </c>
      <c r="B687" s="1">
        <v>23</v>
      </c>
      <c r="C687" s="20">
        <v>16000</v>
      </c>
      <c r="D687" s="1">
        <v>4</v>
      </c>
      <c r="E687" s="1">
        <v>19</v>
      </c>
      <c r="F687" s="20">
        <f t="shared" ref="F687:F698" si="98">C687*B687</f>
        <v>368000</v>
      </c>
      <c r="G687" s="20">
        <f t="shared" ref="G687:G698" si="99">D687*C687</f>
        <v>64000</v>
      </c>
      <c r="H687" s="20">
        <f t="shared" ref="H687:H702" si="100">E687*C687</f>
        <v>304000</v>
      </c>
      <c r="I687" s="20" t="b">
        <f t="shared" ref="I687:I708" si="101">E687+D687=B687</f>
        <v>1</v>
      </c>
      <c r="J687" s="20">
        <v>7000</v>
      </c>
      <c r="K687" s="20" t="s">
        <v>191</v>
      </c>
    </row>
    <row r="688" spans="1:11" ht="15.5" x14ac:dyDescent="0.35">
      <c r="A688" s="3" t="s">
        <v>78</v>
      </c>
      <c r="B688" s="1">
        <v>38</v>
      </c>
      <c r="C688" s="20">
        <v>17500</v>
      </c>
      <c r="D688" s="1">
        <v>16</v>
      </c>
      <c r="E688" s="1">
        <v>22</v>
      </c>
      <c r="F688" s="20">
        <f t="shared" si="98"/>
        <v>665000</v>
      </c>
      <c r="G688" s="20">
        <f t="shared" si="99"/>
        <v>280000</v>
      </c>
      <c r="H688" s="20">
        <f t="shared" si="100"/>
        <v>385000</v>
      </c>
      <c r="I688" s="20" t="b">
        <f t="shared" si="101"/>
        <v>1</v>
      </c>
      <c r="J688" s="20">
        <v>24000</v>
      </c>
      <c r="K688" s="20" t="s">
        <v>249</v>
      </c>
    </row>
    <row r="689" spans="1:11" ht="15.5" x14ac:dyDescent="0.35">
      <c r="A689" s="3" t="s">
        <v>79</v>
      </c>
      <c r="B689" s="1">
        <v>16</v>
      </c>
      <c r="C689" s="20">
        <v>18500</v>
      </c>
      <c r="D689" s="1">
        <v>6</v>
      </c>
      <c r="E689" s="1">
        <v>10</v>
      </c>
      <c r="F689" s="20">
        <f t="shared" si="98"/>
        <v>296000</v>
      </c>
      <c r="G689" s="20">
        <f t="shared" si="99"/>
        <v>111000</v>
      </c>
      <c r="H689" s="20">
        <f t="shared" si="100"/>
        <v>185000</v>
      </c>
      <c r="I689" s="20" t="b">
        <f t="shared" si="101"/>
        <v>1</v>
      </c>
      <c r="J689" s="20">
        <v>25000</v>
      </c>
      <c r="K689" s="20" t="s">
        <v>107</v>
      </c>
    </row>
    <row r="690" spans="1:11" ht="15.5" x14ac:dyDescent="0.35">
      <c r="A690" s="3" t="s">
        <v>80</v>
      </c>
      <c r="B690" s="1">
        <v>17</v>
      </c>
      <c r="C690" s="20">
        <v>18500</v>
      </c>
      <c r="D690" s="1">
        <v>3</v>
      </c>
      <c r="E690" s="1">
        <v>14</v>
      </c>
      <c r="F690" s="20">
        <f t="shared" si="98"/>
        <v>314500</v>
      </c>
      <c r="G690" s="20">
        <f t="shared" si="99"/>
        <v>55500</v>
      </c>
      <c r="H690" s="20">
        <f t="shared" si="100"/>
        <v>259000</v>
      </c>
      <c r="I690" s="20" t="b">
        <f t="shared" si="101"/>
        <v>1</v>
      </c>
      <c r="J690" s="20">
        <v>12000</v>
      </c>
      <c r="K690" s="20" t="s">
        <v>247</v>
      </c>
    </row>
    <row r="691" spans="1:11" ht="15.5" x14ac:dyDescent="0.35">
      <c r="A691" s="3" t="s">
        <v>81</v>
      </c>
      <c r="B691" s="1">
        <v>9</v>
      </c>
      <c r="C691" s="20">
        <v>23000</v>
      </c>
      <c r="D691" s="1"/>
      <c r="E691" s="1">
        <v>9</v>
      </c>
      <c r="F691" s="20">
        <f t="shared" si="98"/>
        <v>207000</v>
      </c>
      <c r="G691" s="20">
        <f t="shared" si="99"/>
        <v>0</v>
      </c>
      <c r="H691" s="20">
        <f t="shared" si="100"/>
        <v>207000</v>
      </c>
      <c r="I691" s="20" t="b">
        <f t="shared" si="101"/>
        <v>1</v>
      </c>
      <c r="J691" s="20">
        <v>110000</v>
      </c>
      <c r="K691" s="20" t="s">
        <v>140</v>
      </c>
    </row>
    <row r="692" spans="1:11" ht="15.5" x14ac:dyDescent="0.35">
      <c r="A692" s="3" t="s">
        <v>82</v>
      </c>
      <c r="B692" s="1"/>
      <c r="C692" s="20">
        <v>18000</v>
      </c>
      <c r="D692" s="1"/>
      <c r="E692" s="1"/>
      <c r="F692" s="20">
        <f t="shared" si="98"/>
        <v>0</v>
      </c>
      <c r="G692" s="20">
        <f t="shared" si="99"/>
        <v>0</v>
      </c>
      <c r="H692" s="20">
        <f t="shared" si="100"/>
        <v>0</v>
      </c>
      <c r="I692" s="20" t="b">
        <f t="shared" si="101"/>
        <v>1</v>
      </c>
      <c r="J692" s="20"/>
      <c r="K692" s="20"/>
    </row>
    <row r="693" spans="1:11" ht="15.5" x14ac:dyDescent="0.35">
      <c r="A693" s="3" t="s">
        <v>83</v>
      </c>
      <c r="B693" s="1"/>
      <c r="C693" s="20">
        <v>18000</v>
      </c>
      <c r="D693" s="11"/>
      <c r="E693" s="1"/>
      <c r="F693" s="20">
        <f t="shared" si="98"/>
        <v>0</v>
      </c>
      <c r="G693" s="20">
        <f t="shared" si="99"/>
        <v>0</v>
      </c>
      <c r="H693" s="20">
        <f t="shared" si="100"/>
        <v>0</v>
      </c>
      <c r="I693" s="20" t="b">
        <f t="shared" si="101"/>
        <v>1</v>
      </c>
      <c r="J693" s="20"/>
      <c r="K693" s="20"/>
    </row>
    <row r="694" spans="1:11" ht="15.5" x14ac:dyDescent="0.35">
      <c r="A694" s="3" t="s">
        <v>84</v>
      </c>
      <c r="B694" s="1"/>
      <c r="C694" s="20">
        <v>18500</v>
      </c>
      <c r="D694" s="1"/>
      <c r="E694" s="1"/>
      <c r="F694" s="20">
        <f t="shared" si="98"/>
        <v>0</v>
      </c>
      <c r="G694" s="20">
        <f t="shared" si="99"/>
        <v>0</v>
      </c>
      <c r="H694" s="20">
        <f t="shared" si="100"/>
        <v>0</v>
      </c>
      <c r="I694" s="20" t="b">
        <f t="shared" si="101"/>
        <v>1</v>
      </c>
      <c r="J694" s="20"/>
      <c r="K694" s="20"/>
    </row>
    <row r="695" spans="1:11" ht="15.5" x14ac:dyDescent="0.35">
      <c r="A695" s="3" t="s">
        <v>85</v>
      </c>
      <c r="B695" s="1">
        <v>23</v>
      </c>
      <c r="C695" s="20">
        <v>18500</v>
      </c>
      <c r="D695" s="1">
        <v>8</v>
      </c>
      <c r="E695" s="1">
        <v>15</v>
      </c>
      <c r="F695" s="20">
        <f t="shared" si="98"/>
        <v>425500</v>
      </c>
      <c r="G695" s="20">
        <f t="shared" si="99"/>
        <v>148000</v>
      </c>
      <c r="H695" s="20">
        <f t="shared" si="100"/>
        <v>277500</v>
      </c>
      <c r="I695" s="20" t="b">
        <f t="shared" si="101"/>
        <v>1</v>
      </c>
      <c r="J695" s="20"/>
      <c r="K695" s="20"/>
    </row>
    <row r="696" spans="1:11" ht="15.5" x14ac:dyDescent="0.35">
      <c r="A696" s="3" t="s">
        <v>86</v>
      </c>
      <c r="B696" s="1">
        <v>2</v>
      </c>
      <c r="C696" s="20">
        <v>18500</v>
      </c>
      <c r="D696" s="1"/>
      <c r="E696" s="1">
        <v>2</v>
      </c>
      <c r="F696" s="20">
        <f t="shared" si="98"/>
        <v>37000</v>
      </c>
      <c r="G696" s="20">
        <f t="shared" si="99"/>
        <v>0</v>
      </c>
      <c r="H696" s="20">
        <f t="shared" si="100"/>
        <v>37000</v>
      </c>
      <c r="I696" s="20" t="b">
        <f t="shared" si="101"/>
        <v>1</v>
      </c>
      <c r="J696" s="20"/>
      <c r="K696" s="20"/>
    </row>
    <row r="697" spans="1:11" ht="15.5" x14ac:dyDescent="0.35">
      <c r="A697" s="3" t="s">
        <v>87</v>
      </c>
      <c r="B697" s="1">
        <v>1</v>
      </c>
      <c r="C697" s="20">
        <v>18500</v>
      </c>
      <c r="D697" s="1">
        <v>1</v>
      </c>
      <c r="E697" s="1"/>
      <c r="F697" s="20">
        <f t="shared" si="98"/>
        <v>18500</v>
      </c>
      <c r="G697" s="20">
        <f t="shared" si="99"/>
        <v>18500</v>
      </c>
      <c r="H697" s="20">
        <f t="shared" si="100"/>
        <v>0</v>
      </c>
      <c r="I697" s="20" t="b">
        <f t="shared" si="101"/>
        <v>1</v>
      </c>
      <c r="J697" s="20"/>
      <c r="K697" s="20"/>
    </row>
    <row r="698" spans="1:11" ht="15.5" x14ac:dyDescent="0.35">
      <c r="A698" s="3" t="s">
        <v>88</v>
      </c>
      <c r="B698" s="1"/>
      <c r="C698" s="20">
        <v>18500</v>
      </c>
      <c r="D698" s="1"/>
      <c r="E698" s="1"/>
      <c r="F698" s="20">
        <f t="shared" si="98"/>
        <v>0</v>
      </c>
      <c r="G698" s="20">
        <f t="shared" si="99"/>
        <v>0</v>
      </c>
      <c r="H698" s="20">
        <f t="shared" si="100"/>
        <v>0</v>
      </c>
      <c r="I698" s="20" t="b">
        <f t="shared" si="101"/>
        <v>1</v>
      </c>
      <c r="J698" s="20"/>
      <c r="K698" s="20"/>
    </row>
    <row r="699" spans="1:11" ht="15.5" x14ac:dyDescent="0.35">
      <c r="A699" s="19" t="s">
        <v>89</v>
      </c>
      <c r="B699" s="1"/>
      <c r="C699" s="20"/>
      <c r="D699" s="1"/>
      <c r="E699" s="1"/>
      <c r="F699" s="20"/>
      <c r="G699" s="20"/>
      <c r="H699" s="20"/>
      <c r="I699" s="20"/>
      <c r="J699" s="20"/>
      <c r="K699" s="20"/>
    </row>
    <row r="700" spans="1:11" ht="15.5" x14ac:dyDescent="0.35">
      <c r="A700" s="3" t="s">
        <v>92</v>
      </c>
      <c r="B700" s="1">
        <v>25</v>
      </c>
      <c r="C700" s="20">
        <v>21500</v>
      </c>
      <c r="D700" s="1">
        <v>10</v>
      </c>
      <c r="E700" s="1">
        <v>15</v>
      </c>
      <c r="F700" s="20">
        <f t="shared" ref="F700:F702" si="102">C700*B700</f>
        <v>537500</v>
      </c>
      <c r="G700" s="20">
        <f t="shared" ref="G700:G702" si="103">D700*C700</f>
        <v>215000</v>
      </c>
      <c r="H700" s="20">
        <f t="shared" si="100"/>
        <v>322500</v>
      </c>
      <c r="I700" s="20" t="b">
        <f t="shared" si="101"/>
        <v>1</v>
      </c>
      <c r="J700" s="20"/>
      <c r="K700" s="20"/>
    </row>
    <row r="701" spans="1:11" ht="15.5" x14ac:dyDescent="0.35">
      <c r="A701" s="3" t="s">
        <v>93</v>
      </c>
      <c r="B701" s="1">
        <v>4</v>
      </c>
      <c r="C701" s="20">
        <v>21500</v>
      </c>
      <c r="D701" s="1">
        <v>1</v>
      </c>
      <c r="E701" s="1">
        <v>3</v>
      </c>
      <c r="F701" s="20">
        <f t="shared" si="102"/>
        <v>86000</v>
      </c>
      <c r="G701" s="20">
        <f t="shared" si="103"/>
        <v>21500</v>
      </c>
      <c r="H701" s="20">
        <f t="shared" si="100"/>
        <v>64500</v>
      </c>
      <c r="I701" s="20" t="b">
        <f t="shared" si="101"/>
        <v>1</v>
      </c>
      <c r="J701" s="20"/>
      <c r="K701" s="20"/>
    </row>
    <row r="702" spans="1:11" ht="15.5" x14ac:dyDescent="0.35">
      <c r="A702" s="3" t="s">
        <v>94</v>
      </c>
      <c r="B702" s="1"/>
      <c r="C702" s="20">
        <v>21500</v>
      </c>
      <c r="D702" s="1"/>
      <c r="E702" s="1"/>
      <c r="F702" s="20">
        <f t="shared" si="102"/>
        <v>0</v>
      </c>
      <c r="G702" s="20">
        <f t="shared" si="103"/>
        <v>0</v>
      </c>
      <c r="H702" s="20">
        <f t="shared" si="100"/>
        <v>0</v>
      </c>
      <c r="I702" s="20" t="b">
        <f t="shared" si="101"/>
        <v>1</v>
      </c>
      <c r="J702" s="20"/>
      <c r="K702" s="20"/>
    </row>
    <row r="703" spans="1:11" ht="15.5" x14ac:dyDescent="0.35">
      <c r="A703" s="19"/>
      <c r="B703" s="22">
        <f>SUM(B686:B702)</f>
        <v>198</v>
      </c>
      <c r="C703" s="20"/>
      <c r="D703" s="1"/>
      <c r="E703" s="1"/>
      <c r="F703" s="23">
        <f>SUM(F686:F702)</f>
        <v>3655000</v>
      </c>
      <c r="G703" s="23">
        <f>SUM(G686:G702)</f>
        <v>1176000</v>
      </c>
      <c r="H703" s="23">
        <f>SUM(H686:H702)</f>
        <v>2479000</v>
      </c>
      <c r="I703" s="20"/>
      <c r="J703" s="23">
        <f>SUM(J686:J702)</f>
        <v>478000</v>
      </c>
      <c r="K703" s="23">
        <f>H703-J703</f>
        <v>2001000</v>
      </c>
    </row>
    <row r="704" spans="1:11" ht="15.5" x14ac:dyDescent="0.35">
      <c r="A704" s="19" t="s">
        <v>95</v>
      </c>
      <c r="B704" s="1"/>
      <c r="C704" s="20"/>
      <c r="D704" s="1"/>
      <c r="E704" s="1"/>
      <c r="F704" s="20"/>
      <c r="G704" s="20"/>
      <c r="H704" s="20"/>
      <c r="I704" s="20"/>
      <c r="J704" s="20"/>
      <c r="K704" s="20"/>
    </row>
    <row r="705" spans="1:11" ht="15.5" x14ac:dyDescent="0.35">
      <c r="A705" s="3" t="s">
        <v>96</v>
      </c>
      <c r="B705" s="1"/>
      <c r="C705" s="20">
        <v>3000</v>
      </c>
      <c r="D705" s="1"/>
      <c r="E705" s="1"/>
      <c r="F705" s="20">
        <f t="shared" ref="F705:F708" si="104">C705*B705</f>
        <v>0</v>
      </c>
      <c r="G705" s="20"/>
      <c r="H705" s="20"/>
      <c r="I705" s="20" t="b">
        <f t="shared" si="101"/>
        <v>1</v>
      </c>
      <c r="J705" s="20"/>
      <c r="K705" s="20"/>
    </row>
    <row r="706" spans="1:11" ht="15.5" x14ac:dyDescent="0.35">
      <c r="A706" s="3" t="s">
        <v>97</v>
      </c>
      <c r="B706" s="1"/>
      <c r="C706" s="20">
        <v>2500</v>
      </c>
      <c r="D706" s="1"/>
      <c r="E706" s="1"/>
      <c r="F706" s="20">
        <f t="shared" si="104"/>
        <v>0</v>
      </c>
      <c r="G706" s="20"/>
      <c r="H706" s="20"/>
      <c r="I706" s="20" t="b">
        <f t="shared" si="101"/>
        <v>1</v>
      </c>
      <c r="J706" s="20"/>
      <c r="K706" s="20"/>
    </row>
    <row r="707" spans="1:11" ht="15.5" x14ac:dyDescent="0.35">
      <c r="A707" s="3" t="s">
        <v>98</v>
      </c>
      <c r="B707" s="1"/>
      <c r="C707" s="20">
        <v>1800</v>
      </c>
      <c r="D707" s="1"/>
      <c r="E707" s="1"/>
      <c r="F707" s="20">
        <f t="shared" si="104"/>
        <v>0</v>
      </c>
      <c r="G707" s="20"/>
      <c r="H707" s="20"/>
      <c r="I707" s="20" t="b">
        <f t="shared" si="101"/>
        <v>1</v>
      </c>
      <c r="J707" s="20"/>
      <c r="K707" s="20"/>
    </row>
    <row r="708" spans="1:11" ht="15.5" x14ac:dyDescent="0.35">
      <c r="A708" s="3" t="s">
        <v>99</v>
      </c>
      <c r="B708" s="1"/>
      <c r="C708" s="20">
        <v>3500</v>
      </c>
      <c r="D708" s="1"/>
      <c r="E708" s="1"/>
      <c r="F708" s="20">
        <f t="shared" si="104"/>
        <v>0</v>
      </c>
      <c r="G708" s="20"/>
      <c r="H708" s="20"/>
      <c r="I708" s="20" t="b">
        <f t="shared" si="101"/>
        <v>1</v>
      </c>
      <c r="J708" s="20"/>
      <c r="K708" s="20"/>
    </row>
    <row r="709" spans="1:11" ht="15.5" x14ac:dyDescent="0.35">
      <c r="A709" s="18"/>
    </row>
    <row r="711" spans="1:11" ht="15.5" x14ac:dyDescent="0.35">
      <c r="A711" s="24" t="s">
        <v>108</v>
      </c>
      <c r="J711" s="21"/>
    </row>
    <row r="712" spans="1:11" ht="15.5" x14ac:dyDescent="0.35">
      <c r="A712" s="18" t="s">
        <v>114</v>
      </c>
      <c r="B712" s="67">
        <v>60000</v>
      </c>
      <c r="J712" s="21"/>
    </row>
    <row r="713" spans="1:11" ht="15.5" x14ac:dyDescent="0.35">
      <c r="A713" s="18" t="s">
        <v>244</v>
      </c>
      <c r="B713" s="67">
        <v>60000</v>
      </c>
      <c r="J713" s="21"/>
    </row>
    <row r="714" spans="1:11" ht="15.5" x14ac:dyDescent="0.35">
      <c r="A714" s="18" t="s">
        <v>110</v>
      </c>
      <c r="B714" s="67">
        <v>60000</v>
      </c>
    </row>
    <row r="715" spans="1:11" ht="15.5" x14ac:dyDescent="0.35">
      <c r="A715" s="18" t="s">
        <v>111</v>
      </c>
      <c r="B715" s="67">
        <v>60000</v>
      </c>
    </row>
    <row r="716" spans="1:11" ht="15.5" x14ac:dyDescent="0.35">
      <c r="A716" s="18" t="s">
        <v>196</v>
      </c>
      <c r="B716" s="67">
        <v>60000</v>
      </c>
    </row>
    <row r="717" spans="1:11" ht="15.5" x14ac:dyDescent="0.35">
      <c r="A717" s="24" t="s">
        <v>4</v>
      </c>
      <c r="B717" s="75">
        <f>SUM(B712:B716)</f>
        <v>300000</v>
      </c>
    </row>
    <row r="720" spans="1:11" ht="18.5" x14ac:dyDescent="0.45">
      <c r="A720" s="149">
        <v>46048</v>
      </c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</row>
    <row r="722" spans="1:11" ht="18.5" x14ac:dyDescent="0.45">
      <c r="A722" s="2" t="s">
        <v>75</v>
      </c>
      <c r="B722" s="2" t="s">
        <v>3</v>
      </c>
      <c r="C722" s="2" t="s">
        <v>100</v>
      </c>
      <c r="D722" s="2" t="s">
        <v>90</v>
      </c>
      <c r="E722" s="2" t="s">
        <v>91</v>
      </c>
      <c r="F722" s="2" t="s">
        <v>4</v>
      </c>
      <c r="G722" s="2" t="s">
        <v>101</v>
      </c>
      <c r="H722" s="2" t="s">
        <v>104</v>
      </c>
      <c r="I722" s="2"/>
      <c r="J722" s="2" t="s">
        <v>105</v>
      </c>
      <c r="K722" s="2" t="s">
        <v>106</v>
      </c>
    </row>
    <row r="723" spans="1:11" ht="15.5" x14ac:dyDescent="0.35">
      <c r="A723" s="3" t="s">
        <v>76</v>
      </c>
      <c r="B723" s="1">
        <f>D723+E723</f>
        <v>117</v>
      </c>
      <c r="C723" s="20">
        <v>17500</v>
      </c>
      <c r="D723" s="1">
        <v>48</v>
      </c>
      <c r="E723" s="1">
        <v>69</v>
      </c>
      <c r="F723" s="20">
        <f>C723*B723</f>
        <v>2047500</v>
      </c>
      <c r="G723" s="20">
        <f>D723*C723</f>
        <v>840000</v>
      </c>
      <c r="H723" s="20">
        <f>E723*C723</f>
        <v>1207500</v>
      </c>
      <c r="I723" s="20" t="b">
        <f>E723+D723=B723</f>
        <v>1</v>
      </c>
      <c r="J723" s="20">
        <f>B760</f>
        <v>555000</v>
      </c>
      <c r="K723" s="20" t="s">
        <v>117</v>
      </c>
    </row>
    <row r="724" spans="1:11" ht="15.5" x14ac:dyDescent="0.35">
      <c r="A724" s="3" t="s">
        <v>77</v>
      </c>
      <c r="B724" s="1">
        <f t="shared" ref="B724:B739" si="105">D724+E724</f>
        <v>22</v>
      </c>
      <c r="C724" s="20">
        <v>16000</v>
      </c>
      <c r="D724" s="1">
        <v>8</v>
      </c>
      <c r="E724" s="1">
        <v>14</v>
      </c>
      <c r="F724" s="20">
        <f t="shared" ref="F724:F735" si="106">C724*B724</f>
        <v>352000</v>
      </c>
      <c r="G724" s="20">
        <f t="shared" ref="G724:G735" si="107">D724*C724</f>
        <v>128000</v>
      </c>
      <c r="H724" s="20">
        <f t="shared" ref="H724:H735" si="108">E724*C724</f>
        <v>224000</v>
      </c>
      <c r="I724" s="20" t="b">
        <f t="shared" ref="I724:I735" si="109">E724+D724=B724</f>
        <v>1</v>
      </c>
      <c r="J724" s="20">
        <v>10000</v>
      </c>
      <c r="K724" s="20" t="s">
        <v>191</v>
      </c>
    </row>
    <row r="725" spans="1:11" ht="15.5" x14ac:dyDescent="0.35">
      <c r="A725" s="3" t="s">
        <v>78</v>
      </c>
      <c r="B725" s="1">
        <f t="shared" si="105"/>
        <v>57</v>
      </c>
      <c r="C725" s="20">
        <v>17500</v>
      </c>
      <c r="D725" s="1">
        <v>34</v>
      </c>
      <c r="E725" s="1">
        <v>23</v>
      </c>
      <c r="F725" s="20">
        <f t="shared" si="106"/>
        <v>997500</v>
      </c>
      <c r="G725" s="20">
        <f t="shared" si="107"/>
        <v>595000</v>
      </c>
      <c r="H725" s="20">
        <f t="shared" si="108"/>
        <v>402500</v>
      </c>
      <c r="I725" s="20" t="b">
        <f t="shared" si="109"/>
        <v>1</v>
      </c>
      <c r="J725" s="20">
        <v>30000</v>
      </c>
      <c r="K725" s="20" t="s">
        <v>248</v>
      </c>
    </row>
    <row r="726" spans="1:11" ht="15.5" x14ac:dyDescent="0.35">
      <c r="A726" s="3" t="s">
        <v>79</v>
      </c>
      <c r="B726" s="1">
        <f t="shared" si="105"/>
        <v>29</v>
      </c>
      <c r="C726" s="20">
        <v>18500</v>
      </c>
      <c r="D726" s="1">
        <v>12</v>
      </c>
      <c r="E726" s="1">
        <v>17</v>
      </c>
      <c r="F726" s="20">
        <f t="shared" si="106"/>
        <v>536500</v>
      </c>
      <c r="G726" s="20">
        <f t="shared" si="107"/>
        <v>222000</v>
      </c>
      <c r="H726" s="20">
        <f t="shared" si="108"/>
        <v>314500</v>
      </c>
      <c r="I726" s="20" t="b">
        <f t="shared" si="109"/>
        <v>1</v>
      </c>
      <c r="J726" s="20">
        <v>300000</v>
      </c>
      <c r="K726" s="20" t="s">
        <v>251</v>
      </c>
    </row>
    <row r="727" spans="1:11" ht="15.5" x14ac:dyDescent="0.35">
      <c r="A727" s="3" t="s">
        <v>80</v>
      </c>
      <c r="B727" s="1">
        <f t="shared" si="105"/>
        <v>0</v>
      </c>
      <c r="C727" s="20">
        <v>18500</v>
      </c>
      <c r="D727" s="1"/>
      <c r="E727" s="1"/>
      <c r="F727" s="20">
        <f t="shared" si="106"/>
        <v>0</v>
      </c>
      <c r="G727" s="20">
        <f t="shared" si="107"/>
        <v>0</v>
      </c>
      <c r="H727" s="20">
        <f t="shared" si="108"/>
        <v>0</v>
      </c>
      <c r="I727" s="20" t="b">
        <f t="shared" si="109"/>
        <v>1</v>
      </c>
      <c r="J727" s="20">
        <v>4700</v>
      </c>
      <c r="K727" s="20" t="s">
        <v>252</v>
      </c>
    </row>
    <row r="728" spans="1:11" ht="15.5" x14ac:dyDescent="0.35">
      <c r="A728" s="3" t="s">
        <v>81</v>
      </c>
      <c r="B728" s="1">
        <f t="shared" si="105"/>
        <v>0</v>
      </c>
      <c r="C728" s="20">
        <v>23000</v>
      </c>
      <c r="D728" s="1"/>
      <c r="E728" s="1"/>
      <c r="F728" s="20">
        <f t="shared" si="106"/>
        <v>0</v>
      </c>
      <c r="G728" s="20">
        <f t="shared" si="107"/>
        <v>0</v>
      </c>
      <c r="H728" s="20">
        <f t="shared" si="108"/>
        <v>0</v>
      </c>
      <c r="I728" s="20" t="b">
        <f t="shared" si="109"/>
        <v>1</v>
      </c>
      <c r="J728" s="20">
        <v>86500</v>
      </c>
      <c r="K728" s="20" t="s">
        <v>155</v>
      </c>
    </row>
    <row r="729" spans="1:11" ht="15.5" x14ac:dyDescent="0.35">
      <c r="A729" s="3" t="s">
        <v>82</v>
      </c>
      <c r="B729" s="1">
        <f t="shared" si="105"/>
        <v>17</v>
      </c>
      <c r="C729" s="20">
        <v>18000</v>
      </c>
      <c r="D729" s="1">
        <v>4</v>
      </c>
      <c r="E729" s="1">
        <v>13</v>
      </c>
      <c r="F729" s="20">
        <f t="shared" si="106"/>
        <v>306000</v>
      </c>
      <c r="G729" s="20">
        <f t="shared" si="107"/>
        <v>72000</v>
      </c>
      <c r="H729" s="20">
        <f t="shared" si="108"/>
        <v>234000</v>
      </c>
      <c r="I729" s="20" t="b">
        <f t="shared" si="109"/>
        <v>1</v>
      </c>
      <c r="J729" s="20">
        <v>60000</v>
      </c>
      <c r="K729" s="20" t="s">
        <v>218</v>
      </c>
    </row>
    <row r="730" spans="1:11" ht="15.5" x14ac:dyDescent="0.35">
      <c r="A730" s="3" t="s">
        <v>83</v>
      </c>
      <c r="B730" s="1">
        <f t="shared" si="105"/>
        <v>0</v>
      </c>
      <c r="C730" s="20">
        <v>18000</v>
      </c>
      <c r="D730" s="11"/>
      <c r="E730" s="1"/>
      <c r="F730" s="20">
        <f t="shared" si="106"/>
        <v>0</v>
      </c>
      <c r="G730" s="20">
        <f t="shared" si="107"/>
        <v>0</v>
      </c>
      <c r="H730" s="20">
        <f t="shared" si="108"/>
        <v>0</v>
      </c>
      <c r="I730" s="20" t="b">
        <f t="shared" si="109"/>
        <v>1</v>
      </c>
      <c r="J730" s="20"/>
      <c r="K730" s="20"/>
    </row>
    <row r="731" spans="1:11" ht="15.5" x14ac:dyDescent="0.35">
      <c r="A731" s="3" t="s">
        <v>84</v>
      </c>
      <c r="B731" s="1">
        <f t="shared" si="105"/>
        <v>0</v>
      </c>
      <c r="C731" s="20">
        <v>18500</v>
      </c>
      <c r="D731" s="1"/>
      <c r="E731" s="1"/>
      <c r="F731" s="20">
        <f t="shared" si="106"/>
        <v>0</v>
      </c>
      <c r="G731" s="20">
        <f t="shared" si="107"/>
        <v>0</v>
      </c>
      <c r="H731" s="20">
        <f t="shared" si="108"/>
        <v>0</v>
      </c>
      <c r="I731" s="20" t="b">
        <f t="shared" si="109"/>
        <v>1</v>
      </c>
      <c r="J731" s="20"/>
      <c r="K731" s="20"/>
    </row>
    <row r="732" spans="1:11" ht="15.5" x14ac:dyDescent="0.35">
      <c r="A732" s="3" t="s">
        <v>85</v>
      </c>
      <c r="B732" s="1">
        <f t="shared" si="105"/>
        <v>0</v>
      </c>
      <c r="C732" s="20">
        <v>18500</v>
      </c>
      <c r="D732" s="1"/>
      <c r="E732" s="1"/>
      <c r="F732" s="20">
        <f t="shared" si="106"/>
        <v>0</v>
      </c>
      <c r="G732" s="20">
        <f t="shared" si="107"/>
        <v>0</v>
      </c>
      <c r="H732" s="20">
        <f t="shared" si="108"/>
        <v>0</v>
      </c>
      <c r="I732" s="20" t="b">
        <f t="shared" si="109"/>
        <v>1</v>
      </c>
      <c r="J732" s="20"/>
      <c r="K732" s="20"/>
    </row>
    <row r="733" spans="1:11" ht="15.5" x14ac:dyDescent="0.35">
      <c r="A733" s="3" t="s">
        <v>86</v>
      </c>
      <c r="B733" s="1">
        <f t="shared" si="105"/>
        <v>8</v>
      </c>
      <c r="C733" s="20">
        <v>18500</v>
      </c>
      <c r="D733" s="1">
        <v>2</v>
      </c>
      <c r="E733" s="1">
        <v>6</v>
      </c>
      <c r="F733" s="20">
        <f t="shared" si="106"/>
        <v>148000</v>
      </c>
      <c r="G733" s="20">
        <f t="shared" si="107"/>
        <v>37000</v>
      </c>
      <c r="H733" s="20">
        <f t="shared" si="108"/>
        <v>111000</v>
      </c>
      <c r="I733" s="20" t="b">
        <f t="shared" si="109"/>
        <v>1</v>
      </c>
      <c r="J733" s="20"/>
      <c r="K733" s="20"/>
    </row>
    <row r="734" spans="1:11" ht="15.5" x14ac:dyDescent="0.35">
      <c r="A734" s="3" t="s">
        <v>87</v>
      </c>
      <c r="B734" s="1">
        <f t="shared" si="105"/>
        <v>0</v>
      </c>
      <c r="C734" s="20">
        <v>18500</v>
      </c>
      <c r="D734" s="1"/>
      <c r="E734" s="1"/>
      <c r="F734" s="20">
        <f t="shared" si="106"/>
        <v>0</v>
      </c>
      <c r="G734" s="20">
        <f t="shared" si="107"/>
        <v>0</v>
      </c>
      <c r="H734" s="20">
        <f t="shared" si="108"/>
        <v>0</v>
      </c>
      <c r="I734" s="20" t="b">
        <f t="shared" si="109"/>
        <v>1</v>
      </c>
      <c r="J734" s="20"/>
      <c r="K734" s="20"/>
    </row>
    <row r="735" spans="1:11" ht="15.5" x14ac:dyDescent="0.35">
      <c r="A735" s="3" t="s">
        <v>88</v>
      </c>
      <c r="B735" s="1">
        <f t="shared" si="105"/>
        <v>10</v>
      </c>
      <c r="C735" s="20">
        <v>18500</v>
      </c>
      <c r="D735" s="1">
        <v>3</v>
      </c>
      <c r="E735" s="1">
        <v>7</v>
      </c>
      <c r="F735" s="20">
        <f t="shared" si="106"/>
        <v>185000</v>
      </c>
      <c r="G735" s="20">
        <f t="shared" si="107"/>
        <v>55500</v>
      </c>
      <c r="H735" s="20">
        <f t="shared" si="108"/>
        <v>129500</v>
      </c>
      <c r="I735" s="20" t="b">
        <f t="shared" si="109"/>
        <v>1</v>
      </c>
      <c r="J735" s="20"/>
      <c r="K735" s="20"/>
    </row>
    <row r="736" spans="1:11" ht="15.5" x14ac:dyDescent="0.35">
      <c r="A736" s="19" t="s">
        <v>89</v>
      </c>
      <c r="B736" s="1"/>
      <c r="C736" s="20"/>
      <c r="D736" s="1"/>
      <c r="E736" s="1"/>
      <c r="F736" s="20"/>
      <c r="G736" s="20"/>
      <c r="H736" s="20"/>
      <c r="I736" s="20"/>
      <c r="J736" s="20"/>
      <c r="K736" s="20"/>
    </row>
    <row r="737" spans="1:11" ht="15.5" x14ac:dyDescent="0.35">
      <c r="A737" s="3" t="s">
        <v>92</v>
      </c>
      <c r="B737" s="1">
        <f t="shared" si="105"/>
        <v>44</v>
      </c>
      <c r="C737" s="20">
        <v>21500</v>
      </c>
      <c r="D737" s="1">
        <v>11</v>
      </c>
      <c r="E737" s="1">
        <v>33</v>
      </c>
      <c r="F737" s="20">
        <f t="shared" ref="F737:F739" si="110">C737*B737</f>
        <v>946000</v>
      </c>
      <c r="G737" s="20">
        <f t="shared" ref="G737:G739" si="111">D737*C737</f>
        <v>236500</v>
      </c>
      <c r="H737" s="20">
        <f t="shared" ref="H737:H739" si="112">E737*C737</f>
        <v>709500</v>
      </c>
      <c r="I737" s="20" t="b">
        <f t="shared" ref="I737:I739" si="113">E737+D737=B737</f>
        <v>1</v>
      </c>
      <c r="J737" s="20"/>
      <c r="K737" s="20"/>
    </row>
    <row r="738" spans="1:11" ht="15.5" x14ac:dyDescent="0.35">
      <c r="A738" s="3" t="s">
        <v>93</v>
      </c>
      <c r="B738" s="1">
        <f t="shared" si="105"/>
        <v>0</v>
      </c>
      <c r="C738" s="20">
        <v>21500</v>
      </c>
      <c r="D738" s="1"/>
      <c r="E738" s="1"/>
      <c r="F738" s="20">
        <f t="shared" si="110"/>
        <v>0</v>
      </c>
      <c r="G738" s="20">
        <f t="shared" si="111"/>
        <v>0</v>
      </c>
      <c r="H738" s="20">
        <f t="shared" si="112"/>
        <v>0</v>
      </c>
      <c r="I738" s="20" t="b">
        <f t="shared" si="113"/>
        <v>1</v>
      </c>
      <c r="J738" s="20"/>
      <c r="K738" s="20"/>
    </row>
    <row r="739" spans="1:11" ht="15.5" x14ac:dyDescent="0.35">
      <c r="A739" s="3" t="s">
        <v>94</v>
      </c>
      <c r="B739" s="1">
        <f t="shared" si="105"/>
        <v>34</v>
      </c>
      <c r="C739" s="20">
        <v>21500</v>
      </c>
      <c r="D739" s="1">
        <v>16</v>
      </c>
      <c r="E739" s="1">
        <v>18</v>
      </c>
      <c r="F739" s="20">
        <f t="shared" si="110"/>
        <v>731000</v>
      </c>
      <c r="G739" s="20">
        <f t="shared" si="111"/>
        <v>344000</v>
      </c>
      <c r="H739" s="20">
        <f t="shared" si="112"/>
        <v>387000</v>
      </c>
      <c r="I739" s="20" t="b">
        <f t="shared" si="113"/>
        <v>1</v>
      </c>
      <c r="J739" s="20"/>
      <c r="K739" s="20"/>
    </row>
    <row r="740" spans="1:11" ht="15.5" x14ac:dyDescent="0.35">
      <c r="A740" s="19"/>
      <c r="B740" s="22">
        <f>SUM(B723:B739)</f>
        <v>338</v>
      </c>
      <c r="C740" s="20"/>
      <c r="D740" s="1"/>
      <c r="E740" s="1"/>
      <c r="F740" s="23">
        <f>SUM(F723:F739)</f>
        <v>6249500</v>
      </c>
      <c r="G740" s="23">
        <f>SUM(G723:G739)</f>
        <v>2530000</v>
      </c>
      <c r="H740" s="23">
        <f>SUM(H723:H739)</f>
        <v>3719500</v>
      </c>
      <c r="I740" s="20"/>
      <c r="J740" s="23">
        <f>SUM(J723:J739)</f>
        <v>1046200</v>
      </c>
      <c r="K740" s="23">
        <f>H740-J740</f>
        <v>2673300</v>
      </c>
    </row>
    <row r="741" spans="1:11" ht="15.5" x14ac:dyDescent="0.35">
      <c r="A741" s="19" t="s">
        <v>95</v>
      </c>
      <c r="B741" s="1"/>
      <c r="C741" s="20"/>
      <c r="D741" s="1"/>
      <c r="E741" s="1"/>
      <c r="F741" s="20"/>
      <c r="G741" s="20"/>
      <c r="H741" s="20"/>
      <c r="I741" s="20" t="b">
        <f t="shared" ref="I741:I745" si="114">E741+D741=B741</f>
        <v>1</v>
      </c>
      <c r="J741" s="20"/>
      <c r="K741" s="20"/>
    </row>
    <row r="742" spans="1:11" ht="15.5" x14ac:dyDescent="0.35">
      <c r="A742" s="3" t="s">
        <v>96</v>
      </c>
      <c r="B742" s="1"/>
      <c r="C742" s="20">
        <v>3000</v>
      </c>
      <c r="D742" s="1"/>
      <c r="E742" s="1"/>
      <c r="F742" s="20">
        <f t="shared" ref="F742:F745" si="115">C742*B742</f>
        <v>0</v>
      </c>
      <c r="G742" s="20"/>
      <c r="H742" s="20"/>
      <c r="I742" s="20" t="b">
        <f t="shared" si="114"/>
        <v>1</v>
      </c>
      <c r="J742" s="20"/>
      <c r="K742" s="20"/>
    </row>
    <row r="743" spans="1:11" ht="15.5" x14ac:dyDescent="0.35">
      <c r="A743" s="3" t="s">
        <v>97</v>
      </c>
      <c r="B743" s="1"/>
      <c r="C743" s="20">
        <v>2500</v>
      </c>
      <c r="D743" s="1"/>
      <c r="E743" s="1"/>
      <c r="F743" s="20">
        <f t="shared" si="115"/>
        <v>0</v>
      </c>
      <c r="G743" s="20"/>
      <c r="H743" s="20"/>
      <c r="I743" s="20" t="b">
        <f t="shared" si="114"/>
        <v>1</v>
      </c>
      <c r="J743" s="20"/>
      <c r="K743" s="20"/>
    </row>
    <row r="744" spans="1:11" ht="15.5" x14ac:dyDescent="0.35">
      <c r="A744" s="3" t="s">
        <v>98</v>
      </c>
      <c r="B744" s="1"/>
      <c r="C744" s="20">
        <v>1800</v>
      </c>
      <c r="D744" s="1"/>
      <c r="E744" s="1"/>
      <c r="F744" s="20">
        <f t="shared" si="115"/>
        <v>0</v>
      </c>
      <c r="G744" s="20"/>
      <c r="H744" s="20"/>
      <c r="I744" s="20" t="b">
        <f t="shared" si="114"/>
        <v>1</v>
      </c>
      <c r="J744" s="20"/>
      <c r="K744" s="20"/>
    </row>
    <row r="745" spans="1:11" ht="15.5" x14ac:dyDescent="0.35">
      <c r="A745" s="3" t="s">
        <v>99</v>
      </c>
      <c r="B745" s="1"/>
      <c r="C745" s="20">
        <v>3500</v>
      </c>
      <c r="D745" s="1"/>
      <c r="E745" s="1"/>
      <c r="F745" s="20">
        <f t="shared" si="115"/>
        <v>0</v>
      </c>
      <c r="G745" s="20"/>
      <c r="H745" s="20"/>
      <c r="I745" s="20" t="b">
        <f t="shared" si="114"/>
        <v>1</v>
      </c>
      <c r="J745" s="20"/>
      <c r="K745" s="20"/>
    </row>
    <row r="746" spans="1:11" ht="15.5" x14ac:dyDescent="0.35">
      <c r="A746" s="18"/>
    </row>
    <row r="748" spans="1:11" ht="15.5" x14ac:dyDescent="0.35">
      <c r="A748" s="24" t="s">
        <v>108</v>
      </c>
      <c r="J748" s="21"/>
    </row>
    <row r="749" spans="1:11" ht="15.5" x14ac:dyDescent="0.35">
      <c r="A749" s="18" t="s">
        <v>114</v>
      </c>
      <c r="B749" s="67">
        <v>45000</v>
      </c>
      <c r="J749" s="21"/>
    </row>
    <row r="750" spans="1:11" ht="15.5" x14ac:dyDescent="0.35">
      <c r="A750" s="18" t="s">
        <v>254</v>
      </c>
      <c r="B750" s="67">
        <v>60000</v>
      </c>
      <c r="J750" s="21"/>
    </row>
    <row r="751" spans="1:11" ht="15.5" x14ac:dyDescent="0.35">
      <c r="A751" s="18" t="s">
        <v>112</v>
      </c>
      <c r="B751" s="67">
        <v>60000</v>
      </c>
      <c r="J751" s="21"/>
    </row>
    <row r="752" spans="1:11" ht="15.5" x14ac:dyDescent="0.35">
      <c r="A752" s="18" t="s">
        <v>110</v>
      </c>
      <c r="B752" s="67">
        <v>45000</v>
      </c>
    </row>
    <row r="753" spans="1:11" ht="15.5" x14ac:dyDescent="0.35">
      <c r="A753" s="18" t="s">
        <v>111</v>
      </c>
      <c r="B753" s="67">
        <v>45000</v>
      </c>
    </row>
    <row r="754" spans="1:11" ht="15.5" x14ac:dyDescent="0.35">
      <c r="A754" s="18" t="s">
        <v>196</v>
      </c>
      <c r="B754" s="67">
        <v>45000</v>
      </c>
    </row>
    <row r="755" spans="1:11" ht="15.5" x14ac:dyDescent="0.35">
      <c r="A755" s="18" t="s">
        <v>113</v>
      </c>
      <c r="B755" s="67">
        <v>45000</v>
      </c>
    </row>
    <row r="756" spans="1:11" ht="15.5" x14ac:dyDescent="0.35">
      <c r="A756" s="18" t="s">
        <v>209</v>
      </c>
      <c r="B756" s="67">
        <v>45000</v>
      </c>
    </row>
    <row r="757" spans="1:11" ht="15.5" x14ac:dyDescent="0.35">
      <c r="A757" s="18" t="s">
        <v>115</v>
      </c>
      <c r="B757" s="67">
        <v>60000</v>
      </c>
    </row>
    <row r="758" spans="1:11" ht="15.5" x14ac:dyDescent="0.35">
      <c r="A758" s="18" t="s">
        <v>122</v>
      </c>
      <c r="B758" s="67">
        <v>60000</v>
      </c>
    </row>
    <row r="759" spans="1:11" ht="15.5" x14ac:dyDescent="0.35">
      <c r="A759" s="18" t="s">
        <v>109</v>
      </c>
      <c r="B759" s="67">
        <v>45000</v>
      </c>
    </row>
    <row r="760" spans="1:11" ht="15.5" x14ac:dyDescent="0.35">
      <c r="A760" s="24" t="s">
        <v>4</v>
      </c>
      <c r="B760" s="75">
        <f>SUM(B749:B759)</f>
        <v>555000</v>
      </c>
    </row>
    <row r="763" spans="1:11" ht="18.5" x14ac:dyDescent="0.45">
      <c r="A763" s="149">
        <v>46049</v>
      </c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</row>
    <row r="765" spans="1:11" ht="18.5" x14ac:dyDescent="0.45">
      <c r="A765" s="2" t="s">
        <v>75</v>
      </c>
      <c r="B765" s="2" t="s">
        <v>3</v>
      </c>
      <c r="C765" s="2" t="s">
        <v>100</v>
      </c>
      <c r="D765" s="2" t="s">
        <v>90</v>
      </c>
      <c r="E765" s="2" t="s">
        <v>91</v>
      </c>
      <c r="F765" s="2" t="s">
        <v>4</v>
      </c>
      <c r="G765" s="2" t="s">
        <v>101</v>
      </c>
      <c r="H765" s="2" t="s">
        <v>104</v>
      </c>
      <c r="I765" s="2"/>
      <c r="J765" s="2" t="s">
        <v>105</v>
      </c>
      <c r="K765" s="2" t="s">
        <v>106</v>
      </c>
    </row>
    <row r="766" spans="1:11" ht="15.5" x14ac:dyDescent="0.35">
      <c r="A766" s="3" t="s">
        <v>76</v>
      </c>
      <c r="B766" s="1">
        <v>79</v>
      </c>
      <c r="C766" s="20">
        <v>17500</v>
      </c>
      <c r="D766" s="1">
        <v>33</v>
      </c>
      <c r="E766" s="1">
        <v>46</v>
      </c>
      <c r="F766" s="20">
        <f>C766*B766</f>
        <v>1382500</v>
      </c>
      <c r="G766" s="20">
        <f>D766*C766</f>
        <v>577500</v>
      </c>
      <c r="H766" s="20">
        <f>E766*C766</f>
        <v>805000</v>
      </c>
      <c r="I766" s="20" t="b">
        <f>E766+D766=B766</f>
        <v>1</v>
      </c>
      <c r="J766" s="20">
        <f>B803</f>
        <v>534000</v>
      </c>
      <c r="K766" s="20" t="s">
        <v>117</v>
      </c>
    </row>
    <row r="767" spans="1:11" ht="15.5" x14ac:dyDescent="0.35">
      <c r="A767" s="3" t="s">
        <v>77</v>
      </c>
      <c r="B767" s="1">
        <v>13</v>
      </c>
      <c r="C767" s="20">
        <v>16000</v>
      </c>
      <c r="D767" s="1">
        <v>6</v>
      </c>
      <c r="E767" s="1">
        <v>7</v>
      </c>
      <c r="F767" s="20">
        <f t="shared" ref="F767:F778" si="116">C767*B767</f>
        <v>208000</v>
      </c>
      <c r="G767" s="20">
        <f t="shared" ref="G767:G778" si="117">D767*C767</f>
        <v>96000</v>
      </c>
      <c r="H767" s="20">
        <f t="shared" ref="H767:H778" si="118">E767*C767</f>
        <v>112000</v>
      </c>
      <c r="I767" s="20" t="b">
        <f t="shared" ref="I767:I778" si="119">E767+D767=B767</f>
        <v>1</v>
      </c>
      <c r="J767" s="20">
        <v>10000</v>
      </c>
      <c r="K767" s="20" t="s">
        <v>191</v>
      </c>
    </row>
    <row r="768" spans="1:11" ht="15.5" x14ac:dyDescent="0.35">
      <c r="A768" s="3" t="s">
        <v>78</v>
      </c>
      <c r="B768" s="1">
        <v>53</v>
      </c>
      <c r="C768" s="20">
        <v>17500</v>
      </c>
      <c r="D768" s="1">
        <v>26</v>
      </c>
      <c r="E768" s="1">
        <v>27</v>
      </c>
      <c r="F768" s="20">
        <f t="shared" si="116"/>
        <v>927500</v>
      </c>
      <c r="G768" s="20">
        <f t="shared" si="117"/>
        <v>455000</v>
      </c>
      <c r="H768" s="20">
        <f t="shared" si="118"/>
        <v>472500</v>
      </c>
      <c r="I768" s="20" t="b">
        <f t="shared" si="119"/>
        <v>1</v>
      </c>
      <c r="J768" s="20">
        <v>45000</v>
      </c>
      <c r="K768" s="20" t="s">
        <v>256</v>
      </c>
    </row>
    <row r="769" spans="1:11" ht="15.5" x14ac:dyDescent="0.35">
      <c r="A769" s="3" t="s">
        <v>79</v>
      </c>
      <c r="B769" s="1">
        <v>24</v>
      </c>
      <c r="C769" s="20">
        <v>18500</v>
      </c>
      <c r="D769" s="1">
        <v>9</v>
      </c>
      <c r="E769" s="1">
        <v>15</v>
      </c>
      <c r="F769" s="20">
        <f t="shared" si="116"/>
        <v>444000</v>
      </c>
      <c r="G769" s="20">
        <f t="shared" si="117"/>
        <v>166500</v>
      </c>
      <c r="H769" s="20">
        <f t="shared" si="118"/>
        <v>277500</v>
      </c>
      <c r="I769" s="20" t="b">
        <f t="shared" si="119"/>
        <v>1</v>
      </c>
      <c r="J769" s="20"/>
      <c r="K769" s="20"/>
    </row>
    <row r="770" spans="1:11" ht="15.5" x14ac:dyDescent="0.35">
      <c r="A770" s="3" t="s">
        <v>80</v>
      </c>
      <c r="B770" s="1"/>
      <c r="C770" s="20">
        <v>18500</v>
      </c>
      <c r="D770" s="1"/>
      <c r="E770" s="1"/>
      <c r="F770" s="20">
        <f t="shared" si="116"/>
        <v>0</v>
      </c>
      <c r="G770" s="20">
        <f t="shared" si="117"/>
        <v>0</v>
      </c>
      <c r="H770" s="20">
        <f t="shared" si="118"/>
        <v>0</v>
      </c>
      <c r="I770" s="20" t="b">
        <f t="shared" si="119"/>
        <v>1</v>
      </c>
      <c r="J770" s="20"/>
      <c r="K770" s="20"/>
    </row>
    <row r="771" spans="1:11" ht="15.5" x14ac:dyDescent="0.35">
      <c r="A771" s="3" t="s">
        <v>81</v>
      </c>
      <c r="B771" s="1"/>
      <c r="C771" s="20">
        <v>23000</v>
      </c>
      <c r="D771" s="1"/>
      <c r="E771" s="1"/>
      <c r="F771" s="20">
        <f t="shared" si="116"/>
        <v>0</v>
      </c>
      <c r="G771" s="20">
        <f t="shared" si="117"/>
        <v>0</v>
      </c>
      <c r="H771" s="20">
        <f t="shared" si="118"/>
        <v>0</v>
      </c>
      <c r="I771" s="20" t="b">
        <f t="shared" si="119"/>
        <v>1</v>
      </c>
      <c r="J771" s="20"/>
      <c r="K771" s="20"/>
    </row>
    <row r="772" spans="1:11" ht="15.5" x14ac:dyDescent="0.35">
      <c r="A772" s="3" t="s">
        <v>82</v>
      </c>
      <c r="B772" s="1"/>
      <c r="C772" s="20">
        <v>18000</v>
      </c>
      <c r="D772" s="1"/>
      <c r="E772" s="1"/>
      <c r="F772" s="20">
        <f t="shared" si="116"/>
        <v>0</v>
      </c>
      <c r="G772" s="20">
        <f t="shared" si="117"/>
        <v>0</v>
      </c>
      <c r="H772" s="20">
        <f t="shared" si="118"/>
        <v>0</v>
      </c>
      <c r="I772" s="20" t="b">
        <f t="shared" si="119"/>
        <v>1</v>
      </c>
      <c r="J772" s="20"/>
      <c r="K772" s="20"/>
    </row>
    <row r="773" spans="1:11" ht="15.5" x14ac:dyDescent="0.35">
      <c r="A773" s="3" t="s">
        <v>83</v>
      </c>
      <c r="B773" s="1"/>
      <c r="C773" s="20">
        <v>18000</v>
      </c>
      <c r="D773" s="11"/>
      <c r="E773" s="1"/>
      <c r="F773" s="20">
        <f t="shared" si="116"/>
        <v>0</v>
      </c>
      <c r="G773" s="20">
        <f t="shared" si="117"/>
        <v>0</v>
      </c>
      <c r="H773" s="20">
        <f t="shared" si="118"/>
        <v>0</v>
      </c>
      <c r="I773" s="20" t="b">
        <f t="shared" si="119"/>
        <v>1</v>
      </c>
      <c r="J773" s="20"/>
      <c r="K773" s="20"/>
    </row>
    <row r="774" spans="1:11" ht="15.5" x14ac:dyDescent="0.35">
      <c r="A774" s="3" t="s">
        <v>84</v>
      </c>
      <c r="B774" s="1"/>
      <c r="C774" s="20">
        <v>18500</v>
      </c>
      <c r="D774" s="1"/>
      <c r="E774" s="1"/>
      <c r="F774" s="20">
        <f t="shared" si="116"/>
        <v>0</v>
      </c>
      <c r="G774" s="20">
        <f t="shared" si="117"/>
        <v>0</v>
      </c>
      <c r="H774" s="20">
        <f t="shared" si="118"/>
        <v>0</v>
      </c>
      <c r="I774" s="20" t="b">
        <f t="shared" si="119"/>
        <v>1</v>
      </c>
      <c r="J774" s="20"/>
      <c r="K774" s="20"/>
    </row>
    <row r="775" spans="1:11" ht="15.5" x14ac:dyDescent="0.35">
      <c r="A775" s="3" t="s">
        <v>85</v>
      </c>
      <c r="B775" s="1">
        <v>52</v>
      </c>
      <c r="C775" s="20">
        <v>18500</v>
      </c>
      <c r="D775" s="1">
        <v>20</v>
      </c>
      <c r="E775" s="1">
        <v>32</v>
      </c>
      <c r="F775" s="20">
        <f t="shared" si="116"/>
        <v>962000</v>
      </c>
      <c r="G775" s="20">
        <f t="shared" si="117"/>
        <v>370000</v>
      </c>
      <c r="H775" s="20">
        <f t="shared" si="118"/>
        <v>592000</v>
      </c>
      <c r="I775" s="20" t="b">
        <f t="shared" si="119"/>
        <v>1</v>
      </c>
      <c r="J775" s="20"/>
      <c r="K775" s="20"/>
    </row>
    <row r="776" spans="1:11" ht="15.5" x14ac:dyDescent="0.35">
      <c r="A776" s="3" t="s">
        <v>86</v>
      </c>
      <c r="B776" s="1"/>
      <c r="C776" s="20">
        <v>18500</v>
      </c>
      <c r="D776" s="1"/>
      <c r="E776" s="1"/>
      <c r="F776" s="20">
        <f t="shared" si="116"/>
        <v>0</v>
      </c>
      <c r="G776" s="20">
        <f t="shared" si="117"/>
        <v>0</v>
      </c>
      <c r="H776" s="20">
        <f t="shared" si="118"/>
        <v>0</v>
      </c>
      <c r="I776" s="20" t="b">
        <f t="shared" si="119"/>
        <v>1</v>
      </c>
      <c r="J776" s="20"/>
      <c r="K776" s="20"/>
    </row>
    <row r="777" spans="1:11" ht="15.5" x14ac:dyDescent="0.35">
      <c r="A777" s="3" t="s">
        <v>87</v>
      </c>
      <c r="B777" s="1">
        <v>2</v>
      </c>
      <c r="C777" s="20">
        <v>18500</v>
      </c>
      <c r="D777" s="1"/>
      <c r="E777" s="1">
        <v>2</v>
      </c>
      <c r="F777" s="20">
        <f t="shared" si="116"/>
        <v>37000</v>
      </c>
      <c r="G777" s="20">
        <f t="shared" si="117"/>
        <v>0</v>
      </c>
      <c r="H777" s="20">
        <f t="shared" si="118"/>
        <v>37000</v>
      </c>
      <c r="I777" s="20" t="b">
        <f t="shared" si="119"/>
        <v>1</v>
      </c>
      <c r="J777" s="20"/>
      <c r="K777" s="20"/>
    </row>
    <row r="778" spans="1:11" ht="15.5" x14ac:dyDescent="0.35">
      <c r="A778" s="3" t="s">
        <v>88</v>
      </c>
      <c r="B778" s="1">
        <v>6</v>
      </c>
      <c r="C778" s="20">
        <v>18500</v>
      </c>
      <c r="D778" s="1">
        <v>2</v>
      </c>
      <c r="E778" s="1">
        <v>4</v>
      </c>
      <c r="F778" s="20">
        <f t="shared" si="116"/>
        <v>111000</v>
      </c>
      <c r="G778" s="20">
        <f t="shared" si="117"/>
        <v>37000</v>
      </c>
      <c r="H778" s="20">
        <f t="shared" si="118"/>
        <v>74000</v>
      </c>
      <c r="I778" s="20" t="b">
        <f t="shared" si="119"/>
        <v>1</v>
      </c>
      <c r="J778" s="20"/>
      <c r="K778" s="20"/>
    </row>
    <row r="779" spans="1:11" ht="15.5" x14ac:dyDescent="0.35">
      <c r="A779" s="19" t="s">
        <v>89</v>
      </c>
      <c r="B779" s="1"/>
      <c r="C779" s="20"/>
      <c r="D779" s="1"/>
      <c r="E779" s="1"/>
      <c r="F779" s="20"/>
      <c r="G779" s="20"/>
      <c r="H779" s="20"/>
      <c r="I779" s="20"/>
      <c r="J779" s="20"/>
      <c r="K779" s="20"/>
    </row>
    <row r="780" spans="1:11" ht="15.5" x14ac:dyDescent="0.35">
      <c r="A780" s="3" t="s">
        <v>92</v>
      </c>
      <c r="B780" s="1">
        <v>28</v>
      </c>
      <c r="C780" s="20">
        <v>21500</v>
      </c>
      <c r="D780" s="1">
        <v>11</v>
      </c>
      <c r="E780" s="1">
        <v>17</v>
      </c>
      <c r="F780" s="20">
        <f t="shared" ref="F780:F782" si="120">C780*B780</f>
        <v>602000</v>
      </c>
      <c r="G780" s="20">
        <f t="shared" ref="G780:G782" si="121">D780*C780</f>
        <v>236500</v>
      </c>
      <c r="H780" s="20">
        <f t="shared" ref="H780:H782" si="122">E780*C780</f>
        <v>365500</v>
      </c>
      <c r="I780" s="20" t="b">
        <f t="shared" ref="I780:I782" si="123">E780+D780=B780</f>
        <v>1</v>
      </c>
      <c r="J780" s="20"/>
      <c r="K780" s="20"/>
    </row>
    <row r="781" spans="1:11" ht="15.5" x14ac:dyDescent="0.35">
      <c r="A781" s="3" t="s">
        <v>93</v>
      </c>
      <c r="B781" s="1"/>
      <c r="C781" s="20">
        <v>21500</v>
      </c>
      <c r="D781" s="1"/>
      <c r="E781" s="1"/>
      <c r="F781" s="20">
        <f t="shared" si="120"/>
        <v>0</v>
      </c>
      <c r="G781" s="20">
        <f t="shared" si="121"/>
        <v>0</v>
      </c>
      <c r="H781" s="20">
        <f t="shared" si="122"/>
        <v>0</v>
      </c>
      <c r="I781" s="20" t="b">
        <f t="shared" si="123"/>
        <v>1</v>
      </c>
      <c r="J781" s="20"/>
      <c r="K781" s="20"/>
    </row>
    <row r="782" spans="1:11" ht="15.5" x14ac:dyDescent="0.35">
      <c r="A782" s="3" t="s">
        <v>94</v>
      </c>
      <c r="B782" s="1">
        <v>36</v>
      </c>
      <c r="C782" s="20">
        <v>21500</v>
      </c>
      <c r="D782" s="1">
        <v>16</v>
      </c>
      <c r="E782" s="1">
        <v>20</v>
      </c>
      <c r="F782" s="20">
        <f t="shared" si="120"/>
        <v>774000</v>
      </c>
      <c r="G782" s="20">
        <f t="shared" si="121"/>
        <v>344000</v>
      </c>
      <c r="H782" s="20">
        <f t="shared" si="122"/>
        <v>430000</v>
      </c>
      <c r="I782" s="20" t="b">
        <f t="shared" si="123"/>
        <v>1</v>
      </c>
      <c r="J782" s="20"/>
      <c r="K782" s="20"/>
    </row>
    <row r="783" spans="1:11" ht="15.5" x14ac:dyDescent="0.35">
      <c r="A783" s="19"/>
      <c r="B783" s="22">
        <f>SUM(B766:B782)</f>
        <v>293</v>
      </c>
      <c r="C783" s="20"/>
      <c r="D783" s="1"/>
      <c r="E783" s="1"/>
      <c r="F783" s="23">
        <f>SUM(F766:F782)</f>
        <v>5448000</v>
      </c>
      <c r="G783" s="23">
        <f>SUM(G766:G782)</f>
        <v>2282500</v>
      </c>
      <c r="H783" s="23">
        <f>SUM(H766:H782)</f>
        <v>3165500</v>
      </c>
      <c r="I783" s="20"/>
      <c r="J783" s="23">
        <f>SUM(J766:J782)</f>
        <v>589000</v>
      </c>
      <c r="K783" s="23">
        <f>H783-J783</f>
        <v>2576500</v>
      </c>
    </row>
    <row r="784" spans="1:11" ht="15.5" x14ac:dyDescent="0.35">
      <c r="A784" s="19" t="s">
        <v>95</v>
      </c>
      <c r="B784" s="1"/>
      <c r="C784" s="20"/>
      <c r="D784" s="1"/>
      <c r="E784" s="1"/>
      <c r="F784" s="20"/>
      <c r="G784" s="20"/>
      <c r="H784" s="20"/>
      <c r="I784" s="20" t="b">
        <f t="shared" ref="I784:I788" si="124">E784+D784=B784</f>
        <v>1</v>
      </c>
      <c r="J784" s="20"/>
      <c r="K784" s="20"/>
    </row>
    <row r="785" spans="1:11" ht="15.5" x14ac:dyDescent="0.35">
      <c r="A785" s="3" t="s">
        <v>96</v>
      </c>
      <c r="B785" s="1"/>
      <c r="C785" s="20">
        <v>3000</v>
      </c>
      <c r="D785" s="1"/>
      <c r="E785" s="1"/>
      <c r="F785" s="20">
        <f t="shared" ref="F785:F788" si="125">C785*B785</f>
        <v>0</v>
      </c>
      <c r="G785" s="20"/>
      <c r="H785" s="20"/>
      <c r="I785" s="20" t="b">
        <f t="shared" si="124"/>
        <v>1</v>
      </c>
      <c r="J785" s="20"/>
      <c r="K785" s="20"/>
    </row>
    <row r="786" spans="1:11" ht="15.5" x14ac:dyDescent="0.35">
      <c r="A786" s="3" t="s">
        <v>97</v>
      </c>
      <c r="B786" s="1"/>
      <c r="C786" s="20">
        <v>2500</v>
      </c>
      <c r="D786" s="1"/>
      <c r="E786" s="1"/>
      <c r="F786" s="20">
        <f t="shared" si="125"/>
        <v>0</v>
      </c>
      <c r="G786" s="20"/>
      <c r="H786" s="20"/>
      <c r="I786" s="20" t="b">
        <f t="shared" si="124"/>
        <v>1</v>
      </c>
      <c r="J786" s="20"/>
      <c r="K786" s="20"/>
    </row>
    <row r="787" spans="1:11" ht="15.5" x14ac:dyDescent="0.35">
      <c r="A787" s="3" t="s">
        <v>98</v>
      </c>
      <c r="B787" s="1"/>
      <c r="C787" s="20">
        <v>1800</v>
      </c>
      <c r="D787" s="1"/>
      <c r="E787" s="1"/>
      <c r="F787" s="20">
        <f t="shared" si="125"/>
        <v>0</v>
      </c>
      <c r="G787" s="20"/>
      <c r="H787" s="20"/>
      <c r="I787" s="20" t="b">
        <f t="shared" si="124"/>
        <v>1</v>
      </c>
      <c r="J787" s="20"/>
      <c r="K787" s="20"/>
    </row>
    <row r="788" spans="1:11" ht="15.5" x14ac:dyDescent="0.35">
      <c r="A788" s="3" t="s">
        <v>99</v>
      </c>
      <c r="B788" s="1"/>
      <c r="C788" s="20">
        <v>3500</v>
      </c>
      <c r="D788" s="1"/>
      <c r="E788" s="1"/>
      <c r="F788" s="20">
        <f t="shared" si="125"/>
        <v>0</v>
      </c>
      <c r="G788" s="20"/>
      <c r="H788" s="20"/>
      <c r="I788" s="20" t="b">
        <f t="shared" si="124"/>
        <v>1</v>
      </c>
      <c r="J788" s="20"/>
      <c r="K788" s="20"/>
    </row>
    <row r="789" spans="1:11" ht="15.5" x14ac:dyDescent="0.35">
      <c r="A789" s="18"/>
    </row>
    <row r="791" spans="1:11" ht="15.5" x14ac:dyDescent="0.35">
      <c r="A791" s="24" t="s">
        <v>108</v>
      </c>
      <c r="J791" s="21"/>
    </row>
    <row r="792" spans="1:11" ht="15.5" x14ac:dyDescent="0.35">
      <c r="A792" s="18" t="s">
        <v>114</v>
      </c>
      <c r="B792" s="67">
        <v>45000</v>
      </c>
      <c r="J792" s="21"/>
    </row>
    <row r="793" spans="1:11" ht="15.5" x14ac:dyDescent="0.35">
      <c r="A793" s="18" t="s">
        <v>254</v>
      </c>
      <c r="B793" s="67"/>
      <c r="C793" t="s">
        <v>255</v>
      </c>
      <c r="J793" s="21"/>
    </row>
    <row r="794" spans="1:11" ht="15.5" x14ac:dyDescent="0.35">
      <c r="A794" s="18" t="s">
        <v>112</v>
      </c>
      <c r="B794" s="67">
        <v>99000</v>
      </c>
      <c r="C794" t="s">
        <v>235</v>
      </c>
      <c r="J794" s="21"/>
    </row>
    <row r="795" spans="1:11" ht="15.5" x14ac:dyDescent="0.35">
      <c r="A795" s="18" t="s">
        <v>110</v>
      </c>
      <c r="B795" s="67">
        <v>45000</v>
      </c>
    </row>
    <row r="796" spans="1:11" ht="15.5" x14ac:dyDescent="0.35">
      <c r="A796" s="18" t="s">
        <v>111</v>
      </c>
      <c r="B796" s="67">
        <v>45000</v>
      </c>
    </row>
    <row r="797" spans="1:11" ht="15.5" x14ac:dyDescent="0.35">
      <c r="A797" s="18" t="s">
        <v>196</v>
      </c>
      <c r="B797" s="67">
        <v>45000</v>
      </c>
    </row>
    <row r="798" spans="1:11" ht="15.5" x14ac:dyDescent="0.35">
      <c r="A798" s="18" t="s">
        <v>113</v>
      </c>
      <c r="B798" s="67">
        <v>45000</v>
      </c>
    </row>
    <row r="799" spans="1:11" ht="15.5" x14ac:dyDescent="0.35">
      <c r="A799" s="18" t="s">
        <v>209</v>
      </c>
      <c r="B799" s="67">
        <v>45000</v>
      </c>
    </row>
    <row r="800" spans="1:11" ht="15.5" x14ac:dyDescent="0.35">
      <c r="A800" s="18" t="s">
        <v>115</v>
      </c>
      <c r="B800" s="67">
        <v>60000</v>
      </c>
    </row>
    <row r="801" spans="1:11" ht="15.5" x14ac:dyDescent="0.35">
      <c r="A801" s="18" t="s">
        <v>122</v>
      </c>
      <c r="B801" s="67">
        <v>60000</v>
      </c>
    </row>
    <row r="802" spans="1:11" ht="15.5" x14ac:dyDescent="0.35">
      <c r="A802" s="18" t="s">
        <v>109</v>
      </c>
      <c r="B802" s="67">
        <v>45000</v>
      </c>
    </row>
    <row r="803" spans="1:11" ht="15.5" x14ac:dyDescent="0.35">
      <c r="A803" s="24" t="s">
        <v>4</v>
      </c>
      <c r="B803" s="75">
        <f>SUM(B792:B802)</f>
        <v>534000</v>
      </c>
    </row>
    <row r="806" spans="1:11" ht="18.5" x14ac:dyDescent="0.45">
      <c r="A806" s="149">
        <v>46050</v>
      </c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</row>
    <row r="808" spans="1:11" ht="18.5" x14ac:dyDescent="0.45">
      <c r="A808" s="2" t="s">
        <v>75</v>
      </c>
      <c r="B808" s="2" t="s">
        <v>3</v>
      </c>
      <c r="C808" s="2" t="s">
        <v>100</v>
      </c>
      <c r="D808" s="2" t="s">
        <v>90</v>
      </c>
      <c r="E808" s="2" t="s">
        <v>91</v>
      </c>
      <c r="F808" s="2" t="s">
        <v>4</v>
      </c>
      <c r="G808" s="2" t="s">
        <v>101</v>
      </c>
      <c r="H808" s="2" t="s">
        <v>104</v>
      </c>
      <c r="I808" s="2"/>
      <c r="J808" s="2" t="s">
        <v>105</v>
      </c>
      <c r="K808" s="2" t="s">
        <v>106</v>
      </c>
    </row>
    <row r="809" spans="1:11" ht="15.5" x14ac:dyDescent="0.35">
      <c r="A809" s="3" t="s">
        <v>76</v>
      </c>
      <c r="B809" s="1">
        <v>83</v>
      </c>
      <c r="C809" s="20">
        <v>17500</v>
      </c>
      <c r="D809" s="1">
        <v>54</v>
      </c>
      <c r="E809" s="1">
        <v>29</v>
      </c>
      <c r="F809" s="20">
        <f>C809*B809</f>
        <v>1452500</v>
      </c>
      <c r="G809" s="20">
        <f>D809*C809</f>
        <v>945000</v>
      </c>
      <c r="H809" s="20">
        <f>E809*C809</f>
        <v>507500</v>
      </c>
      <c r="I809" s="20" t="b">
        <f>E809+D809=B809</f>
        <v>1</v>
      </c>
      <c r="J809" s="20">
        <f>B846</f>
        <v>555000</v>
      </c>
      <c r="K809" s="20" t="s">
        <v>117</v>
      </c>
    </row>
    <row r="810" spans="1:11" ht="15.5" x14ac:dyDescent="0.35">
      <c r="A810" s="3" t="s">
        <v>77</v>
      </c>
      <c r="B810" s="1">
        <v>17</v>
      </c>
      <c r="C810" s="20">
        <v>16000</v>
      </c>
      <c r="D810" s="1">
        <v>11</v>
      </c>
      <c r="E810" s="1">
        <v>6</v>
      </c>
      <c r="F810" s="20">
        <f t="shared" ref="F810:F821" si="126">C810*B810</f>
        <v>272000</v>
      </c>
      <c r="G810" s="20">
        <f t="shared" ref="G810:G821" si="127">D810*C810</f>
        <v>176000</v>
      </c>
      <c r="H810" s="20">
        <f t="shared" ref="H810:H821" si="128">E810*C810</f>
        <v>96000</v>
      </c>
      <c r="I810" s="20" t="b">
        <f t="shared" ref="I810:I821" si="129">E810+D810=B810</f>
        <v>1</v>
      </c>
      <c r="J810" s="20">
        <v>10000</v>
      </c>
      <c r="K810" s="20" t="s">
        <v>191</v>
      </c>
    </row>
    <row r="811" spans="1:11" ht="15.5" x14ac:dyDescent="0.35">
      <c r="A811" s="3" t="s">
        <v>78</v>
      </c>
      <c r="B811" s="1">
        <v>59</v>
      </c>
      <c r="C811" s="20">
        <v>17500</v>
      </c>
      <c r="D811" s="1">
        <v>26</v>
      </c>
      <c r="E811" s="1">
        <v>33</v>
      </c>
      <c r="F811" s="20">
        <f t="shared" si="126"/>
        <v>1032500</v>
      </c>
      <c r="G811" s="20">
        <f t="shared" si="127"/>
        <v>455000</v>
      </c>
      <c r="H811" s="20">
        <f t="shared" si="128"/>
        <v>577500</v>
      </c>
      <c r="I811" s="20" t="b">
        <f t="shared" si="129"/>
        <v>1</v>
      </c>
      <c r="J811" s="20">
        <v>30000</v>
      </c>
      <c r="K811" s="20" t="s">
        <v>259</v>
      </c>
    </row>
    <row r="812" spans="1:11" ht="15.5" x14ac:dyDescent="0.35">
      <c r="A812" s="3" t="s">
        <v>79</v>
      </c>
      <c r="B812" s="1"/>
      <c r="C812" s="20">
        <v>18500</v>
      </c>
      <c r="D812" s="1"/>
      <c r="E812" s="1"/>
      <c r="F812" s="20">
        <f t="shared" si="126"/>
        <v>0</v>
      </c>
      <c r="G812" s="20">
        <f t="shared" si="127"/>
        <v>0</v>
      </c>
      <c r="H812" s="20">
        <f t="shared" si="128"/>
        <v>0</v>
      </c>
      <c r="I812" s="20" t="b">
        <f t="shared" si="129"/>
        <v>1</v>
      </c>
      <c r="J812" s="20"/>
      <c r="K812" s="20"/>
    </row>
    <row r="813" spans="1:11" ht="15.5" x14ac:dyDescent="0.35">
      <c r="A813" s="3" t="s">
        <v>80</v>
      </c>
      <c r="B813" s="1">
        <v>44</v>
      </c>
      <c r="C813" s="20">
        <v>18500</v>
      </c>
      <c r="D813" s="1">
        <v>26</v>
      </c>
      <c r="E813" s="1">
        <v>18</v>
      </c>
      <c r="F813" s="20">
        <f t="shared" si="126"/>
        <v>814000</v>
      </c>
      <c r="G813" s="20">
        <f t="shared" si="127"/>
        <v>481000</v>
      </c>
      <c r="H813" s="20">
        <f t="shared" si="128"/>
        <v>333000</v>
      </c>
      <c r="I813" s="20" t="b">
        <f t="shared" si="129"/>
        <v>1</v>
      </c>
      <c r="J813" s="20"/>
      <c r="K813" s="20"/>
    </row>
    <row r="814" spans="1:11" ht="15.5" x14ac:dyDescent="0.35">
      <c r="A814" s="3" t="s">
        <v>81</v>
      </c>
      <c r="B814" s="1"/>
      <c r="C814" s="20">
        <v>23000</v>
      </c>
      <c r="D814" s="1"/>
      <c r="E814" s="1"/>
      <c r="F814" s="20">
        <f t="shared" si="126"/>
        <v>0</v>
      </c>
      <c r="G814" s="20">
        <f t="shared" si="127"/>
        <v>0</v>
      </c>
      <c r="H814" s="20">
        <f t="shared" si="128"/>
        <v>0</v>
      </c>
      <c r="I814" s="20" t="b">
        <f t="shared" si="129"/>
        <v>1</v>
      </c>
      <c r="J814" s="20"/>
      <c r="K814" s="20"/>
    </row>
    <row r="815" spans="1:11" ht="15.5" x14ac:dyDescent="0.35">
      <c r="A815" s="3" t="s">
        <v>82</v>
      </c>
      <c r="B815" s="1"/>
      <c r="C815" s="20">
        <v>18000</v>
      </c>
      <c r="D815" s="1"/>
      <c r="E815" s="1"/>
      <c r="F815" s="20">
        <f t="shared" si="126"/>
        <v>0</v>
      </c>
      <c r="G815" s="20">
        <f t="shared" si="127"/>
        <v>0</v>
      </c>
      <c r="H815" s="20">
        <f t="shared" si="128"/>
        <v>0</v>
      </c>
      <c r="I815" s="20" t="b">
        <f t="shared" si="129"/>
        <v>1</v>
      </c>
      <c r="J815" s="20"/>
      <c r="K815" s="20"/>
    </row>
    <row r="816" spans="1:11" ht="15.5" x14ac:dyDescent="0.35">
      <c r="A816" s="3" t="s">
        <v>83</v>
      </c>
      <c r="B816" s="1">
        <v>25</v>
      </c>
      <c r="C816" s="20">
        <v>18000</v>
      </c>
      <c r="D816" s="11">
        <v>14</v>
      </c>
      <c r="E816" s="1">
        <v>11</v>
      </c>
      <c r="F816" s="20">
        <f t="shared" si="126"/>
        <v>450000</v>
      </c>
      <c r="G816" s="20">
        <f t="shared" si="127"/>
        <v>252000</v>
      </c>
      <c r="H816" s="20">
        <f t="shared" si="128"/>
        <v>198000</v>
      </c>
      <c r="I816" s="20" t="b">
        <f t="shared" si="129"/>
        <v>1</v>
      </c>
      <c r="J816" s="20"/>
      <c r="K816" s="20"/>
    </row>
    <row r="817" spans="1:11" ht="15.5" x14ac:dyDescent="0.35">
      <c r="A817" s="3" t="s">
        <v>84</v>
      </c>
      <c r="B817" s="1"/>
      <c r="C817" s="20">
        <v>18500</v>
      </c>
      <c r="D817" s="1"/>
      <c r="E817" s="1"/>
      <c r="F817" s="20">
        <f t="shared" si="126"/>
        <v>0</v>
      </c>
      <c r="G817" s="20">
        <f t="shared" si="127"/>
        <v>0</v>
      </c>
      <c r="H817" s="20">
        <f t="shared" si="128"/>
        <v>0</v>
      </c>
      <c r="I817" s="20" t="b">
        <f t="shared" si="129"/>
        <v>1</v>
      </c>
      <c r="J817" s="20"/>
      <c r="K817" s="20"/>
    </row>
    <row r="818" spans="1:11" ht="15.5" x14ac:dyDescent="0.35">
      <c r="A818" s="3" t="s">
        <v>85</v>
      </c>
      <c r="B818" s="1"/>
      <c r="C818" s="20">
        <v>18500</v>
      </c>
      <c r="D818" s="1"/>
      <c r="E818" s="1"/>
      <c r="F818" s="20">
        <f t="shared" si="126"/>
        <v>0</v>
      </c>
      <c r="G818" s="20">
        <f t="shared" si="127"/>
        <v>0</v>
      </c>
      <c r="H818" s="20">
        <f t="shared" si="128"/>
        <v>0</v>
      </c>
      <c r="I818" s="20" t="b">
        <f t="shared" si="129"/>
        <v>1</v>
      </c>
      <c r="J818" s="20"/>
      <c r="K818" s="20"/>
    </row>
    <row r="819" spans="1:11" ht="15.5" x14ac:dyDescent="0.35">
      <c r="A819" s="3" t="s">
        <v>86</v>
      </c>
      <c r="B819" s="1">
        <v>10</v>
      </c>
      <c r="C819" s="20">
        <v>18500</v>
      </c>
      <c r="D819" s="1">
        <v>2</v>
      </c>
      <c r="E819" s="1">
        <v>8</v>
      </c>
      <c r="F819" s="20">
        <f t="shared" si="126"/>
        <v>185000</v>
      </c>
      <c r="G819" s="20">
        <f t="shared" si="127"/>
        <v>37000</v>
      </c>
      <c r="H819" s="20">
        <f t="shared" si="128"/>
        <v>148000</v>
      </c>
      <c r="I819" s="20" t="b">
        <f t="shared" si="129"/>
        <v>1</v>
      </c>
      <c r="J819" s="20"/>
      <c r="K819" s="20"/>
    </row>
    <row r="820" spans="1:11" ht="15.5" x14ac:dyDescent="0.35">
      <c r="A820" s="3" t="s">
        <v>87</v>
      </c>
      <c r="B820" s="1">
        <v>3</v>
      </c>
      <c r="C820" s="20">
        <v>18500</v>
      </c>
      <c r="D820" s="1">
        <v>1</v>
      </c>
      <c r="E820" s="1">
        <v>3</v>
      </c>
      <c r="F820" s="20">
        <f t="shared" si="126"/>
        <v>55500</v>
      </c>
      <c r="G820" s="20">
        <f t="shared" si="127"/>
        <v>18500</v>
      </c>
      <c r="H820" s="20">
        <f t="shared" si="128"/>
        <v>55500</v>
      </c>
      <c r="I820" s="20" t="b">
        <f t="shared" si="129"/>
        <v>0</v>
      </c>
      <c r="J820" s="20"/>
      <c r="K820" s="20"/>
    </row>
    <row r="821" spans="1:11" ht="15.5" x14ac:dyDescent="0.35">
      <c r="A821" s="3" t="s">
        <v>88</v>
      </c>
      <c r="B821" s="1">
        <v>11</v>
      </c>
      <c r="C821" s="20">
        <v>18500</v>
      </c>
      <c r="D821" s="1">
        <v>5</v>
      </c>
      <c r="E821" s="1">
        <v>6</v>
      </c>
      <c r="F821" s="20">
        <f t="shared" si="126"/>
        <v>203500</v>
      </c>
      <c r="G821" s="20">
        <f t="shared" si="127"/>
        <v>92500</v>
      </c>
      <c r="H821" s="20">
        <f t="shared" si="128"/>
        <v>111000</v>
      </c>
      <c r="I821" s="20" t="b">
        <f t="shared" si="129"/>
        <v>1</v>
      </c>
      <c r="J821" s="20"/>
      <c r="K821" s="20"/>
    </row>
    <row r="822" spans="1:11" ht="15.5" x14ac:dyDescent="0.35">
      <c r="A822" s="19" t="s">
        <v>89</v>
      </c>
      <c r="B822" s="1"/>
      <c r="C822" s="20"/>
      <c r="D822" s="1"/>
      <c r="E822" s="1"/>
      <c r="F822" s="20"/>
      <c r="G822" s="20"/>
      <c r="H822" s="20"/>
      <c r="I822" s="20"/>
      <c r="J822" s="20"/>
      <c r="K822" s="20"/>
    </row>
    <row r="823" spans="1:11" ht="15.5" x14ac:dyDescent="0.35">
      <c r="A823" s="3" t="s">
        <v>92</v>
      </c>
      <c r="B823" s="1">
        <v>53</v>
      </c>
      <c r="C823" s="20">
        <v>21500</v>
      </c>
      <c r="D823" s="1">
        <v>20</v>
      </c>
      <c r="E823" s="1">
        <v>33</v>
      </c>
      <c r="F823" s="20">
        <f t="shared" ref="F823:F825" si="130">C823*B823</f>
        <v>1139500</v>
      </c>
      <c r="G823" s="20">
        <f t="shared" ref="G823:G825" si="131">D823*C823</f>
        <v>430000</v>
      </c>
      <c r="H823" s="20">
        <f t="shared" ref="H823:H825" si="132">E823*C823</f>
        <v>709500</v>
      </c>
      <c r="I823" s="20" t="b">
        <f t="shared" ref="I823:I825" si="133">E823+D823=B823</f>
        <v>1</v>
      </c>
      <c r="J823" s="20"/>
      <c r="K823" s="20"/>
    </row>
    <row r="824" spans="1:11" ht="15.5" x14ac:dyDescent="0.35">
      <c r="A824" s="3" t="s">
        <v>93</v>
      </c>
      <c r="B824" s="1">
        <v>6</v>
      </c>
      <c r="C824" s="20">
        <v>21500</v>
      </c>
      <c r="D824" s="1">
        <v>2</v>
      </c>
      <c r="E824" s="1">
        <v>4</v>
      </c>
      <c r="F824" s="20">
        <f t="shared" si="130"/>
        <v>129000</v>
      </c>
      <c r="G824" s="20">
        <f t="shared" si="131"/>
        <v>43000</v>
      </c>
      <c r="H824" s="20">
        <f t="shared" si="132"/>
        <v>86000</v>
      </c>
      <c r="I824" s="20" t="b">
        <f t="shared" si="133"/>
        <v>1</v>
      </c>
      <c r="J824" s="20"/>
      <c r="K824" s="20"/>
    </row>
    <row r="825" spans="1:11" ht="15.5" x14ac:dyDescent="0.35">
      <c r="A825" s="3" t="s">
        <v>94</v>
      </c>
      <c r="B825" s="1">
        <v>28</v>
      </c>
      <c r="C825" s="20">
        <v>21500</v>
      </c>
      <c r="D825" s="1">
        <v>18</v>
      </c>
      <c r="E825" s="1">
        <v>10</v>
      </c>
      <c r="F825" s="20">
        <f t="shared" si="130"/>
        <v>602000</v>
      </c>
      <c r="G825" s="20">
        <f t="shared" si="131"/>
        <v>387000</v>
      </c>
      <c r="H825" s="20">
        <f t="shared" si="132"/>
        <v>215000</v>
      </c>
      <c r="I825" s="20" t="b">
        <f t="shared" si="133"/>
        <v>1</v>
      </c>
      <c r="J825" s="20"/>
      <c r="K825" s="20"/>
    </row>
    <row r="826" spans="1:11" ht="15.5" x14ac:dyDescent="0.35">
      <c r="A826" s="19"/>
      <c r="B826" s="22">
        <f>SUM(B809:B825)</f>
        <v>339</v>
      </c>
      <c r="C826" s="20"/>
      <c r="D826" s="1"/>
      <c r="E826" s="1"/>
      <c r="F826" s="23">
        <f>SUM(F809:F825)</f>
        <v>6335500</v>
      </c>
      <c r="G826" s="23">
        <f>SUM(G809:G825)</f>
        <v>3317000</v>
      </c>
      <c r="H826" s="23">
        <f>SUM(H809:H825)</f>
        <v>3037000</v>
      </c>
      <c r="I826" s="20"/>
      <c r="J826" s="23">
        <f>SUM(J809:J825)</f>
        <v>595000</v>
      </c>
      <c r="K826" s="23">
        <f>H826-J826</f>
        <v>2442000</v>
      </c>
    </row>
    <row r="827" spans="1:11" ht="15.5" x14ac:dyDescent="0.35">
      <c r="A827" s="19" t="s">
        <v>95</v>
      </c>
      <c r="B827" s="1"/>
      <c r="C827" s="20"/>
      <c r="D827" s="1"/>
      <c r="E827" s="1"/>
      <c r="F827" s="20"/>
      <c r="G827" s="20"/>
      <c r="H827" s="20"/>
      <c r="I827" s="20" t="b">
        <f t="shared" ref="I827:I831" si="134">E827+D827=B827</f>
        <v>1</v>
      </c>
      <c r="J827" s="20"/>
      <c r="K827" s="20"/>
    </row>
    <row r="828" spans="1:11" ht="15.5" x14ac:dyDescent="0.35">
      <c r="A828" s="3" t="s">
        <v>96</v>
      </c>
      <c r="B828" s="1"/>
      <c r="C828" s="20">
        <v>3000</v>
      </c>
      <c r="D828" s="1"/>
      <c r="E828" s="1"/>
      <c r="F828" s="20">
        <f t="shared" ref="F828:F831" si="135">C828*B828</f>
        <v>0</v>
      </c>
      <c r="G828" s="20"/>
      <c r="H828" s="20"/>
      <c r="I828" s="20" t="b">
        <f t="shared" si="134"/>
        <v>1</v>
      </c>
      <c r="J828" s="20"/>
      <c r="K828" s="20"/>
    </row>
    <row r="829" spans="1:11" ht="15.5" x14ac:dyDescent="0.35">
      <c r="A829" s="3" t="s">
        <v>97</v>
      </c>
      <c r="B829" s="1"/>
      <c r="C829" s="20">
        <v>2500</v>
      </c>
      <c r="D829" s="1"/>
      <c r="E829" s="1"/>
      <c r="F829" s="20">
        <f t="shared" si="135"/>
        <v>0</v>
      </c>
      <c r="G829" s="20"/>
      <c r="H829" s="20"/>
      <c r="I829" s="20" t="b">
        <f t="shared" si="134"/>
        <v>1</v>
      </c>
      <c r="J829" s="20"/>
      <c r="K829" s="20"/>
    </row>
    <row r="830" spans="1:11" ht="15.5" x14ac:dyDescent="0.35">
      <c r="A830" s="3" t="s">
        <v>98</v>
      </c>
      <c r="B830" s="1"/>
      <c r="C830" s="20">
        <v>1800</v>
      </c>
      <c r="D830" s="1"/>
      <c r="E830" s="1"/>
      <c r="F830" s="20">
        <f t="shared" si="135"/>
        <v>0</v>
      </c>
      <c r="G830" s="20"/>
      <c r="H830" s="20"/>
      <c r="I830" s="20" t="b">
        <f t="shared" si="134"/>
        <v>1</v>
      </c>
      <c r="J830" s="20"/>
      <c r="K830" s="20"/>
    </row>
    <row r="831" spans="1:11" ht="15.5" x14ac:dyDescent="0.35">
      <c r="A831" s="3" t="s">
        <v>99</v>
      </c>
      <c r="B831" s="1"/>
      <c r="C831" s="20">
        <v>3500</v>
      </c>
      <c r="D831" s="1"/>
      <c r="E831" s="1"/>
      <c r="F831" s="20">
        <f t="shared" si="135"/>
        <v>0</v>
      </c>
      <c r="G831" s="20"/>
      <c r="H831" s="20"/>
      <c r="I831" s="20" t="b">
        <f t="shared" si="134"/>
        <v>1</v>
      </c>
      <c r="J831" s="20"/>
      <c r="K831" s="20"/>
    </row>
    <row r="832" spans="1:11" ht="15.5" x14ac:dyDescent="0.35">
      <c r="A832" s="18"/>
    </row>
    <row r="834" spans="1:10" ht="15.5" x14ac:dyDescent="0.35">
      <c r="A834" s="24" t="s">
        <v>108</v>
      </c>
      <c r="J834" s="21"/>
    </row>
    <row r="835" spans="1:10" ht="15.5" x14ac:dyDescent="0.35">
      <c r="A835" s="18" t="s">
        <v>114</v>
      </c>
      <c r="B835" s="67">
        <v>45000</v>
      </c>
      <c r="J835" s="21"/>
    </row>
    <row r="836" spans="1:10" ht="15.5" x14ac:dyDescent="0.35">
      <c r="A836" s="18" t="s">
        <v>254</v>
      </c>
      <c r="B836" s="67">
        <v>60000</v>
      </c>
      <c r="J836" s="21"/>
    </row>
    <row r="837" spans="1:10" ht="15.5" x14ac:dyDescent="0.35">
      <c r="A837" s="18" t="s">
        <v>112</v>
      </c>
      <c r="B837" s="67">
        <v>60000</v>
      </c>
      <c r="J837" s="21"/>
    </row>
    <row r="838" spans="1:10" ht="15.5" x14ac:dyDescent="0.35">
      <c r="A838" s="18" t="s">
        <v>110</v>
      </c>
      <c r="B838" s="67">
        <v>45000</v>
      </c>
    </row>
    <row r="839" spans="1:10" ht="15.5" x14ac:dyDescent="0.35">
      <c r="A839" s="18" t="s">
        <v>111</v>
      </c>
      <c r="B839" s="67">
        <v>45000</v>
      </c>
    </row>
    <row r="840" spans="1:10" ht="15.5" x14ac:dyDescent="0.35">
      <c r="A840" s="18" t="s">
        <v>196</v>
      </c>
      <c r="B840" s="67">
        <v>45000</v>
      </c>
    </row>
    <row r="841" spans="1:10" ht="15.5" x14ac:dyDescent="0.35">
      <c r="A841" s="18" t="s">
        <v>113</v>
      </c>
      <c r="B841" s="67">
        <v>45000</v>
      </c>
    </row>
    <row r="842" spans="1:10" ht="15.5" x14ac:dyDescent="0.35">
      <c r="A842" s="18" t="s">
        <v>209</v>
      </c>
      <c r="B842" s="67">
        <v>45000</v>
      </c>
    </row>
    <row r="843" spans="1:10" ht="15.5" x14ac:dyDescent="0.35">
      <c r="A843" s="18" t="s">
        <v>258</v>
      </c>
      <c r="B843" s="67">
        <v>60000</v>
      </c>
    </row>
    <row r="844" spans="1:10" ht="15.5" x14ac:dyDescent="0.35">
      <c r="A844" s="18" t="s">
        <v>122</v>
      </c>
      <c r="B844" s="67">
        <v>60000</v>
      </c>
    </row>
    <row r="845" spans="1:10" ht="15.5" x14ac:dyDescent="0.35">
      <c r="A845" s="18" t="s">
        <v>109</v>
      </c>
      <c r="B845" s="67">
        <v>45000</v>
      </c>
    </row>
    <row r="846" spans="1:10" ht="15.5" x14ac:dyDescent="0.35">
      <c r="A846" s="24" t="s">
        <v>4</v>
      </c>
      <c r="B846" s="75">
        <f>SUM(B835:B845)</f>
        <v>555000</v>
      </c>
    </row>
    <row r="849" spans="1:11" ht="18.5" x14ac:dyDescent="0.45">
      <c r="A849" s="149">
        <v>46051</v>
      </c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</row>
    <row r="851" spans="1:11" ht="18.5" x14ac:dyDescent="0.45">
      <c r="A851" s="2" t="s">
        <v>75</v>
      </c>
      <c r="B851" s="2" t="s">
        <v>3</v>
      </c>
      <c r="C851" s="2" t="s">
        <v>100</v>
      </c>
      <c r="D851" s="2" t="s">
        <v>90</v>
      </c>
      <c r="E851" s="2" t="s">
        <v>91</v>
      </c>
      <c r="F851" s="2" t="s">
        <v>4</v>
      </c>
      <c r="G851" s="2" t="s">
        <v>101</v>
      </c>
      <c r="H851" s="2" t="s">
        <v>104</v>
      </c>
      <c r="I851" s="2"/>
      <c r="J851" s="2" t="s">
        <v>105</v>
      </c>
      <c r="K851" s="2" t="s">
        <v>106</v>
      </c>
    </row>
    <row r="852" spans="1:11" ht="15.5" x14ac:dyDescent="0.35">
      <c r="A852" s="3" t="s">
        <v>76</v>
      </c>
      <c r="B852" s="1">
        <v>127</v>
      </c>
      <c r="C852" s="20">
        <v>17500</v>
      </c>
      <c r="D852" s="1">
        <v>56</v>
      </c>
      <c r="E852" s="1">
        <v>71</v>
      </c>
      <c r="F852" s="20">
        <f>C852*B852</f>
        <v>2222500</v>
      </c>
      <c r="G852" s="20">
        <f>D852*C852</f>
        <v>980000</v>
      </c>
      <c r="H852" s="20">
        <f>E852*C852</f>
        <v>1242500</v>
      </c>
      <c r="I852" s="20" t="b">
        <f>E852+D852=B852</f>
        <v>1</v>
      </c>
      <c r="J852" s="20">
        <f>B889</f>
        <v>495000</v>
      </c>
      <c r="K852" s="20" t="s">
        <v>117</v>
      </c>
    </row>
    <row r="853" spans="1:11" ht="15.5" x14ac:dyDescent="0.35">
      <c r="A853" s="3" t="s">
        <v>77</v>
      </c>
      <c r="B853" s="1">
        <v>16</v>
      </c>
      <c r="C853" s="20">
        <v>16000</v>
      </c>
      <c r="D853" s="1">
        <v>9</v>
      </c>
      <c r="E853" s="1">
        <v>7</v>
      </c>
      <c r="F853" s="20">
        <f t="shared" ref="F853:F864" si="136">C853*B853</f>
        <v>256000</v>
      </c>
      <c r="G853" s="20">
        <f t="shared" ref="G853:G864" si="137">D853*C853</f>
        <v>144000</v>
      </c>
      <c r="H853" s="20">
        <f t="shared" ref="H853:H864" si="138">E853*C853</f>
        <v>112000</v>
      </c>
      <c r="I853" s="20" t="b">
        <f t="shared" ref="I853:I864" si="139">E853+D853=B853</f>
        <v>1</v>
      </c>
      <c r="J853" s="20">
        <v>10000</v>
      </c>
      <c r="K853" s="20" t="s">
        <v>191</v>
      </c>
    </row>
    <row r="854" spans="1:11" ht="15.5" x14ac:dyDescent="0.35">
      <c r="A854" s="3" t="s">
        <v>78</v>
      </c>
      <c r="B854" s="1">
        <v>57</v>
      </c>
      <c r="C854" s="20">
        <v>17500</v>
      </c>
      <c r="D854" s="1">
        <v>23</v>
      </c>
      <c r="E854" s="1">
        <v>34</v>
      </c>
      <c r="F854" s="20">
        <f t="shared" si="136"/>
        <v>997500</v>
      </c>
      <c r="G854" s="20">
        <f t="shared" si="137"/>
        <v>402500</v>
      </c>
      <c r="H854" s="20">
        <f t="shared" si="138"/>
        <v>595000</v>
      </c>
      <c r="I854" s="20" t="b">
        <f t="shared" si="139"/>
        <v>1</v>
      </c>
      <c r="J854" s="20">
        <v>138400</v>
      </c>
      <c r="K854" s="20" t="s">
        <v>155</v>
      </c>
    </row>
    <row r="855" spans="1:11" ht="15.5" x14ac:dyDescent="0.35">
      <c r="A855" s="3" t="s">
        <v>79</v>
      </c>
      <c r="B855" s="1">
        <v>27</v>
      </c>
      <c r="C855" s="20">
        <v>18500</v>
      </c>
      <c r="D855" s="1">
        <v>11</v>
      </c>
      <c r="E855" s="1">
        <v>16</v>
      </c>
      <c r="F855" s="20">
        <f t="shared" si="136"/>
        <v>499500</v>
      </c>
      <c r="G855" s="20">
        <f t="shared" si="137"/>
        <v>203500</v>
      </c>
      <c r="H855" s="20">
        <f t="shared" si="138"/>
        <v>296000</v>
      </c>
      <c r="I855" s="20" t="b">
        <f t="shared" si="139"/>
        <v>1</v>
      </c>
      <c r="J855" s="20"/>
      <c r="K855" s="20"/>
    </row>
    <row r="856" spans="1:11" ht="15.5" x14ac:dyDescent="0.35">
      <c r="A856" s="3" t="s">
        <v>80</v>
      </c>
      <c r="B856" s="1"/>
      <c r="C856" s="20">
        <v>18500</v>
      </c>
      <c r="D856" s="1">
        <v>27</v>
      </c>
      <c r="E856" s="1">
        <v>23</v>
      </c>
      <c r="F856" s="20">
        <f t="shared" si="136"/>
        <v>0</v>
      </c>
      <c r="G856" s="20">
        <f t="shared" si="137"/>
        <v>499500</v>
      </c>
      <c r="H856" s="20">
        <f t="shared" si="138"/>
        <v>425500</v>
      </c>
      <c r="I856" s="20" t="b">
        <f t="shared" si="139"/>
        <v>0</v>
      </c>
      <c r="J856" s="20"/>
      <c r="K856" s="20"/>
    </row>
    <row r="857" spans="1:11" ht="15.5" x14ac:dyDescent="0.35">
      <c r="A857" s="3" t="s">
        <v>81</v>
      </c>
      <c r="B857" s="1"/>
      <c r="C857" s="20">
        <v>23000</v>
      </c>
      <c r="D857" s="1"/>
      <c r="E857" s="1"/>
      <c r="F857" s="20">
        <f t="shared" si="136"/>
        <v>0</v>
      </c>
      <c r="G857" s="20">
        <f t="shared" si="137"/>
        <v>0</v>
      </c>
      <c r="H857" s="20">
        <f t="shared" si="138"/>
        <v>0</v>
      </c>
      <c r="I857" s="20" t="b">
        <f t="shared" si="139"/>
        <v>1</v>
      </c>
      <c r="J857" s="20"/>
      <c r="K857" s="20"/>
    </row>
    <row r="858" spans="1:11" ht="15.5" x14ac:dyDescent="0.35">
      <c r="A858" s="3" t="s">
        <v>82</v>
      </c>
      <c r="B858" s="1"/>
      <c r="C858" s="20">
        <v>18000</v>
      </c>
      <c r="D858" s="1"/>
      <c r="E858" s="1"/>
      <c r="F858" s="20">
        <f t="shared" si="136"/>
        <v>0</v>
      </c>
      <c r="G858" s="20">
        <f t="shared" si="137"/>
        <v>0</v>
      </c>
      <c r="H858" s="20">
        <f t="shared" si="138"/>
        <v>0</v>
      </c>
      <c r="I858" s="20" t="b">
        <f t="shared" si="139"/>
        <v>1</v>
      </c>
      <c r="J858" s="20"/>
      <c r="K858" s="20"/>
    </row>
    <row r="859" spans="1:11" ht="15.5" x14ac:dyDescent="0.35">
      <c r="A859" s="3" t="s">
        <v>83</v>
      </c>
      <c r="B859" s="1"/>
      <c r="C859" s="20">
        <v>18000</v>
      </c>
      <c r="D859" s="11"/>
      <c r="E859" s="1"/>
      <c r="F859" s="20">
        <f t="shared" si="136"/>
        <v>0</v>
      </c>
      <c r="G859" s="20">
        <f t="shared" si="137"/>
        <v>0</v>
      </c>
      <c r="H859" s="20">
        <f t="shared" si="138"/>
        <v>0</v>
      </c>
      <c r="I859" s="20" t="b">
        <f t="shared" si="139"/>
        <v>1</v>
      </c>
      <c r="J859" s="20"/>
      <c r="K859" s="20"/>
    </row>
    <row r="860" spans="1:11" ht="15.5" x14ac:dyDescent="0.35">
      <c r="A860" s="3" t="s">
        <v>84</v>
      </c>
      <c r="B860" s="1">
        <v>50</v>
      </c>
      <c r="C860" s="20">
        <v>18500</v>
      </c>
      <c r="D860" s="1">
        <v>27</v>
      </c>
      <c r="E860" s="1">
        <v>23</v>
      </c>
      <c r="F860" s="20">
        <f t="shared" si="136"/>
        <v>925000</v>
      </c>
      <c r="G860" s="20">
        <f t="shared" si="137"/>
        <v>499500</v>
      </c>
      <c r="H860" s="20">
        <f t="shared" si="138"/>
        <v>425500</v>
      </c>
      <c r="I860" s="20" t="b">
        <f t="shared" si="139"/>
        <v>1</v>
      </c>
      <c r="J860" s="20"/>
      <c r="K860" s="20"/>
    </row>
    <row r="861" spans="1:11" ht="15.5" x14ac:dyDescent="0.35">
      <c r="A861" s="3" t="s">
        <v>85</v>
      </c>
      <c r="B861" s="1"/>
      <c r="C861" s="20">
        <v>18500</v>
      </c>
      <c r="D861" s="1"/>
      <c r="E861" s="1"/>
      <c r="F861" s="20">
        <f t="shared" si="136"/>
        <v>0</v>
      </c>
      <c r="G861" s="20">
        <f t="shared" si="137"/>
        <v>0</v>
      </c>
      <c r="H861" s="20">
        <f t="shared" si="138"/>
        <v>0</v>
      </c>
      <c r="I861" s="20" t="b">
        <f t="shared" si="139"/>
        <v>1</v>
      </c>
      <c r="J861" s="20"/>
      <c r="K861" s="20"/>
    </row>
    <row r="862" spans="1:11" ht="15.5" x14ac:dyDescent="0.35">
      <c r="A862" s="3" t="s">
        <v>86</v>
      </c>
      <c r="B862" s="1"/>
      <c r="C862" s="20">
        <v>18500</v>
      </c>
      <c r="D862" s="1"/>
      <c r="E862" s="1"/>
      <c r="F862" s="20">
        <f t="shared" si="136"/>
        <v>0</v>
      </c>
      <c r="G862" s="20">
        <f t="shared" si="137"/>
        <v>0</v>
      </c>
      <c r="H862" s="20">
        <f t="shared" si="138"/>
        <v>0</v>
      </c>
      <c r="I862" s="20" t="b">
        <f t="shared" si="139"/>
        <v>1</v>
      </c>
      <c r="J862" s="20"/>
      <c r="K862" s="20"/>
    </row>
    <row r="863" spans="1:11" ht="15.5" x14ac:dyDescent="0.35">
      <c r="A863" s="3" t="s">
        <v>87</v>
      </c>
      <c r="B863" s="1">
        <v>5</v>
      </c>
      <c r="C863" s="20">
        <v>18500</v>
      </c>
      <c r="D863" s="1">
        <v>4</v>
      </c>
      <c r="E863" s="1">
        <v>1</v>
      </c>
      <c r="F863" s="20">
        <f t="shared" si="136"/>
        <v>92500</v>
      </c>
      <c r="G863" s="20">
        <f t="shared" si="137"/>
        <v>74000</v>
      </c>
      <c r="H863" s="20">
        <f t="shared" si="138"/>
        <v>18500</v>
      </c>
      <c r="I863" s="20" t="b">
        <f t="shared" si="139"/>
        <v>1</v>
      </c>
      <c r="J863" s="20"/>
      <c r="K863" s="20"/>
    </row>
    <row r="864" spans="1:11" ht="15.5" x14ac:dyDescent="0.35">
      <c r="A864" s="3" t="s">
        <v>88</v>
      </c>
      <c r="B864" s="1">
        <v>6</v>
      </c>
      <c r="C864" s="20">
        <v>18500</v>
      </c>
      <c r="D864" s="1">
        <v>1</v>
      </c>
      <c r="E864" s="1">
        <v>5</v>
      </c>
      <c r="F864" s="20">
        <f t="shared" si="136"/>
        <v>111000</v>
      </c>
      <c r="G864" s="20">
        <f t="shared" si="137"/>
        <v>18500</v>
      </c>
      <c r="H864" s="20">
        <f t="shared" si="138"/>
        <v>92500</v>
      </c>
      <c r="I864" s="20" t="b">
        <f t="shared" si="139"/>
        <v>1</v>
      </c>
      <c r="J864" s="20"/>
      <c r="K864" s="20"/>
    </row>
    <row r="865" spans="1:11" ht="15.5" x14ac:dyDescent="0.35">
      <c r="A865" s="19" t="s">
        <v>89</v>
      </c>
      <c r="B865" s="1"/>
      <c r="C865" s="20"/>
      <c r="D865" s="1"/>
      <c r="E865" s="1"/>
      <c r="F865" s="20"/>
      <c r="G865" s="20"/>
      <c r="H865" s="20"/>
      <c r="I865" s="20"/>
      <c r="J865" s="20"/>
      <c r="K865" s="20"/>
    </row>
    <row r="866" spans="1:11" ht="15.5" x14ac:dyDescent="0.35">
      <c r="A866" s="3" t="s">
        <v>92</v>
      </c>
      <c r="B866" s="1"/>
      <c r="C866" s="20">
        <v>21500</v>
      </c>
      <c r="D866" s="1"/>
      <c r="E866" s="1"/>
      <c r="F866" s="20">
        <f t="shared" ref="F866:F868" si="140">C866*B866</f>
        <v>0</v>
      </c>
      <c r="G866" s="20">
        <f t="shared" ref="G866:G868" si="141">D866*C866</f>
        <v>0</v>
      </c>
      <c r="H866" s="20">
        <f t="shared" ref="H866:H868" si="142">E866*C866</f>
        <v>0</v>
      </c>
      <c r="I866" s="20" t="b">
        <f t="shared" ref="I866:I868" si="143">E866+D866=B866</f>
        <v>1</v>
      </c>
      <c r="J866" s="20"/>
      <c r="K866" s="20"/>
    </row>
    <row r="867" spans="1:11" ht="15.5" x14ac:dyDescent="0.35">
      <c r="A867" s="3" t="s">
        <v>93</v>
      </c>
      <c r="B867" s="1">
        <v>30</v>
      </c>
      <c r="C867" s="20">
        <v>21500</v>
      </c>
      <c r="D867" s="1">
        <v>17</v>
      </c>
      <c r="E867" s="1">
        <v>13</v>
      </c>
      <c r="F867" s="20">
        <f t="shared" si="140"/>
        <v>645000</v>
      </c>
      <c r="G867" s="20">
        <f t="shared" si="141"/>
        <v>365500</v>
      </c>
      <c r="H867" s="20">
        <f t="shared" si="142"/>
        <v>279500</v>
      </c>
      <c r="I867" s="20" t="b">
        <f t="shared" si="143"/>
        <v>1</v>
      </c>
      <c r="J867" s="20"/>
      <c r="K867" s="20"/>
    </row>
    <row r="868" spans="1:11" ht="15.5" x14ac:dyDescent="0.35">
      <c r="A868" s="3" t="s">
        <v>94</v>
      </c>
      <c r="B868" s="1">
        <v>33</v>
      </c>
      <c r="C868" s="20">
        <v>21500</v>
      </c>
      <c r="D868" s="1">
        <v>24</v>
      </c>
      <c r="E868" s="1">
        <v>9</v>
      </c>
      <c r="F868" s="20">
        <f t="shared" si="140"/>
        <v>709500</v>
      </c>
      <c r="G868" s="20">
        <f t="shared" si="141"/>
        <v>516000</v>
      </c>
      <c r="H868" s="20">
        <f t="shared" si="142"/>
        <v>193500</v>
      </c>
      <c r="I868" s="20" t="b">
        <f t="shared" si="143"/>
        <v>1</v>
      </c>
      <c r="J868" s="20"/>
      <c r="K868" s="20"/>
    </row>
    <row r="869" spans="1:11" ht="15.5" x14ac:dyDescent="0.35">
      <c r="A869" s="19"/>
      <c r="B869" s="22">
        <f>SUM(B852:B868)</f>
        <v>351</v>
      </c>
      <c r="C869" s="20"/>
      <c r="D869" s="1"/>
      <c r="E869" s="1"/>
      <c r="F869" s="23">
        <f>SUM(F852:F868)</f>
        <v>6458500</v>
      </c>
      <c r="G869" s="23">
        <f>SUM(G852:G868)</f>
        <v>3703000</v>
      </c>
      <c r="H869" s="23">
        <f>SUM(H852:H868)</f>
        <v>3680500</v>
      </c>
      <c r="I869" s="20"/>
      <c r="J869" s="23">
        <f>SUM(J852:J868)</f>
        <v>643400</v>
      </c>
      <c r="K869" s="23">
        <f>H869-J869</f>
        <v>3037100</v>
      </c>
    </row>
    <row r="870" spans="1:11" ht="15.5" x14ac:dyDescent="0.35">
      <c r="A870" s="19" t="s">
        <v>95</v>
      </c>
      <c r="B870" s="1"/>
      <c r="C870" s="20"/>
      <c r="D870" s="1"/>
      <c r="E870" s="1"/>
      <c r="F870" s="20"/>
      <c r="G870" s="20"/>
      <c r="H870" s="20"/>
      <c r="I870" s="20" t="b">
        <f t="shared" ref="I870:I874" si="144">E870+D870=B870</f>
        <v>1</v>
      </c>
      <c r="J870" s="20"/>
      <c r="K870" s="20"/>
    </row>
    <row r="871" spans="1:11" ht="15.5" x14ac:dyDescent="0.35">
      <c r="A871" s="3" t="s">
        <v>96</v>
      </c>
      <c r="B871" s="1"/>
      <c r="C871" s="20">
        <v>3000</v>
      </c>
      <c r="D871" s="1"/>
      <c r="E871" s="1"/>
      <c r="F871" s="20">
        <f t="shared" ref="F871:F874" si="145">C871*B871</f>
        <v>0</v>
      </c>
      <c r="G871" s="20"/>
      <c r="H871" s="20"/>
      <c r="I871" s="20" t="b">
        <f t="shared" si="144"/>
        <v>1</v>
      </c>
      <c r="J871" s="20"/>
      <c r="K871" s="20"/>
    </row>
    <row r="872" spans="1:11" ht="15.5" x14ac:dyDescent="0.35">
      <c r="A872" s="3" t="s">
        <v>97</v>
      </c>
      <c r="B872" s="1"/>
      <c r="C872" s="20">
        <v>2500</v>
      </c>
      <c r="D872" s="1"/>
      <c r="E872" s="1"/>
      <c r="F872" s="20">
        <f t="shared" si="145"/>
        <v>0</v>
      </c>
      <c r="G872" s="20"/>
      <c r="H872" s="20"/>
      <c r="I872" s="20" t="b">
        <f t="shared" si="144"/>
        <v>1</v>
      </c>
      <c r="J872" s="20"/>
      <c r="K872" s="20"/>
    </row>
    <row r="873" spans="1:11" ht="15.5" x14ac:dyDescent="0.35">
      <c r="A873" s="3" t="s">
        <v>98</v>
      </c>
      <c r="B873" s="1"/>
      <c r="C873" s="20">
        <v>1800</v>
      </c>
      <c r="D873" s="1"/>
      <c r="E873" s="1"/>
      <c r="F873" s="20">
        <f t="shared" si="145"/>
        <v>0</v>
      </c>
      <c r="G873" s="20"/>
      <c r="H873" s="20"/>
      <c r="I873" s="20" t="b">
        <f t="shared" si="144"/>
        <v>1</v>
      </c>
      <c r="J873" s="20"/>
      <c r="K873" s="20"/>
    </row>
    <row r="874" spans="1:11" ht="15.5" x14ac:dyDescent="0.35">
      <c r="A874" s="3" t="s">
        <v>99</v>
      </c>
      <c r="B874" s="1"/>
      <c r="C874" s="20">
        <v>3500</v>
      </c>
      <c r="D874" s="1"/>
      <c r="E874" s="1"/>
      <c r="F874" s="20">
        <f t="shared" si="145"/>
        <v>0</v>
      </c>
      <c r="G874" s="20"/>
      <c r="H874" s="20"/>
      <c r="I874" s="20" t="b">
        <f t="shared" si="144"/>
        <v>1</v>
      </c>
      <c r="J874" s="20"/>
      <c r="K874" s="20"/>
    </row>
    <row r="875" spans="1:11" ht="15.5" x14ac:dyDescent="0.35">
      <c r="A875" s="18"/>
    </row>
    <row r="877" spans="1:11" ht="15.5" x14ac:dyDescent="0.35">
      <c r="A877" s="24" t="s">
        <v>108</v>
      </c>
      <c r="J877" s="21"/>
    </row>
    <row r="878" spans="1:11" ht="15.5" x14ac:dyDescent="0.35">
      <c r="A878" s="18" t="s">
        <v>114</v>
      </c>
      <c r="B878" s="67">
        <v>45000</v>
      </c>
      <c r="J878" s="21"/>
    </row>
    <row r="879" spans="1:11" ht="15.5" x14ac:dyDescent="0.35">
      <c r="A879" s="18" t="s">
        <v>254</v>
      </c>
      <c r="B879" s="67"/>
      <c r="C879" t="s">
        <v>255</v>
      </c>
      <c r="J879" s="21"/>
    </row>
    <row r="880" spans="1:11" ht="15.5" x14ac:dyDescent="0.35">
      <c r="A880" s="18" t="s">
        <v>112</v>
      </c>
      <c r="B880" s="67">
        <v>60000</v>
      </c>
      <c r="J880" s="21"/>
    </row>
    <row r="881" spans="1:11" ht="15.5" x14ac:dyDescent="0.35">
      <c r="A881" s="18" t="s">
        <v>110</v>
      </c>
      <c r="B881" s="67">
        <v>45000</v>
      </c>
    </row>
    <row r="882" spans="1:11" ht="15.5" x14ac:dyDescent="0.35">
      <c r="A882" s="18" t="s">
        <v>111</v>
      </c>
      <c r="B882" s="67">
        <v>45000</v>
      </c>
    </row>
    <row r="883" spans="1:11" ht="15.5" x14ac:dyDescent="0.35">
      <c r="A883" s="18" t="s">
        <v>196</v>
      </c>
      <c r="B883" s="67">
        <v>45000</v>
      </c>
    </row>
    <row r="884" spans="1:11" ht="15.5" x14ac:dyDescent="0.35">
      <c r="A884" s="18" t="s">
        <v>113</v>
      </c>
      <c r="B884" s="67">
        <v>45000</v>
      </c>
    </row>
    <row r="885" spans="1:11" ht="15.5" x14ac:dyDescent="0.35">
      <c r="A885" s="18" t="s">
        <v>209</v>
      </c>
      <c r="B885" s="67">
        <v>45000</v>
      </c>
    </row>
    <row r="886" spans="1:11" ht="15.5" x14ac:dyDescent="0.35">
      <c r="A886" s="18" t="s">
        <v>115</v>
      </c>
      <c r="B886" s="67">
        <v>60000</v>
      </c>
    </row>
    <row r="887" spans="1:11" ht="15.5" x14ac:dyDescent="0.35">
      <c r="A887" s="18" t="s">
        <v>122</v>
      </c>
      <c r="B887" s="67">
        <v>60000</v>
      </c>
    </row>
    <row r="888" spans="1:11" ht="15.5" x14ac:dyDescent="0.35">
      <c r="A888" s="18" t="s">
        <v>109</v>
      </c>
      <c r="B888" s="67">
        <v>45000</v>
      </c>
    </row>
    <row r="889" spans="1:11" ht="15.5" x14ac:dyDescent="0.35">
      <c r="A889" s="24" t="s">
        <v>4</v>
      </c>
      <c r="B889" s="75">
        <f>SUM(B878:B888)</f>
        <v>495000</v>
      </c>
    </row>
    <row r="892" spans="1:11" ht="18.5" x14ac:dyDescent="0.45">
      <c r="A892" s="149">
        <v>46052</v>
      </c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</row>
    <row r="894" spans="1:11" ht="18.5" x14ac:dyDescent="0.45">
      <c r="A894" s="2" t="s">
        <v>75</v>
      </c>
      <c r="B894" s="2" t="s">
        <v>3</v>
      </c>
      <c r="C894" s="2" t="s">
        <v>100</v>
      </c>
      <c r="D894" s="2" t="s">
        <v>90</v>
      </c>
      <c r="E894" s="2" t="s">
        <v>91</v>
      </c>
      <c r="F894" s="2" t="s">
        <v>4</v>
      </c>
      <c r="G894" s="2" t="s">
        <v>101</v>
      </c>
      <c r="H894" s="2" t="s">
        <v>104</v>
      </c>
      <c r="I894" s="2"/>
      <c r="J894" s="2" t="s">
        <v>105</v>
      </c>
      <c r="K894" s="2" t="s">
        <v>106</v>
      </c>
    </row>
    <row r="895" spans="1:11" ht="15.5" x14ac:dyDescent="0.35">
      <c r="A895" s="3" t="s">
        <v>76</v>
      </c>
      <c r="B895" s="1">
        <v>113</v>
      </c>
      <c r="C895" s="20">
        <v>17500</v>
      </c>
      <c r="D895" s="1">
        <v>56</v>
      </c>
      <c r="E895" s="1">
        <v>57</v>
      </c>
      <c r="F895" s="20">
        <f>C895*B895</f>
        <v>1977500</v>
      </c>
      <c r="G895" s="20">
        <f>D895*C895</f>
        <v>980000</v>
      </c>
      <c r="H895" s="20">
        <f>E895*C895</f>
        <v>997500</v>
      </c>
      <c r="I895" s="20" t="b">
        <f>E895+D895=B895</f>
        <v>1</v>
      </c>
      <c r="J895" s="20">
        <f>B932</f>
        <v>495000</v>
      </c>
      <c r="K895" s="20" t="s">
        <v>117</v>
      </c>
    </row>
    <row r="896" spans="1:11" ht="15.5" x14ac:dyDescent="0.35">
      <c r="A896" s="3" t="s">
        <v>77</v>
      </c>
      <c r="B896" s="1">
        <v>9</v>
      </c>
      <c r="C896" s="20">
        <v>16000</v>
      </c>
      <c r="D896" s="1">
        <v>6</v>
      </c>
      <c r="E896" s="1">
        <v>3</v>
      </c>
      <c r="F896" s="20">
        <f t="shared" ref="F896:F907" si="146">C896*B896</f>
        <v>144000</v>
      </c>
      <c r="G896" s="20">
        <f t="shared" ref="G896:G907" si="147">D896*C896</f>
        <v>96000</v>
      </c>
      <c r="H896" s="20">
        <f t="shared" ref="H896:H907" si="148">E896*C896</f>
        <v>48000</v>
      </c>
      <c r="I896" s="20" t="b">
        <f t="shared" ref="I896:I907" si="149">E896+D896=B896</f>
        <v>1</v>
      </c>
      <c r="J896" s="20">
        <v>15000</v>
      </c>
      <c r="K896" s="20" t="s">
        <v>127</v>
      </c>
    </row>
    <row r="897" spans="1:11" ht="15.5" x14ac:dyDescent="0.35">
      <c r="A897" s="3" t="s">
        <v>78</v>
      </c>
      <c r="B897" s="1">
        <v>67</v>
      </c>
      <c r="C897" s="20">
        <v>17500</v>
      </c>
      <c r="D897" s="1">
        <v>27</v>
      </c>
      <c r="E897" s="1">
        <v>40</v>
      </c>
      <c r="F897" s="20">
        <f t="shared" si="146"/>
        <v>1172500</v>
      </c>
      <c r="G897" s="20">
        <f t="shared" si="147"/>
        <v>472500</v>
      </c>
      <c r="H897" s="20">
        <f t="shared" si="148"/>
        <v>700000</v>
      </c>
      <c r="I897" s="20" t="b">
        <f t="shared" si="149"/>
        <v>1</v>
      </c>
      <c r="J897" s="20">
        <v>420000</v>
      </c>
      <c r="K897" s="20" t="s">
        <v>107</v>
      </c>
    </row>
    <row r="898" spans="1:11" ht="15.5" x14ac:dyDescent="0.35">
      <c r="A898" s="3" t="s">
        <v>79</v>
      </c>
      <c r="B898" s="1">
        <v>25</v>
      </c>
      <c r="C898" s="20">
        <v>18500</v>
      </c>
      <c r="D898" s="1">
        <v>11</v>
      </c>
      <c r="E898" s="1">
        <v>14</v>
      </c>
      <c r="F898" s="20">
        <f t="shared" si="146"/>
        <v>462500</v>
      </c>
      <c r="G898" s="20">
        <f t="shared" si="147"/>
        <v>203500</v>
      </c>
      <c r="H898" s="20">
        <f t="shared" si="148"/>
        <v>259000</v>
      </c>
      <c r="I898" s="20" t="b">
        <f t="shared" si="149"/>
        <v>1</v>
      </c>
      <c r="J898" s="20"/>
      <c r="K898" s="20"/>
    </row>
    <row r="899" spans="1:11" ht="15.5" x14ac:dyDescent="0.35">
      <c r="A899" s="3" t="s">
        <v>80</v>
      </c>
      <c r="B899" s="1"/>
      <c r="C899" s="20">
        <v>18500</v>
      </c>
      <c r="D899" s="1"/>
      <c r="E899" s="1"/>
      <c r="F899" s="20">
        <f t="shared" si="146"/>
        <v>0</v>
      </c>
      <c r="G899" s="20">
        <f t="shared" si="147"/>
        <v>0</v>
      </c>
      <c r="H899" s="20">
        <f t="shared" si="148"/>
        <v>0</v>
      </c>
      <c r="I899" s="20" t="b">
        <f t="shared" si="149"/>
        <v>1</v>
      </c>
      <c r="J899" s="20"/>
      <c r="K899" s="20"/>
    </row>
    <row r="900" spans="1:11" ht="15.5" x14ac:dyDescent="0.35">
      <c r="A900" s="3" t="s">
        <v>81</v>
      </c>
      <c r="B900" s="1"/>
      <c r="C900" s="20">
        <v>23000</v>
      </c>
      <c r="D900" s="1"/>
      <c r="E900" s="1"/>
      <c r="F900" s="20">
        <f t="shared" si="146"/>
        <v>0</v>
      </c>
      <c r="G900" s="20">
        <f t="shared" si="147"/>
        <v>0</v>
      </c>
      <c r="H900" s="20">
        <f t="shared" si="148"/>
        <v>0</v>
      </c>
      <c r="I900" s="20" t="b">
        <f t="shared" si="149"/>
        <v>1</v>
      </c>
      <c r="J900" s="20"/>
      <c r="K900" s="20"/>
    </row>
    <row r="901" spans="1:11" ht="15.5" x14ac:dyDescent="0.35">
      <c r="A901" s="3" t="s">
        <v>82</v>
      </c>
      <c r="B901" s="1"/>
      <c r="C901" s="20">
        <v>18000</v>
      </c>
      <c r="D901" s="1"/>
      <c r="E901" s="1"/>
      <c r="F901" s="20">
        <f t="shared" si="146"/>
        <v>0</v>
      </c>
      <c r="G901" s="20">
        <f t="shared" si="147"/>
        <v>0</v>
      </c>
      <c r="H901" s="20">
        <f t="shared" si="148"/>
        <v>0</v>
      </c>
      <c r="I901" s="20" t="b">
        <f t="shared" si="149"/>
        <v>1</v>
      </c>
      <c r="J901" s="20"/>
      <c r="K901" s="20"/>
    </row>
    <row r="902" spans="1:11" ht="15.5" x14ac:dyDescent="0.35">
      <c r="A902" s="3" t="s">
        <v>83</v>
      </c>
      <c r="B902" s="1"/>
      <c r="C902" s="20">
        <v>18000</v>
      </c>
      <c r="D902" s="11"/>
      <c r="E902" s="1"/>
      <c r="F902" s="20">
        <f t="shared" si="146"/>
        <v>0</v>
      </c>
      <c r="G902" s="20">
        <f t="shared" si="147"/>
        <v>0</v>
      </c>
      <c r="H902" s="20">
        <f t="shared" si="148"/>
        <v>0</v>
      </c>
      <c r="I902" s="20" t="b">
        <f t="shared" si="149"/>
        <v>1</v>
      </c>
      <c r="J902" s="20"/>
      <c r="K902" s="20"/>
    </row>
    <row r="903" spans="1:11" ht="15.5" x14ac:dyDescent="0.35">
      <c r="A903" s="3" t="s">
        <v>84</v>
      </c>
      <c r="B903" s="1"/>
      <c r="C903" s="20">
        <v>18500</v>
      </c>
      <c r="D903" s="1"/>
      <c r="E903" s="1"/>
      <c r="F903" s="20">
        <f t="shared" si="146"/>
        <v>0</v>
      </c>
      <c r="G903" s="20">
        <f t="shared" si="147"/>
        <v>0</v>
      </c>
      <c r="H903" s="20">
        <f t="shared" si="148"/>
        <v>0</v>
      </c>
      <c r="I903" s="20" t="b">
        <f t="shared" si="149"/>
        <v>1</v>
      </c>
      <c r="J903" s="20"/>
      <c r="K903" s="20"/>
    </row>
    <row r="904" spans="1:11" ht="15.5" x14ac:dyDescent="0.35">
      <c r="A904" s="3" t="s">
        <v>85</v>
      </c>
      <c r="B904" s="1">
        <v>46</v>
      </c>
      <c r="C904" s="20">
        <v>18500</v>
      </c>
      <c r="D904" s="1">
        <v>15</v>
      </c>
      <c r="E904" s="1">
        <v>31</v>
      </c>
      <c r="F904" s="20">
        <f t="shared" si="146"/>
        <v>851000</v>
      </c>
      <c r="G904" s="20">
        <f t="shared" si="147"/>
        <v>277500</v>
      </c>
      <c r="H904" s="20">
        <f t="shared" si="148"/>
        <v>573500</v>
      </c>
      <c r="I904" s="20" t="b">
        <f t="shared" si="149"/>
        <v>1</v>
      </c>
      <c r="J904" s="20"/>
      <c r="K904" s="20"/>
    </row>
    <row r="905" spans="1:11" ht="15.5" x14ac:dyDescent="0.35">
      <c r="A905" s="3" t="s">
        <v>86</v>
      </c>
      <c r="B905" s="1">
        <v>8</v>
      </c>
      <c r="C905" s="20">
        <v>18500</v>
      </c>
      <c r="D905" s="1">
        <v>3</v>
      </c>
      <c r="E905" s="1">
        <v>5</v>
      </c>
      <c r="F905" s="20">
        <f t="shared" si="146"/>
        <v>148000</v>
      </c>
      <c r="G905" s="20">
        <f t="shared" si="147"/>
        <v>55500</v>
      </c>
      <c r="H905" s="20">
        <f t="shared" si="148"/>
        <v>92500</v>
      </c>
      <c r="I905" s="20" t="b">
        <f t="shared" si="149"/>
        <v>1</v>
      </c>
      <c r="J905" s="20"/>
      <c r="K905" s="20"/>
    </row>
    <row r="906" spans="1:11" ht="15.5" x14ac:dyDescent="0.35">
      <c r="A906" s="3" t="s">
        <v>87</v>
      </c>
      <c r="B906" s="1"/>
      <c r="C906" s="20">
        <v>18500</v>
      </c>
      <c r="D906" s="1"/>
      <c r="E906" s="1"/>
      <c r="F906" s="20">
        <f t="shared" si="146"/>
        <v>0</v>
      </c>
      <c r="G906" s="20">
        <f t="shared" si="147"/>
        <v>0</v>
      </c>
      <c r="H906" s="20">
        <f t="shared" si="148"/>
        <v>0</v>
      </c>
      <c r="I906" s="20" t="b">
        <f t="shared" si="149"/>
        <v>1</v>
      </c>
      <c r="J906" s="20"/>
      <c r="K906" s="20"/>
    </row>
    <row r="907" spans="1:11" ht="15.5" x14ac:dyDescent="0.35">
      <c r="A907" s="3" t="s">
        <v>88</v>
      </c>
      <c r="B907" s="1">
        <v>15</v>
      </c>
      <c r="C907" s="20">
        <v>18500</v>
      </c>
      <c r="D907" s="1">
        <v>9</v>
      </c>
      <c r="E907" s="1">
        <v>6</v>
      </c>
      <c r="F907" s="20">
        <f t="shared" si="146"/>
        <v>277500</v>
      </c>
      <c r="G907" s="20">
        <f t="shared" si="147"/>
        <v>166500</v>
      </c>
      <c r="H907" s="20">
        <f t="shared" si="148"/>
        <v>111000</v>
      </c>
      <c r="I907" s="20" t="b">
        <f t="shared" si="149"/>
        <v>1</v>
      </c>
      <c r="J907" s="20"/>
      <c r="K907" s="20"/>
    </row>
    <row r="908" spans="1:11" ht="15.5" x14ac:dyDescent="0.35">
      <c r="A908" s="19" t="s">
        <v>89</v>
      </c>
      <c r="B908" s="1"/>
      <c r="C908" s="20"/>
      <c r="D908" s="1"/>
      <c r="E908" s="1"/>
      <c r="F908" s="20"/>
      <c r="G908" s="20"/>
      <c r="H908" s="20"/>
      <c r="I908" s="20"/>
      <c r="J908" s="20"/>
      <c r="K908" s="20"/>
    </row>
    <row r="909" spans="1:11" ht="15.5" x14ac:dyDescent="0.35">
      <c r="A909" s="3" t="s">
        <v>92</v>
      </c>
      <c r="B909" s="1">
        <v>39</v>
      </c>
      <c r="C909" s="20">
        <v>21500</v>
      </c>
      <c r="D909" s="1">
        <v>11</v>
      </c>
      <c r="E909" s="1">
        <v>28</v>
      </c>
      <c r="F909" s="20">
        <f t="shared" ref="F909:F911" si="150">C909*B909</f>
        <v>838500</v>
      </c>
      <c r="G909" s="20">
        <f t="shared" ref="G909:G911" si="151">D909*C909</f>
        <v>236500</v>
      </c>
      <c r="H909" s="20">
        <f t="shared" ref="H909:H911" si="152">E909*C909</f>
        <v>602000</v>
      </c>
      <c r="I909" s="20" t="b">
        <f t="shared" ref="I909:I911" si="153">E909+D909=B909</f>
        <v>1</v>
      </c>
      <c r="J909" s="20"/>
      <c r="K909" s="20"/>
    </row>
    <row r="910" spans="1:11" ht="15.5" x14ac:dyDescent="0.35">
      <c r="A910" s="3" t="s">
        <v>93</v>
      </c>
      <c r="B910" s="1"/>
      <c r="C910" s="20">
        <v>21500</v>
      </c>
      <c r="D910" s="1"/>
      <c r="E910" s="1"/>
      <c r="F910" s="20">
        <f t="shared" si="150"/>
        <v>0</v>
      </c>
      <c r="G910" s="20">
        <f t="shared" si="151"/>
        <v>0</v>
      </c>
      <c r="H910" s="20">
        <f t="shared" si="152"/>
        <v>0</v>
      </c>
      <c r="I910" s="20" t="b">
        <f t="shared" si="153"/>
        <v>1</v>
      </c>
      <c r="J910" s="20"/>
      <c r="K910" s="20"/>
    </row>
    <row r="911" spans="1:11" ht="15.5" x14ac:dyDescent="0.35">
      <c r="A911" s="3" t="s">
        <v>94</v>
      </c>
      <c r="B911" s="1">
        <v>22</v>
      </c>
      <c r="C911" s="20">
        <v>21500</v>
      </c>
      <c r="D911" s="1">
        <v>6</v>
      </c>
      <c r="E911" s="1">
        <v>16</v>
      </c>
      <c r="F911" s="20">
        <f t="shared" si="150"/>
        <v>473000</v>
      </c>
      <c r="G911" s="20">
        <f t="shared" si="151"/>
        <v>129000</v>
      </c>
      <c r="H911" s="20">
        <f t="shared" si="152"/>
        <v>344000</v>
      </c>
      <c r="I911" s="20" t="b">
        <f t="shared" si="153"/>
        <v>1</v>
      </c>
      <c r="J911" s="20"/>
      <c r="K911" s="20"/>
    </row>
    <row r="912" spans="1:11" ht="15.5" x14ac:dyDescent="0.35">
      <c r="A912" s="19"/>
      <c r="B912" s="22">
        <f>SUM(B895:B911)</f>
        <v>344</v>
      </c>
      <c r="C912" s="20"/>
      <c r="D912" s="1"/>
      <c r="E912" s="1"/>
      <c r="F912" s="23">
        <f>SUM(F895:F911)</f>
        <v>6344500</v>
      </c>
      <c r="G912" s="23">
        <f>SUM(G895:G911)</f>
        <v>2617000</v>
      </c>
      <c r="H912" s="23">
        <f>SUM(H895:H911)</f>
        <v>3727500</v>
      </c>
      <c r="I912" s="20"/>
      <c r="J912" s="23">
        <f>SUM(J895:J911)</f>
        <v>930000</v>
      </c>
      <c r="K912" s="23">
        <f>H912-J912</f>
        <v>2797500</v>
      </c>
    </row>
    <row r="913" spans="1:11" ht="15.5" x14ac:dyDescent="0.35">
      <c r="A913" s="19" t="s">
        <v>95</v>
      </c>
      <c r="B913" s="1"/>
      <c r="C913" s="20"/>
      <c r="D913" s="1"/>
      <c r="E913" s="1"/>
      <c r="F913" s="20"/>
      <c r="G913" s="20"/>
      <c r="H913" s="20"/>
      <c r="I913" s="20" t="b">
        <f t="shared" ref="I913:I917" si="154">E913+D913=B913</f>
        <v>1</v>
      </c>
      <c r="J913" s="20"/>
      <c r="K913" s="20"/>
    </row>
    <row r="914" spans="1:11" ht="15.5" x14ac:dyDescent="0.35">
      <c r="A914" s="3" t="s">
        <v>96</v>
      </c>
      <c r="B914" s="1"/>
      <c r="C914" s="20">
        <v>3000</v>
      </c>
      <c r="D914" s="1"/>
      <c r="E914" s="1"/>
      <c r="F914" s="20">
        <f t="shared" ref="F914:F917" si="155">C914*B914</f>
        <v>0</v>
      </c>
      <c r="G914" s="20"/>
      <c r="H914" s="20"/>
      <c r="I914" s="20" t="b">
        <f t="shared" si="154"/>
        <v>1</v>
      </c>
      <c r="J914" s="20"/>
      <c r="K914" s="20"/>
    </row>
    <row r="915" spans="1:11" ht="15.5" x14ac:dyDescent="0.35">
      <c r="A915" s="3" t="s">
        <v>97</v>
      </c>
      <c r="B915" s="1"/>
      <c r="C915" s="20">
        <v>2500</v>
      </c>
      <c r="D915" s="1"/>
      <c r="E915" s="1"/>
      <c r="F915" s="20">
        <f t="shared" si="155"/>
        <v>0</v>
      </c>
      <c r="G915" s="20"/>
      <c r="H915" s="20"/>
      <c r="I915" s="20" t="b">
        <f t="shared" si="154"/>
        <v>1</v>
      </c>
      <c r="J915" s="20"/>
      <c r="K915" s="20"/>
    </row>
    <row r="916" spans="1:11" ht="15.5" x14ac:dyDescent="0.35">
      <c r="A916" s="3" t="s">
        <v>98</v>
      </c>
      <c r="B916" s="1"/>
      <c r="C916" s="20">
        <v>1800</v>
      </c>
      <c r="D916" s="1"/>
      <c r="E916" s="1"/>
      <c r="F916" s="20">
        <f t="shared" si="155"/>
        <v>0</v>
      </c>
      <c r="G916" s="20"/>
      <c r="H916" s="20"/>
      <c r="I916" s="20" t="b">
        <f t="shared" si="154"/>
        <v>1</v>
      </c>
      <c r="J916" s="20"/>
      <c r="K916" s="20"/>
    </row>
    <row r="917" spans="1:11" ht="15.5" x14ac:dyDescent="0.35">
      <c r="A917" s="3" t="s">
        <v>99</v>
      </c>
      <c r="B917" s="1"/>
      <c r="C917" s="20">
        <v>3500</v>
      </c>
      <c r="D917" s="1"/>
      <c r="E917" s="1"/>
      <c r="F917" s="20">
        <f t="shared" si="155"/>
        <v>0</v>
      </c>
      <c r="G917" s="20"/>
      <c r="H917" s="20"/>
      <c r="I917" s="20" t="b">
        <f t="shared" si="154"/>
        <v>1</v>
      </c>
      <c r="J917" s="20"/>
      <c r="K917" s="20"/>
    </row>
    <row r="918" spans="1:11" ht="15.5" x14ac:dyDescent="0.35">
      <c r="A918" s="18"/>
    </row>
    <row r="920" spans="1:11" ht="15.5" x14ac:dyDescent="0.35">
      <c r="A920" s="24" t="s">
        <v>108</v>
      </c>
      <c r="J920" s="21"/>
    </row>
    <row r="921" spans="1:11" ht="15.5" x14ac:dyDescent="0.35">
      <c r="A921" s="18" t="s">
        <v>114</v>
      </c>
      <c r="B921" s="67">
        <v>45000</v>
      </c>
      <c r="J921" s="21"/>
    </row>
    <row r="922" spans="1:11" ht="15.5" x14ac:dyDescent="0.35">
      <c r="A922" s="18" t="s">
        <v>254</v>
      </c>
      <c r="B922" s="67">
        <v>60000</v>
      </c>
      <c r="J922" s="21"/>
    </row>
    <row r="923" spans="1:11" ht="15.5" x14ac:dyDescent="0.35">
      <c r="A923" s="18" t="s">
        <v>112</v>
      </c>
      <c r="B923" s="67">
        <v>60000</v>
      </c>
      <c r="J923" s="21"/>
    </row>
    <row r="924" spans="1:11" ht="15.5" x14ac:dyDescent="0.35">
      <c r="A924" s="18" t="s">
        <v>110</v>
      </c>
      <c r="B924" s="67">
        <v>45000</v>
      </c>
    </row>
    <row r="925" spans="1:11" ht="15.5" x14ac:dyDescent="0.35">
      <c r="A925" s="18" t="s">
        <v>111</v>
      </c>
      <c r="B925" s="67">
        <v>45000</v>
      </c>
    </row>
    <row r="926" spans="1:11" ht="15.5" x14ac:dyDescent="0.35">
      <c r="A926" s="18" t="s">
        <v>196</v>
      </c>
      <c r="B926" s="67">
        <v>45000</v>
      </c>
    </row>
    <row r="927" spans="1:11" ht="15.5" x14ac:dyDescent="0.35">
      <c r="A927" s="18" t="s">
        <v>113</v>
      </c>
      <c r="B927" s="67">
        <v>45000</v>
      </c>
    </row>
    <row r="928" spans="1:11" ht="15.5" x14ac:dyDescent="0.35">
      <c r="A928" s="18" t="s">
        <v>209</v>
      </c>
      <c r="B928" s="67">
        <v>45000</v>
      </c>
    </row>
    <row r="929" spans="1:11" ht="15.5" x14ac:dyDescent="0.35">
      <c r="A929" s="18" t="s">
        <v>115</v>
      </c>
      <c r="B929" s="67">
        <v>60000</v>
      </c>
    </row>
    <row r="930" spans="1:11" ht="15.5" x14ac:dyDescent="0.35">
      <c r="A930" s="18" t="s">
        <v>122</v>
      </c>
      <c r="B930" s="67"/>
      <c r="C930" t="s">
        <v>261</v>
      </c>
    </row>
    <row r="931" spans="1:11" ht="15.5" x14ac:dyDescent="0.35">
      <c r="A931" s="18" t="s">
        <v>109</v>
      </c>
      <c r="B931" s="67">
        <v>45000</v>
      </c>
    </row>
    <row r="932" spans="1:11" ht="15.5" x14ac:dyDescent="0.35">
      <c r="A932" s="24" t="s">
        <v>4</v>
      </c>
      <c r="B932" s="75">
        <f>SUM(B921:B931)</f>
        <v>495000</v>
      </c>
    </row>
    <row r="935" spans="1:11" ht="18.5" x14ac:dyDescent="0.45">
      <c r="A935" s="149">
        <v>46053</v>
      </c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</row>
    <row r="937" spans="1:11" ht="18.5" x14ac:dyDescent="0.45">
      <c r="A937" s="2" t="s">
        <v>75</v>
      </c>
      <c r="B937" s="2" t="s">
        <v>3</v>
      </c>
      <c r="C937" s="2" t="s">
        <v>100</v>
      </c>
      <c r="D937" s="2" t="s">
        <v>90</v>
      </c>
      <c r="E937" s="2" t="s">
        <v>91</v>
      </c>
      <c r="F937" s="2" t="s">
        <v>4</v>
      </c>
      <c r="G937" s="2" t="s">
        <v>101</v>
      </c>
      <c r="H937" s="2" t="s">
        <v>104</v>
      </c>
      <c r="I937" s="2"/>
      <c r="J937" s="2" t="s">
        <v>105</v>
      </c>
      <c r="K937" s="2" t="s">
        <v>106</v>
      </c>
    </row>
    <row r="938" spans="1:11" ht="15.5" x14ac:dyDescent="0.35">
      <c r="A938" s="3" t="s">
        <v>76</v>
      </c>
      <c r="B938" s="1">
        <v>65</v>
      </c>
      <c r="C938" s="20">
        <v>17500</v>
      </c>
      <c r="D938" s="1">
        <v>40</v>
      </c>
      <c r="E938" s="1">
        <v>25</v>
      </c>
      <c r="F938" s="20">
        <f>C938*B938</f>
        <v>1137500</v>
      </c>
      <c r="G938" s="20">
        <f>D938*C938</f>
        <v>700000</v>
      </c>
      <c r="H938" s="20">
        <f>E938*C938</f>
        <v>437500</v>
      </c>
      <c r="I938" s="20" t="b">
        <f>E938+D938=B938</f>
        <v>1</v>
      </c>
      <c r="J938" s="20">
        <f>B968</f>
        <v>240000</v>
      </c>
      <c r="K938" s="20" t="s">
        <v>117</v>
      </c>
    </row>
    <row r="939" spans="1:11" ht="15.5" x14ac:dyDescent="0.35">
      <c r="A939" s="3" t="s">
        <v>77</v>
      </c>
      <c r="B939" s="1">
        <v>21</v>
      </c>
      <c r="C939" s="20">
        <v>16000</v>
      </c>
      <c r="D939" s="1">
        <v>13</v>
      </c>
      <c r="E939" s="1">
        <v>8</v>
      </c>
      <c r="F939" s="20">
        <f t="shared" ref="F939:F950" si="156">C939*B939</f>
        <v>336000</v>
      </c>
      <c r="G939" s="20">
        <f t="shared" ref="G939:G950" si="157">D939*C939</f>
        <v>208000</v>
      </c>
      <c r="H939" s="20">
        <f t="shared" ref="H939:H950" si="158">E939*C939</f>
        <v>128000</v>
      </c>
      <c r="I939" s="20" t="b">
        <f t="shared" ref="I939:I950" si="159">E939+D939=B939</f>
        <v>1</v>
      </c>
      <c r="J939" s="20">
        <v>240000</v>
      </c>
      <c r="K939" s="20" t="s">
        <v>107</v>
      </c>
    </row>
    <row r="940" spans="1:11" ht="15.5" x14ac:dyDescent="0.35">
      <c r="A940" s="3" t="s">
        <v>78</v>
      </c>
      <c r="B940" s="1">
        <v>36</v>
      </c>
      <c r="C940" s="20">
        <v>17500</v>
      </c>
      <c r="D940" s="1">
        <v>19</v>
      </c>
      <c r="E940" s="1">
        <v>17</v>
      </c>
      <c r="F940" s="20">
        <f t="shared" si="156"/>
        <v>630000</v>
      </c>
      <c r="G940" s="20">
        <f t="shared" si="157"/>
        <v>332500</v>
      </c>
      <c r="H940" s="20">
        <f t="shared" si="158"/>
        <v>297500</v>
      </c>
      <c r="I940" s="20" t="b">
        <f t="shared" si="159"/>
        <v>1</v>
      </c>
      <c r="J940" s="20">
        <v>110000</v>
      </c>
      <c r="K940" s="20" t="s">
        <v>140</v>
      </c>
    </row>
    <row r="941" spans="1:11" ht="15.5" x14ac:dyDescent="0.35">
      <c r="A941" s="3" t="s">
        <v>79</v>
      </c>
      <c r="B941" s="1">
        <v>11</v>
      </c>
      <c r="C941" s="20">
        <v>18500</v>
      </c>
      <c r="D941" s="1"/>
      <c r="E941" s="1">
        <v>11</v>
      </c>
      <c r="F941" s="20">
        <f t="shared" si="156"/>
        <v>203500</v>
      </c>
      <c r="G941" s="20">
        <f t="shared" si="157"/>
        <v>0</v>
      </c>
      <c r="H941" s="20">
        <f t="shared" si="158"/>
        <v>203500</v>
      </c>
      <c r="I941" s="20" t="b">
        <f t="shared" si="159"/>
        <v>1</v>
      </c>
      <c r="J941" s="20"/>
      <c r="K941" s="20"/>
    </row>
    <row r="942" spans="1:11" ht="15.5" x14ac:dyDescent="0.35">
      <c r="A942" s="3" t="s">
        <v>80</v>
      </c>
      <c r="B942" s="1">
        <v>18</v>
      </c>
      <c r="C942" s="20">
        <v>18500</v>
      </c>
      <c r="D942" s="1">
        <v>10</v>
      </c>
      <c r="E942" s="1">
        <v>8</v>
      </c>
      <c r="F942" s="20">
        <f t="shared" si="156"/>
        <v>333000</v>
      </c>
      <c r="G942" s="20">
        <f t="shared" si="157"/>
        <v>185000</v>
      </c>
      <c r="H942" s="20">
        <f t="shared" si="158"/>
        <v>148000</v>
      </c>
      <c r="I942" s="20" t="b">
        <f t="shared" si="159"/>
        <v>1</v>
      </c>
      <c r="J942" s="20"/>
      <c r="K942" s="20"/>
    </row>
    <row r="943" spans="1:11" ht="15.5" x14ac:dyDescent="0.35">
      <c r="A943" s="3" t="s">
        <v>81</v>
      </c>
      <c r="B943" s="1">
        <v>15</v>
      </c>
      <c r="C943" s="20">
        <v>23000</v>
      </c>
      <c r="D943" s="1">
        <v>2</v>
      </c>
      <c r="E943" s="1">
        <v>13</v>
      </c>
      <c r="F943" s="20">
        <f t="shared" si="156"/>
        <v>345000</v>
      </c>
      <c r="G943" s="20">
        <f t="shared" si="157"/>
        <v>46000</v>
      </c>
      <c r="H943" s="20">
        <f t="shared" si="158"/>
        <v>299000</v>
      </c>
      <c r="I943" s="20" t="b">
        <f t="shared" si="159"/>
        <v>1</v>
      </c>
      <c r="J943" s="20"/>
      <c r="K943" s="20"/>
    </row>
    <row r="944" spans="1:11" ht="15.5" x14ac:dyDescent="0.35">
      <c r="A944" s="3" t="s">
        <v>82</v>
      </c>
      <c r="B944" s="1"/>
      <c r="C944" s="20">
        <v>18000</v>
      </c>
      <c r="D944" s="1"/>
      <c r="E944" s="1"/>
      <c r="F944" s="20">
        <f t="shared" si="156"/>
        <v>0</v>
      </c>
      <c r="G944" s="20">
        <f t="shared" si="157"/>
        <v>0</v>
      </c>
      <c r="H944" s="20">
        <f t="shared" si="158"/>
        <v>0</v>
      </c>
      <c r="I944" s="20" t="b">
        <f t="shared" si="159"/>
        <v>1</v>
      </c>
      <c r="J944" s="20"/>
      <c r="K944" s="20"/>
    </row>
    <row r="945" spans="1:11" ht="15.5" x14ac:dyDescent="0.35">
      <c r="A945" s="3" t="s">
        <v>83</v>
      </c>
      <c r="B945" s="1"/>
      <c r="C945" s="20">
        <v>18000</v>
      </c>
      <c r="D945" s="11"/>
      <c r="E945" s="1"/>
      <c r="F945" s="20">
        <f t="shared" si="156"/>
        <v>0</v>
      </c>
      <c r="G945" s="20">
        <f t="shared" si="157"/>
        <v>0</v>
      </c>
      <c r="H945" s="20">
        <f t="shared" si="158"/>
        <v>0</v>
      </c>
      <c r="I945" s="20" t="b">
        <f t="shared" si="159"/>
        <v>1</v>
      </c>
      <c r="J945" s="20"/>
      <c r="K945" s="20"/>
    </row>
    <row r="946" spans="1:11" ht="15.5" x14ac:dyDescent="0.35">
      <c r="A946" s="3" t="s">
        <v>84</v>
      </c>
      <c r="B946" s="1"/>
      <c r="C946" s="20">
        <v>18500</v>
      </c>
      <c r="D946" s="1"/>
      <c r="E946" s="1"/>
      <c r="F946" s="20">
        <f t="shared" si="156"/>
        <v>0</v>
      </c>
      <c r="G946" s="20">
        <f t="shared" si="157"/>
        <v>0</v>
      </c>
      <c r="H946" s="20">
        <f t="shared" si="158"/>
        <v>0</v>
      </c>
      <c r="I946" s="20" t="b">
        <f t="shared" si="159"/>
        <v>1</v>
      </c>
      <c r="J946" s="20"/>
      <c r="K946" s="20"/>
    </row>
    <row r="947" spans="1:11" ht="15.5" x14ac:dyDescent="0.35">
      <c r="A947" s="3" t="s">
        <v>85</v>
      </c>
      <c r="B947" s="1">
        <v>25</v>
      </c>
      <c r="C947" s="20">
        <v>18500</v>
      </c>
      <c r="D947" s="1">
        <v>11</v>
      </c>
      <c r="E947" s="1">
        <v>14</v>
      </c>
      <c r="F947" s="20">
        <f t="shared" si="156"/>
        <v>462500</v>
      </c>
      <c r="G947" s="20">
        <f t="shared" si="157"/>
        <v>203500</v>
      </c>
      <c r="H947" s="20">
        <f t="shared" si="158"/>
        <v>259000</v>
      </c>
      <c r="I947" s="20" t="b">
        <f t="shared" si="159"/>
        <v>1</v>
      </c>
      <c r="J947" s="20"/>
      <c r="K947" s="20"/>
    </row>
    <row r="948" spans="1:11" ht="15.5" x14ac:dyDescent="0.35">
      <c r="A948" s="3" t="s">
        <v>86</v>
      </c>
      <c r="B948" s="1">
        <v>3</v>
      </c>
      <c r="C948" s="20">
        <v>18500</v>
      </c>
      <c r="D948" s="1">
        <v>1</v>
      </c>
      <c r="E948" s="1">
        <v>2</v>
      </c>
      <c r="F948" s="20">
        <f t="shared" si="156"/>
        <v>55500</v>
      </c>
      <c r="G948" s="20">
        <f t="shared" si="157"/>
        <v>18500</v>
      </c>
      <c r="H948" s="20">
        <f t="shared" si="158"/>
        <v>37000</v>
      </c>
      <c r="I948" s="20" t="b">
        <f t="shared" si="159"/>
        <v>1</v>
      </c>
      <c r="J948" s="20"/>
      <c r="K948" s="20"/>
    </row>
    <row r="949" spans="1:11" ht="15.5" x14ac:dyDescent="0.35">
      <c r="A949" s="3" t="s">
        <v>87</v>
      </c>
      <c r="B949" s="1"/>
      <c r="C949" s="20">
        <v>18500</v>
      </c>
      <c r="D949" s="1"/>
      <c r="E949" s="1"/>
      <c r="F949" s="20">
        <f t="shared" si="156"/>
        <v>0</v>
      </c>
      <c r="G949" s="20">
        <f t="shared" si="157"/>
        <v>0</v>
      </c>
      <c r="H949" s="20">
        <f t="shared" si="158"/>
        <v>0</v>
      </c>
      <c r="I949" s="20" t="b">
        <f t="shared" si="159"/>
        <v>1</v>
      </c>
      <c r="J949" s="20"/>
      <c r="K949" s="20"/>
    </row>
    <row r="950" spans="1:11" ht="15.5" x14ac:dyDescent="0.35">
      <c r="A950" s="3" t="s">
        <v>88</v>
      </c>
      <c r="B950" s="1"/>
      <c r="C950" s="20">
        <v>18500</v>
      </c>
      <c r="D950" s="1"/>
      <c r="E950" s="1"/>
      <c r="F950" s="20">
        <f t="shared" si="156"/>
        <v>0</v>
      </c>
      <c r="G950" s="20">
        <f t="shared" si="157"/>
        <v>0</v>
      </c>
      <c r="H950" s="20">
        <f t="shared" si="158"/>
        <v>0</v>
      </c>
      <c r="I950" s="20" t="b">
        <f t="shared" si="159"/>
        <v>1</v>
      </c>
      <c r="J950" s="20"/>
      <c r="K950" s="20"/>
    </row>
    <row r="951" spans="1:11" ht="15.5" x14ac:dyDescent="0.35">
      <c r="A951" s="19" t="s">
        <v>89</v>
      </c>
      <c r="B951" s="1"/>
      <c r="C951" s="20"/>
      <c r="D951" s="1"/>
      <c r="E951" s="1"/>
      <c r="F951" s="20"/>
      <c r="G951" s="20"/>
      <c r="H951" s="20"/>
      <c r="I951" s="20"/>
      <c r="J951" s="20"/>
      <c r="K951" s="20"/>
    </row>
    <row r="952" spans="1:11" ht="15.5" x14ac:dyDescent="0.35">
      <c r="A952" s="3" t="s">
        <v>92</v>
      </c>
      <c r="B952" s="1">
        <v>29</v>
      </c>
      <c r="C952" s="20">
        <v>21500</v>
      </c>
      <c r="D952" s="1">
        <v>14</v>
      </c>
      <c r="E952" s="1">
        <v>15</v>
      </c>
      <c r="F952" s="20">
        <f t="shared" ref="F952:F954" si="160">C952*B952</f>
        <v>623500</v>
      </c>
      <c r="G952" s="20">
        <f t="shared" ref="G952:G954" si="161">D952*C952</f>
        <v>301000</v>
      </c>
      <c r="H952" s="20">
        <f t="shared" ref="H952:H954" si="162">E952*C952</f>
        <v>322500</v>
      </c>
      <c r="I952" s="20" t="b">
        <f t="shared" ref="I952:I954" si="163">E952+D952=B952</f>
        <v>1</v>
      </c>
      <c r="J952" s="20"/>
      <c r="K952" s="20"/>
    </row>
    <row r="953" spans="1:11" ht="15.5" x14ac:dyDescent="0.35">
      <c r="A953" s="3" t="s">
        <v>93</v>
      </c>
      <c r="B953" s="1">
        <v>11</v>
      </c>
      <c r="C953" s="20">
        <v>21500</v>
      </c>
      <c r="D953" s="1">
        <v>7</v>
      </c>
      <c r="E953" s="1">
        <v>4</v>
      </c>
      <c r="F953" s="20">
        <f t="shared" si="160"/>
        <v>236500</v>
      </c>
      <c r="G953" s="20">
        <f t="shared" si="161"/>
        <v>150500</v>
      </c>
      <c r="H953" s="20">
        <f t="shared" si="162"/>
        <v>86000</v>
      </c>
      <c r="I953" s="20" t="b">
        <f t="shared" si="163"/>
        <v>1</v>
      </c>
      <c r="J953" s="20"/>
      <c r="K953" s="20"/>
    </row>
    <row r="954" spans="1:11" ht="15.5" x14ac:dyDescent="0.35">
      <c r="A954" s="3" t="s">
        <v>94</v>
      </c>
      <c r="B954" s="1"/>
      <c r="C954" s="20">
        <v>21500</v>
      </c>
      <c r="D954" s="1"/>
      <c r="E954" s="1"/>
      <c r="F954" s="20">
        <f t="shared" si="160"/>
        <v>0</v>
      </c>
      <c r="G954" s="20">
        <f t="shared" si="161"/>
        <v>0</v>
      </c>
      <c r="H954" s="20">
        <f t="shared" si="162"/>
        <v>0</v>
      </c>
      <c r="I954" s="20" t="b">
        <f t="shared" si="163"/>
        <v>1</v>
      </c>
      <c r="J954" s="20"/>
      <c r="K954" s="20"/>
    </row>
    <row r="955" spans="1:11" ht="15.5" x14ac:dyDescent="0.35">
      <c r="A955" s="19"/>
      <c r="B955" s="22">
        <f>SUM(B938:B954)</f>
        <v>234</v>
      </c>
      <c r="C955" s="20"/>
      <c r="D955" s="1"/>
      <c r="E955" s="1"/>
      <c r="F955" s="23">
        <f>SUM(F938:F954)</f>
        <v>4363000</v>
      </c>
      <c r="G955" s="23">
        <f>SUM(G938:G954)</f>
        <v>2145000</v>
      </c>
      <c r="H955" s="23">
        <f>SUM(H938:H954)</f>
        <v>2218000</v>
      </c>
      <c r="I955" s="20"/>
      <c r="J955" s="23">
        <f>SUM(J938:J954)</f>
        <v>590000</v>
      </c>
      <c r="K955" s="23">
        <f>H955-J955</f>
        <v>1628000</v>
      </c>
    </row>
    <row r="956" spans="1:11" ht="15.5" x14ac:dyDescent="0.35">
      <c r="A956" s="19" t="s">
        <v>95</v>
      </c>
      <c r="B956" s="1"/>
      <c r="C956" s="20"/>
      <c r="D956" s="1"/>
      <c r="E956" s="1"/>
      <c r="F956" s="20"/>
      <c r="G956" s="20"/>
      <c r="H956" s="20"/>
      <c r="I956" s="20" t="b">
        <f t="shared" ref="I956:I960" si="164">E956+D956=B956</f>
        <v>1</v>
      </c>
      <c r="J956" s="20"/>
      <c r="K956" s="20"/>
    </row>
    <row r="957" spans="1:11" ht="15.5" x14ac:dyDescent="0.35">
      <c r="A957" s="3" t="s">
        <v>96</v>
      </c>
      <c r="B957" s="1"/>
      <c r="C957" s="20">
        <v>3000</v>
      </c>
      <c r="D957" s="1"/>
      <c r="E957" s="1"/>
      <c r="F957" s="20">
        <f t="shared" ref="F957:F960" si="165">C957*B957</f>
        <v>0</v>
      </c>
      <c r="G957" s="20"/>
      <c r="H957" s="20"/>
      <c r="I957" s="20" t="b">
        <f t="shared" si="164"/>
        <v>1</v>
      </c>
      <c r="J957" s="20"/>
      <c r="K957" s="20"/>
    </row>
    <row r="958" spans="1:11" ht="15.5" x14ac:dyDescent="0.35">
      <c r="A958" s="3" t="s">
        <v>97</v>
      </c>
      <c r="B958" s="1"/>
      <c r="C958" s="20">
        <v>2500</v>
      </c>
      <c r="D958" s="1"/>
      <c r="E958" s="1"/>
      <c r="F958" s="20">
        <f t="shared" si="165"/>
        <v>0</v>
      </c>
      <c r="G958" s="20"/>
      <c r="H958" s="20"/>
      <c r="I958" s="20" t="b">
        <f t="shared" si="164"/>
        <v>1</v>
      </c>
      <c r="J958" s="20"/>
      <c r="K958" s="20"/>
    </row>
    <row r="959" spans="1:11" ht="15.5" x14ac:dyDescent="0.35">
      <c r="A959" s="3" t="s">
        <v>98</v>
      </c>
      <c r="B959" s="1"/>
      <c r="C959" s="20">
        <v>1800</v>
      </c>
      <c r="D959" s="1"/>
      <c r="E959" s="1"/>
      <c r="F959" s="20">
        <f t="shared" si="165"/>
        <v>0</v>
      </c>
      <c r="G959" s="20"/>
      <c r="H959" s="20"/>
      <c r="I959" s="20" t="b">
        <f t="shared" si="164"/>
        <v>1</v>
      </c>
      <c r="J959" s="20"/>
      <c r="K959" s="20"/>
    </row>
    <row r="960" spans="1:11" ht="15.5" x14ac:dyDescent="0.35">
      <c r="A960" s="3" t="s">
        <v>99</v>
      </c>
      <c r="B960" s="1">
        <v>3</v>
      </c>
      <c r="C960" s="20">
        <v>3500</v>
      </c>
      <c r="D960" s="1">
        <v>3</v>
      </c>
      <c r="E960" s="1"/>
      <c r="F960" s="20">
        <f t="shared" si="165"/>
        <v>10500</v>
      </c>
      <c r="G960" s="20"/>
      <c r="H960" s="20"/>
      <c r="I960" s="20" t="b">
        <f t="shared" si="164"/>
        <v>1</v>
      </c>
      <c r="J960" s="20"/>
      <c r="K960" s="20"/>
    </row>
    <row r="961" spans="1:10" ht="15.5" x14ac:dyDescent="0.35">
      <c r="A961" s="18"/>
    </row>
    <row r="963" spans="1:10" ht="15.5" x14ac:dyDescent="0.35">
      <c r="A963" s="24" t="s">
        <v>108</v>
      </c>
      <c r="J963" s="21"/>
    </row>
    <row r="964" spans="1:10" ht="15.5" x14ac:dyDescent="0.35">
      <c r="A964" s="18" t="s">
        <v>114</v>
      </c>
      <c r="B964" s="67">
        <v>60000</v>
      </c>
      <c r="J964" s="21"/>
    </row>
    <row r="965" spans="1:10" ht="15.5" x14ac:dyDescent="0.35">
      <c r="A965" s="18" t="s">
        <v>112</v>
      </c>
      <c r="B965" s="67">
        <v>60000</v>
      </c>
      <c r="J965" s="21"/>
    </row>
    <row r="966" spans="1:10" ht="15.5" x14ac:dyDescent="0.35">
      <c r="A966" s="18" t="s">
        <v>110</v>
      </c>
      <c r="B966" s="67">
        <v>60000</v>
      </c>
    </row>
    <row r="967" spans="1:10" ht="15.5" x14ac:dyDescent="0.35">
      <c r="A967" s="18" t="s">
        <v>111</v>
      </c>
      <c r="B967" s="67">
        <v>60000</v>
      </c>
    </row>
    <row r="968" spans="1:10" ht="15.5" x14ac:dyDescent="0.35">
      <c r="A968" s="24" t="s">
        <v>4</v>
      </c>
      <c r="B968" s="75">
        <f>SUM(B964:B967)</f>
        <v>240000</v>
      </c>
    </row>
  </sheetData>
  <mergeCells count="33">
    <mergeCell ref="A47:K47"/>
    <mergeCell ref="A219:K219"/>
    <mergeCell ref="A220:K220"/>
    <mergeCell ref="A175:K175"/>
    <mergeCell ref="A176:K176"/>
    <mergeCell ref="A131:K131"/>
    <mergeCell ref="A88:K88"/>
    <mergeCell ref="A89:K89"/>
    <mergeCell ref="A1:K1"/>
    <mergeCell ref="A2:K2"/>
    <mergeCell ref="A3:K3"/>
    <mergeCell ref="A4:K4"/>
    <mergeCell ref="A46:K46"/>
    <mergeCell ref="A256:K256"/>
    <mergeCell ref="A554:K554"/>
    <mergeCell ref="A640:K640"/>
    <mergeCell ref="A806:K806"/>
    <mergeCell ref="A132:K132"/>
    <mergeCell ref="A935:K935"/>
    <mergeCell ref="A257:K257"/>
    <mergeCell ref="A300:K300"/>
    <mergeCell ref="A299:K299"/>
    <mergeCell ref="A344:K344"/>
    <mergeCell ref="A763:K763"/>
    <mergeCell ref="A432:K432"/>
    <mergeCell ref="A892:K892"/>
    <mergeCell ref="A388:K388"/>
    <mergeCell ref="A720:K720"/>
    <mergeCell ref="A683:K683"/>
    <mergeCell ref="A468:K468"/>
    <mergeCell ref="A511:K511"/>
    <mergeCell ref="A597:K597"/>
    <mergeCell ref="A849:K84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6959-25B2-40EF-A49F-D67B2C8EF3D2}">
  <dimension ref="A1:K1016"/>
  <sheetViews>
    <sheetView topLeftCell="A309" workbookViewId="0">
      <selection activeCell="A309" sqref="A309"/>
    </sheetView>
  </sheetViews>
  <sheetFormatPr baseColWidth="10" defaultRowHeight="14.5" x14ac:dyDescent="0.35"/>
  <cols>
    <col min="1" max="1" width="39.54296875" bestFit="1" customWidth="1"/>
    <col min="2" max="2" width="12.26953125" bestFit="1" customWidth="1"/>
    <col min="4" max="4" width="16" bestFit="1" customWidth="1"/>
    <col min="5" max="5" width="19.453125" bestFit="1" customWidth="1"/>
    <col min="9" max="9" width="11.81640625" bestFit="1" customWidth="1"/>
  </cols>
  <sheetData>
    <row r="1" spans="1:11" ht="18.5" x14ac:dyDescent="0.45">
      <c r="A1" s="150" t="s">
        <v>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8.5" x14ac:dyDescent="0.45">
      <c r="A2" s="150" t="s">
        <v>74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1" ht="18.5" x14ac:dyDescent="0.45">
      <c r="A3" s="149">
        <v>46055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ht="18.5" x14ac:dyDescent="0.45">
      <c r="A4" s="150"/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8.5" x14ac:dyDescent="0.45">
      <c r="A5" s="2" t="s">
        <v>75</v>
      </c>
      <c r="B5" s="2" t="s">
        <v>3</v>
      </c>
      <c r="C5" s="2" t="s">
        <v>100</v>
      </c>
      <c r="D5" s="2" t="s">
        <v>90</v>
      </c>
      <c r="E5" s="2" t="s">
        <v>91</v>
      </c>
      <c r="F5" s="2" t="s">
        <v>4</v>
      </c>
      <c r="G5" s="2" t="s">
        <v>101</v>
      </c>
      <c r="H5" s="2" t="s">
        <v>104</v>
      </c>
      <c r="I5" s="2"/>
      <c r="J5" s="2" t="s">
        <v>105</v>
      </c>
      <c r="K5" s="2" t="s">
        <v>106</v>
      </c>
    </row>
    <row r="6" spans="1:11" ht="15.5" x14ac:dyDescent="0.35">
      <c r="A6" s="3" t="s">
        <v>76</v>
      </c>
      <c r="B6" s="1">
        <v>109</v>
      </c>
      <c r="C6" s="20">
        <v>17500</v>
      </c>
      <c r="D6" s="1">
        <v>57</v>
      </c>
      <c r="E6" s="1">
        <v>52</v>
      </c>
      <c r="F6" s="20">
        <f>C6*B6</f>
        <v>1907500</v>
      </c>
      <c r="G6" s="20">
        <f>D6*C6</f>
        <v>997500</v>
      </c>
      <c r="H6" s="20">
        <f>E6*C6</f>
        <v>910000</v>
      </c>
      <c r="I6" s="20" t="b">
        <f>D6+E6=B6</f>
        <v>1</v>
      </c>
      <c r="J6" s="20">
        <f>B42</f>
        <v>555000</v>
      </c>
      <c r="K6" s="20" t="s">
        <v>117</v>
      </c>
    </row>
    <row r="7" spans="1:11" ht="15.5" x14ac:dyDescent="0.35">
      <c r="A7" s="3" t="s">
        <v>77</v>
      </c>
      <c r="B7" s="1">
        <v>19</v>
      </c>
      <c r="C7" s="20">
        <v>16000</v>
      </c>
      <c r="D7" s="1">
        <v>8</v>
      </c>
      <c r="E7" s="1">
        <v>11</v>
      </c>
      <c r="F7" s="20">
        <f t="shared" ref="F7:G18" si="0">C7*B7</f>
        <v>304000</v>
      </c>
      <c r="G7" s="20">
        <f t="shared" si="0"/>
        <v>128000</v>
      </c>
      <c r="H7" s="20">
        <f t="shared" ref="H7:H22" si="1">E7*C7</f>
        <v>176000</v>
      </c>
      <c r="I7" s="20" t="b">
        <f t="shared" ref="I7:I22" si="2">D7+E7=B7</f>
        <v>1</v>
      </c>
      <c r="J7" s="20">
        <v>406000</v>
      </c>
      <c r="K7" s="20" t="s">
        <v>251</v>
      </c>
    </row>
    <row r="8" spans="1:11" ht="15.5" x14ac:dyDescent="0.35">
      <c r="A8" s="3" t="s">
        <v>78</v>
      </c>
      <c r="B8" s="1">
        <v>57</v>
      </c>
      <c r="C8" s="20">
        <v>17500</v>
      </c>
      <c r="D8" s="1">
        <v>27</v>
      </c>
      <c r="E8" s="1">
        <v>30</v>
      </c>
      <c r="F8" s="20">
        <f t="shared" si="0"/>
        <v>997500</v>
      </c>
      <c r="G8" s="20">
        <f t="shared" si="0"/>
        <v>472500</v>
      </c>
      <c r="H8" s="20">
        <f t="shared" si="1"/>
        <v>525000</v>
      </c>
      <c r="I8" s="20" t="b">
        <f t="shared" si="2"/>
        <v>1</v>
      </c>
      <c r="J8" s="20">
        <v>100000</v>
      </c>
      <c r="K8" s="20" t="s">
        <v>277</v>
      </c>
    </row>
    <row r="9" spans="1:11" ht="15.5" x14ac:dyDescent="0.35">
      <c r="A9" s="3" t="s">
        <v>79</v>
      </c>
      <c r="B9" s="1">
        <v>25</v>
      </c>
      <c r="C9" s="20">
        <v>18500</v>
      </c>
      <c r="D9" s="1">
        <v>8</v>
      </c>
      <c r="E9" s="1">
        <v>17</v>
      </c>
      <c r="F9" s="20">
        <f t="shared" si="0"/>
        <v>462500</v>
      </c>
      <c r="G9" s="20">
        <f t="shared" si="0"/>
        <v>148000</v>
      </c>
      <c r="H9" s="20">
        <f t="shared" si="1"/>
        <v>314500</v>
      </c>
      <c r="I9" s="20" t="b">
        <f t="shared" si="2"/>
        <v>1</v>
      </c>
      <c r="J9" s="20">
        <v>74500</v>
      </c>
      <c r="K9" s="20" t="s">
        <v>155</v>
      </c>
    </row>
    <row r="10" spans="1:11" ht="15.5" x14ac:dyDescent="0.35">
      <c r="A10" s="3" t="s">
        <v>80</v>
      </c>
      <c r="B10" s="1"/>
      <c r="C10" s="20">
        <v>18500</v>
      </c>
      <c r="D10" s="1"/>
      <c r="E10" s="1"/>
      <c r="F10" s="20">
        <f t="shared" si="0"/>
        <v>0</v>
      </c>
      <c r="G10" s="20">
        <f t="shared" si="0"/>
        <v>0</v>
      </c>
      <c r="H10" s="20">
        <f t="shared" si="1"/>
        <v>0</v>
      </c>
      <c r="I10" s="20" t="b">
        <f t="shared" si="2"/>
        <v>1</v>
      </c>
      <c r="J10" s="20">
        <v>45000</v>
      </c>
      <c r="K10" s="20" t="s">
        <v>248</v>
      </c>
    </row>
    <row r="11" spans="1:11" ht="15.5" x14ac:dyDescent="0.35">
      <c r="A11" s="3" t="s">
        <v>81</v>
      </c>
      <c r="B11" s="1"/>
      <c r="C11" s="20">
        <v>23000</v>
      </c>
      <c r="D11" s="1"/>
      <c r="E11" s="1"/>
      <c r="F11" s="20">
        <f t="shared" si="0"/>
        <v>0</v>
      </c>
      <c r="G11" s="20">
        <f t="shared" si="0"/>
        <v>0</v>
      </c>
      <c r="H11" s="20">
        <f t="shared" si="1"/>
        <v>0</v>
      </c>
      <c r="I11" s="20" t="b">
        <f t="shared" si="2"/>
        <v>1</v>
      </c>
      <c r="J11" s="20">
        <v>50000</v>
      </c>
      <c r="K11" s="20" t="s">
        <v>280</v>
      </c>
    </row>
    <row r="12" spans="1:11" ht="15.5" x14ac:dyDescent="0.35">
      <c r="A12" s="3" t="s">
        <v>82</v>
      </c>
      <c r="B12" s="1">
        <v>34</v>
      </c>
      <c r="C12" s="20">
        <v>18000</v>
      </c>
      <c r="D12" s="1">
        <v>7</v>
      </c>
      <c r="E12" s="1">
        <v>27</v>
      </c>
      <c r="F12" s="20">
        <f t="shared" si="0"/>
        <v>612000</v>
      </c>
      <c r="G12" s="20">
        <f t="shared" si="0"/>
        <v>126000</v>
      </c>
      <c r="H12" s="20">
        <f t="shared" si="1"/>
        <v>486000</v>
      </c>
      <c r="I12" s="20" t="b">
        <f t="shared" si="2"/>
        <v>1</v>
      </c>
      <c r="J12" s="20"/>
      <c r="K12" s="20"/>
    </row>
    <row r="13" spans="1:11" ht="15.5" x14ac:dyDescent="0.35">
      <c r="A13" s="3" t="s">
        <v>83</v>
      </c>
      <c r="B13" s="1"/>
      <c r="C13" s="20">
        <v>18000</v>
      </c>
      <c r="D13" s="1"/>
      <c r="E13" s="1"/>
      <c r="F13" s="20">
        <f t="shared" si="0"/>
        <v>0</v>
      </c>
      <c r="G13" s="20">
        <f t="shared" si="0"/>
        <v>0</v>
      </c>
      <c r="H13" s="20">
        <f t="shared" si="1"/>
        <v>0</v>
      </c>
      <c r="I13" s="20" t="b">
        <f t="shared" si="2"/>
        <v>1</v>
      </c>
      <c r="J13" s="20"/>
      <c r="K13" s="20"/>
    </row>
    <row r="14" spans="1:11" ht="15.5" x14ac:dyDescent="0.35">
      <c r="A14" s="3" t="s">
        <v>84</v>
      </c>
      <c r="B14" s="1"/>
      <c r="C14" s="20">
        <v>18500</v>
      </c>
      <c r="D14" s="1"/>
      <c r="E14" s="1"/>
      <c r="F14" s="20">
        <f t="shared" si="0"/>
        <v>0</v>
      </c>
      <c r="G14" s="20">
        <f t="shared" si="0"/>
        <v>0</v>
      </c>
      <c r="H14" s="20">
        <f t="shared" si="1"/>
        <v>0</v>
      </c>
      <c r="I14" s="20" t="b">
        <f t="shared" si="2"/>
        <v>1</v>
      </c>
      <c r="J14" s="20"/>
      <c r="K14" s="20"/>
    </row>
    <row r="15" spans="1:11" ht="15.5" x14ac:dyDescent="0.35">
      <c r="A15" s="3" t="s">
        <v>85</v>
      </c>
      <c r="B15" s="1"/>
      <c r="C15" s="20">
        <v>18500</v>
      </c>
      <c r="D15" s="1"/>
      <c r="E15" s="1"/>
      <c r="F15" s="20">
        <f t="shared" si="0"/>
        <v>0</v>
      </c>
      <c r="G15" s="20">
        <f t="shared" si="0"/>
        <v>0</v>
      </c>
      <c r="H15" s="20">
        <f t="shared" si="1"/>
        <v>0</v>
      </c>
      <c r="I15" s="20" t="b">
        <f t="shared" si="2"/>
        <v>1</v>
      </c>
      <c r="J15" s="20"/>
      <c r="K15" s="20"/>
    </row>
    <row r="16" spans="1:11" ht="15.5" x14ac:dyDescent="0.35">
      <c r="A16" s="3" t="s">
        <v>86</v>
      </c>
      <c r="B16" s="1">
        <v>11</v>
      </c>
      <c r="C16" s="20">
        <v>18500</v>
      </c>
      <c r="D16" s="1">
        <v>4</v>
      </c>
      <c r="E16" s="1">
        <v>7</v>
      </c>
      <c r="F16" s="20">
        <f t="shared" si="0"/>
        <v>203500</v>
      </c>
      <c r="G16" s="20">
        <f t="shared" si="0"/>
        <v>74000</v>
      </c>
      <c r="H16" s="20">
        <f t="shared" si="1"/>
        <v>129500</v>
      </c>
      <c r="I16" s="20" t="b">
        <f t="shared" si="2"/>
        <v>1</v>
      </c>
      <c r="J16" s="20"/>
      <c r="K16" s="20"/>
    </row>
    <row r="17" spans="1:11" ht="15.5" x14ac:dyDescent="0.35">
      <c r="A17" s="3" t="s">
        <v>87</v>
      </c>
      <c r="B17" s="1"/>
      <c r="C17" s="20">
        <v>18500</v>
      </c>
      <c r="D17" s="1"/>
      <c r="E17" s="1"/>
      <c r="F17" s="20">
        <f t="shared" si="0"/>
        <v>0</v>
      </c>
      <c r="G17" s="20">
        <f t="shared" si="0"/>
        <v>0</v>
      </c>
      <c r="H17" s="20">
        <f t="shared" si="1"/>
        <v>0</v>
      </c>
      <c r="I17" s="20" t="b">
        <f t="shared" si="2"/>
        <v>1</v>
      </c>
      <c r="J17" s="20"/>
      <c r="K17" s="20"/>
    </row>
    <row r="18" spans="1:11" ht="15.5" x14ac:dyDescent="0.35">
      <c r="A18" s="3" t="s">
        <v>88</v>
      </c>
      <c r="B18" s="1">
        <v>12</v>
      </c>
      <c r="C18" s="20">
        <v>18500</v>
      </c>
      <c r="D18" s="1">
        <v>7</v>
      </c>
      <c r="E18" s="1">
        <v>5</v>
      </c>
      <c r="F18" s="20">
        <f t="shared" si="0"/>
        <v>222000</v>
      </c>
      <c r="G18" s="20">
        <f t="shared" si="0"/>
        <v>129500</v>
      </c>
      <c r="H18" s="20">
        <f t="shared" si="1"/>
        <v>92500</v>
      </c>
      <c r="I18" s="20" t="b">
        <f t="shared" si="2"/>
        <v>1</v>
      </c>
      <c r="J18" s="20"/>
      <c r="K18" s="20"/>
    </row>
    <row r="19" spans="1:11" ht="15.5" x14ac:dyDescent="0.35">
      <c r="A19" s="19" t="s">
        <v>89</v>
      </c>
      <c r="B19" s="1"/>
      <c r="C19" s="20"/>
      <c r="D19" s="1"/>
      <c r="E19" s="1"/>
      <c r="F19" s="20"/>
      <c r="G19" s="20"/>
      <c r="H19" s="20">
        <f t="shared" si="1"/>
        <v>0</v>
      </c>
      <c r="I19" s="20" t="b">
        <f t="shared" si="2"/>
        <v>1</v>
      </c>
      <c r="J19" s="20"/>
      <c r="K19" s="20"/>
    </row>
    <row r="20" spans="1:11" ht="15.5" x14ac:dyDescent="0.35">
      <c r="A20" s="3" t="s">
        <v>92</v>
      </c>
      <c r="B20" s="1">
        <v>29</v>
      </c>
      <c r="C20" s="20">
        <v>21500</v>
      </c>
      <c r="D20" s="1">
        <v>7</v>
      </c>
      <c r="E20" s="1">
        <v>22</v>
      </c>
      <c r="F20" s="20">
        <f t="shared" ref="F20:G22" si="3">C20*B20</f>
        <v>623500</v>
      </c>
      <c r="G20" s="20">
        <f t="shared" si="3"/>
        <v>150500</v>
      </c>
      <c r="H20" s="20">
        <f t="shared" si="1"/>
        <v>473000</v>
      </c>
      <c r="I20" s="20" t="b">
        <f t="shared" si="2"/>
        <v>1</v>
      </c>
      <c r="J20" s="20"/>
      <c r="K20" s="20"/>
    </row>
    <row r="21" spans="1:11" ht="15.5" x14ac:dyDescent="0.35">
      <c r="A21" s="3" t="s">
        <v>93</v>
      </c>
      <c r="B21" s="1"/>
      <c r="C21" s="20">
        <v>21500</v>
      </c>
      <c r="D21" s="1"/>
      <c r="E21" s="1"/>
      <c r="F21" s="20">
        <f t="shared" si="3"/>
        <v>0</v>
      </c>
      <c r="G21" s="20">
        <f t="shared" si="3"/>
        <v>0</v>
      </c>
      <c r="H21" s="20">
        <f t="shared" si="1"/>
        <v>0</v>
      </c>
      <c r="I21" s="20" t="b">
        <f t="shared" si="2"/>
        <v>1</v>
      </c>
      <c r="J21" s="20"/>
      <c r="K21" s="20"/>
    </row>
    <row r="22" spans="1:11" ht="15.5" x14ac:dyDescent="0.35">
      <c r="A22" s="3" t="s">
        <v>94</v>
      </c>
      <c r="B22" s="1">
        <v>28</v>
      </c>
      <c r="C22" s="20">
        <v>21500</v>
      </c>
      <c r="D22" s="1">
        <v>13</v>
      </c>
      <c r="E22" s="1">
        <v>15</v>
      </c>
      <c r="F22" s="20">
        <f t="shared" si="3"/>
        <v>602000</v>
      </c>
      <c r="G22" s="20">
        <f t="shared" si="3"/>
        <v>279500</v>
      </c>
      <c r="H22" s="20">
        <f t="shared" si="1"/>
        <v>322500</v>
      </c>
      <c r="I22" s="20" t="b">
        <f t="shared" si="2"/>
        <v>1</v>
      </c>
      <c r="J22" s="20"/>
      <c r="K22" s="20"/>
    </row>
    <row r="23" spans="1:11" ht="15.5" x14ac:dyDescent="0.35">
      <c r="A23" s="19"/>
      <c r="B23" s="22">
        <f>SUM(B6:B22)</f>
        <v>324</v>
      </c>
      <c r="C23" s="20"/>
      <c r="D23" s="1"/>
      <c r="E23" s="1"/>
      <c r="F23" s="23">
        <f>SUM(F6:F22)</f>
        <v>5934500</v>
      </c>
      <c r="G23" s="23">
        <f>SUM(G6:G22)</f>
        <v>2505500</v>
      </c>
      <c r="H23" s="23">
        <f>SUM(H6:H22)</f>
        <v>3429000</v>
      </c>
      <c r="I23" s="23"/>
      <c r="J23" s="23">
        <f>SUM(J6:J22)</f>
        <v>1230500</v>
      </c>
      <c r="K23" s="23">
        <f>H23-J23</f>
        <v>2198500</v>
      </c>
    </row>
    <row r="24" spans="1:11" ht="15.5" x14ac:dyDescent="0.35">
      <c r="A24" s="19" t="s">
        <v>95</v>
      </c>
      <c r="B24" s="1"/>
      <c r="C24" s="20"/>
      <c r="D24" s="1"/>
      <c r="E24" s="1"/>
      <c r="F24" s="20"/>
      <c r="G24" s="20"/>
      <c r="H24" s="20" t="s">
        <v>192</v>
      </c>
      <c r="I24" s="20"/>
      <c r="J24" s="20"/>
      <c r="K24" s="20"/>
    </row>
    <row r="25" spans="1:11" ht="15.5" x14ac:dyDescent="0.35">
      <c r="A25" s="3" t="s">
        <v>96</v>
      </c>
      <c r="B25" s="1"/>
      <c r="C25" s="20">
        <v>3000</v>
      </c>
      <c r="D25" s="1"/>
      <c r="E25" s="20"/>
      <c r="F25" s="20">
        <f t="shared" ref="F25:F28" si="4">C25*B25</f>
        <v>0</v>
      </c>
      <c r="G25" s="20"/>
      <c r="H25" s="20"/>
      <c r="I25" s="20"/>
      <c r="J25" s="20"/>
      <c r="K25" s="20"/>
    </row>
    <row r="26" spans="1:11" ht="15.5" x14ac:dyDescent="0.35">
      <c r="A26" s="3" t="s">
        <v>97</v>
      </c>
      <c r="B26" s="1"/>
      <c r="C26" s="20">
        <v>2500</v>
      </c>
      <c r="D26" s="1"/>
      <c r="E26" s="1"/>
      <c r="F26" s="20">
        <f t="shared" si="4"/>
        <v>0</v>
      </c>
      <c r="G26" s="20"/>
      <c r="H26" s="20"/>
      <c r="I26" s="20"/>
      <c r="J26" s="20"/>
      <c r="K26" s="20"/>
    </row>
    <row r="27" spans="1:11" ht="15.5" x14ac:dyDescent="0.35">
      <c r="A27" s="3" t="s">
        <v>98</v>
      </c>
      <c r="B27" s="1"/>
      <c r="C27" s="20">
        <v>1800</v>
      </c>
      <c r="D27" s="1"/>
      <c r="E27" s="1"/>
      <c r="F27" s="20">
        <f t="shared" si="4"/>
        <v>0</v>
      </c>
      <c r="G27" s="20"/>
      <c r="H27" s="20"/>
      <c r="I27" s="20"/>
      <c r="J27" s="20"/>
      <c r="K27" s="20"/>
    </row>
    <row r="28" spans="1:11" ht="15.5" x14ac:dyDescent="0.35">
      <c r="A28" s="3" t="s">
        <v>99</v>
      </c>
      <c r="B28" s="1"/>
      <c r="C28" s="20">
        <v>3500</v>
      </c>
      <c r="D28" s="1"/>
      <c r="E28" s="1"/>
      <c r="F28" s="20">
        <f t="shared" si="4"/>
        <v>0</v>
      </c>
      <c r="G28" s="20"/>
      <c r="H28" s="20"/>
      <c r="I28" s="20"/>
      <c r="J28" s="20"/>
      <c r="K28" s="20"/>
    </row>
    <row r="29" spans="1:11" ht="15.5" x14ac:dyDescent="0.35">
      <c r="A29" s="18"/>
      <c r="F29" s="21"/>
    </row>
    <row r="30" spans="1:11" ht="15.5" x14ac:dyDescent="0.35">
      <c r="A30" s="24" t="s">
        <v>108</v>
      </c>
      <c r="K30" s="21"/>
    </row>
    <row r="31" spans="1:11" ht="15.5" x14ac:dyDescent="0.35">
      <c r="A31" s="18" t="s">
        <v>114</v>
      </c>
      <c r="B31" s="67">
        <v>45000</v>
      </c>
    </row>
    <row r="32" spans="1:11" ht="15.5" x14ac:dyDescent="0.35">
      <c r="A32" s="18" t="s">
        <v>254</v>
      </c>
      <c r="B32" s="67">
        <v>60000</v>
      </c>
    </row>
    <row r="33" spans="1:11" ht="15.5" x14ac:dyDescent="0.35">
      <c r="A33" s="18" t="s">
        <v>112</v>
      </c>
      <c r="B33" s="67">
        <v>60000</v>
      </c>
    </row>
    <row r="34" spans="1:11" ht="15.5" x14ac:dyDescent="0.35">
      <c r="A34" s="18" t="s">
        <v>110</v>
      </c>
      <c r="B34" s="67">
        <v>45000</v>
      </c>
    </row>
    <row r="35" spans="1:11" ht="15.5" x14ac:dyDescent="0.35">
      <c r="A35" s="18" t="s">
        <v>111</v>
      </c>
      <c r="B35" s="67">
        <v>45000</v>
      </c>
    </row>
    <row r="36" spans="1:11" ht="15.5" x14ac:dyDescent="0.35">
      <c r="A36" s="18" t="s">
        <v>196</v>
      </c>
      <c r="B36" s="67">
        <v>45000</v>
      </c>
    </row>
    <row r="37" spans="1:11" ht="15.5" x14ac:dyDescent="0.35">
      <c r="A37" s="18" t="s">
        <v>113</v>
      </c>
      <c r="B37" s="67">
        <v>45000</v>
      </c>
    </row>
    <row r="38" spans="1:11" ht="15.5" x14ac:dyDescent="0.35">
      <c r="A38" s="18" t="s">
        <v>209</v>
      </c>
      <c r="B38" s="67">
        <v>45000</v>
      </c>
    </row>
    <row r="39" spans="1:11" ht="15.5" x14ac:dyDescent="0.35">
      <c r="A39" s="18" t="s">
        <v>115</v>
      </c>
      <c r="B39" s="67">
        <v>60000</v>
      </c>
    </row>
    <row r="40" spans="1:11" ht="15.5" x14ac:dyDescent="0.35">
      <c r="A40" s="18" t="s">
        <v>122</v>
      </c>
      <c r="B40" s="67">
        <v>60000</v>
      </c>
    </row>
    <row r="41" spans="1:11" ht="15.5" x14ac:dyDescent="0.35">
      <c r="A41" s="18" t="s">
        <v>109</v>
      </c>
      <c r="B41" s="67">
        <v>45000</v>
      </c>
    </row>
    <row r="42" spans="1:11" ht="15.5" x14ac:dyDescent="0.35">
      <c r="A42" s="24" t="s">
        <v>4</v>
      </c>
      <c r="B42" s="75">
        <f>SUM(B31:B41)</f>
        <v>555000</v>
      </c>
    </row>
    <row r="45" spans="1:11" ht="18.5" x14ac:dyDescent="0.45">
      <c r="A45" s="150" t="s">
        <v>1</v>
      </c>
      <c r="B45" s="150"/>
      <c r="C45" s="150"/>
      <c r="D45" s="150"/>
      <c r="E45" s="150"/>
      <c r="F45" s="150"/>
      <c r="G45" s="150"/>
      <c r="H45" s="150"/>
      <c r="I45" s="150"/>
      <c r="J45" s="150"/>
      <c r="K45" s="150"/>
    </row>
    <row r="46" spans="1:11" ht="18.5" x14ac:dyDescent="0.45">
      <c r="A46" s="150" t="s">
        <v>74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</row>
    <row r="47" spans="1:11" ht="18.5" x14ac:dyDescent="0.45">
      <c r="A47" s="149">
        <v>46056</v>
      </c>
      <c r="B47" s="149"/>
      <c r="C47" s="149"/>
      <c r="D47" s="149"/>
      <c r="E47" s="149"/>
      <c r="F47" s="149"/>
      <c r="G47" s="149"/>
      <c r="H47" s="149"/>
      <c r="I47" s="149"/>
      <c r="J47" s="149"/>
      <c r="K47" s="149"/>
    </row>
    <row r="48" spans="1:11" ht="18.5" x14ac:dyDescent="0.45">
      <c r="A48" s="150"/>
      <c r="B48" s="150"/>
      <c r="C48" s="150"/>
      <c r="D48" s="150"/>
      <c r="E48" s="150"/>
      <c r="F48" s="150"/>
      <c r="G48" s="150"/>
      <c r="H48" s="150"/>
      <c r="I48" s="150"/>
      <c r="J48" s="150"/>
      <c r="K48" s="150"/>
    </row>
    <row r="49" spans="1:11" ht="18.5" x14ac:dyDescent="0.45">
      <c r="A49" s="2" t="s">
        <v>75</v>
      </c>
      <c r="B49" s="2" t="s">
        <v>3</v>
      </c>
      <c r="C49" s="2" t="s">
        <v>100</v>
      </c>
      <c r="D49" s="2" t="s">
        <v>90</v>
      </c>
      <c r="E49" s="2" t="s">
        <v>91</v>
      </c>
      <c r="F49" s="2" t="s">
        <v>4</v>
      </c>
      <c r="G49" s="2" t="s">
        <v>101</v>
      </c>
      <c r="H49" s="2" t="s">
        <v>104</v>
      </c>
      <c r="I49" s="2"/>
      <c r="J49" s="2" t="s">
        <v>105</v>
      </c>
      <c r="K49" s="2" t="s">
        <v>106</v>
      </c>
    </row>
    <row r="50" spans="1:11" ht="15.5" x14ac:dyDescent="0.35">
      <c r="A50" s="3" t="s">
        <v>76</v>
      </c>
      <c r="B50" s="1">
        <v>111</v>
      </c>
      <c r="C50" s="20">
        <v>17500</v>
      </c>
      <c r="D50" s="1">
        <v>49</v>
      </c>
      <c r="E50" s="1">
        <v>62</v>
      </c>
      <c r="F50" s="20">
        <f>C50*B50</f>
        <v>1942500</v>
      </c>
      <c r="G50" s="20">
        <f>D50*C50</f>
        <v>857500</v>
      </c>
      <c r="H50" s="20">
        <f>E50*C50</f>
        <v>1085000</v>
      </c>
      <c r="I50" s="20" t="b">
        <f>D50+E50=B50</f>
        <v>1</v>
      </c>
      <c r="J50" s="20">
        <f>B86</f>
        <v>555000</v>
      </c>
      <c r="K50" s="20" t="s">
        <v>117</v>
      </c>
    </row>
    <row r="51" spans="1:11" ht="15.5" x14ac:dyDescent="0.35">
      <c r="A51" s="3" t="s">
        <v>77</v>
      </c>
      <c r="B51" s="1">
        <v>16</v>
      </c>
      <c r="C51" s="20">
        <v>16000</v>
      </c>
      <c r="D51" s="1">
        <v>14</v>
      </c>
      <c r="E51" s="1">
        <v>2</v>
      </c>
      <c r="F51" s="20">
        <f t="shared" ref="F51:F62" si="5">C51*B51</f>
        <v>256000</v>
      </c>
      <c r="G51" s="20">
        <f t="shared" ref="G51:G62" si="6">D51*C51</f>
        <v>224000</v>
      </c>
      <c r="H51" s="20">
        <f t="shared" ref="H51:H66" si="7">E51*C51</f>
        <v>32000</v>
      </c>
      <c r="I51" s="20" t="b">
        <f t="shared" ref="I51:I66" si="8">D51+E51=B51</f>
        <v>1</v>
      </c>
      <c r="J51" s="20">
        <v>15000</v>
      </c>
      <c r="K51" s="20" t="s">
        <v>191</v>
      </c>
    </row>
    <row r="52" spans="1:11" ht="15.5" x14ac:dyDescent="0.35">
      <c r="A52" s="3" t="s">
        <v>78</v>
      </c>
      <c r="B52" s="1">
        <v>60</v>
      </c>
      <c r="C52" s="20">
        <v>17500</v>
      </c>
      <c r="D52" s="1">
        <v>33</v>
      </c>
      <c r="E52" s="1">
        <v>27</v>
      </c>
      <c r="F52" s="20">
        <f t="shared" si="5"/>
        <v>1050000</v>
      </c>
      <c r="G52" s="20">
        <f t="shared" si="6"/>
        <v>577500</v>
      </c>
      <c r="H52" s="20">
        <f t="shared" si="7"/>
        <v>472500</v>
      </c>
      <c r="I52" s="20" t="b">
        <f t="shared" si="8"/>
        <v>1</v>
      </c>
      <c r="J52" s="20">
        <v>220000</v>
      </c>
      <c r="K52" s="20" t="s">
        <v>107</v>
      </c>
    </row>
    <row r="53" spans="1:11" ht="15.5" x14ac:dyDescent="0.35">
      <c r="A53" s="3" t="s">
        <v>79</v>
      </c>
      <c r="B53" s="1">
        <v>25</v>
      </c>
      <c r="C53" s="20">
        <v>18500</v>
      </c>
      <c r="D53" s="1">
        <v>13</v>
      </c>
      <c r="E53" s="1">
        <v>12</v>
      </c>
      <c r="F53" s="20">
        <f t="shared" si="5"/>
        <v>462500</v>
      </c>
      <c r="G53" s="20">
        <f t="shared" si="6"/>
        <v>240500</v>
      </c>
      <c r="H53" s="20">
        <f t="shared" si="7"/>
        <v>222000</v>
      </c>
      <c r="I53" s="20" t="b">
        <f t="shared" si="8"/>
        <v>1</v>
      </c>
      <c r="J53" s="20"/>
      <c r="K53" s="20"/>
    </row>
    <row r="54" spans="1:11" ht="15.5" x14ac:dyDescent="0.35">
      <c r="A54" s="3" t="s">
        <v>80</v>
      </c>
      <c r="B54" s="1"/>
      <c r="C54" s="20">
        <v>18500</v>
      </c>
      <c r="D54" s="1"/>
      <c r="E54" s="1"/>
      <c r="F54" s="20">
        <f t="shared" si="5"/>
        <v>0</v>
      </c>
      <c r="G54" s="20">
        <f t="shared" si="6"/>
        <v>0</v>
      </c>
      <c r="H54" s="20">
        <f t="shared" si="7"/>
        <v>0</v>
      </c>
      <c r="I54" s="20" t="b">
        <f t="shared" si="8"/>
        <v>1</v>
      </c>
      <c r="J54" s="20"/>
      <c r="K54" s="20"/>
    </row>
    <row r="55" spans="1:11" ht="15.5" x14ac:dyDescent="0.35">
      <c r="A55" s="3" t="s">
        <v>81</v>
      </c>
      <c r="B55" s="1"/>
      <c r="C55" s="20">
        <v>23000</v>
      </c>
      <c r="D55" s="1"/>
      <c r="E55" s="1"/>
      <c r="F55" s="20">
        <f t="shared" si="5"/>
        <v>0</v>
      </c>
      <c r="G55" s="20">
        <f t="shared" si="6"/>
        <v>0</v>
      </c>
      <c r="H55" s="20">
        <f t="shared" si="7"/>
        <v>0</v>
      </c>
      <c r="I55" s="20" t="b">
        <f t="shared" si="8"/>
        <v>1</v>
      </c>
      <c r="J55" s="20"/>
      <c r="K55" s="20"/>
    </row>
    <row r="56" spans="1:11" ht="15.5" x14ac:dyDescent="0.35">
      <c r="A56" s="3" t="s">
        <v>82</v>
      </c>
      <c r="B56" s="1"/>
      <c r="C56" s="20">
        <v>18000</v>
      </c>
      <c r="D56" s="1"/>
      <c r="E56" s="1"/>
      <c r="F56" s="20">
        <f t="shared" si="5"/>
        <v>0</v>
      </c>
      <c r="G56" s="20">
        <f t="shared" si="6"/>
        <v>0</v>
      </c>
      <c r="H56" s="20">
        <f t="shared" si="7"/>
        <v>0</v>
      </c>
      <c r="I56" s="20" t="b">
        <f t="shared" si="8"/>
        <v>1</v>
      </c>
      <c r="J56" s="20"/>
      <c r="K56" s="20"/>
    </row>
    <row r="57" spans="1:11" ht="15.5" x14ac:dyDescent="0.35">
      <c r="A57" s="3" t="s">
        <v>83</v>
      </c>
      <c r="B57" s="1"/>
      <c r="C57" s="20">
        <v>18000</v>
      </c>
      <c r="D57" s="1"/>
      <c r="E57" s="1"/>
      <c r="F57" s="20">
        <f t="shared" si="5"/>
        <v>0</v>
      </c>
      <c r="G57" s="20">
        <f t="shared" si="6"/>
        <v>0</v>
      </c>
      <c r="H57" s="20">
        <f t="shared" si="7"/>
        <v>0</v>
      </c>
      <c r="I57" s="20" t="b">
        <f t="shared" si="8"/>
        <v>1</v>
      </c>
      <c r="J57" s="20"/>
      <c r="K57" s="20"/>
    </row>
    <row r="58" spans="1:11" ht="15.5" x14ac:dyDescent="0.35">
      <c r="A58" s="3" t="s">
        <v>84</v>
      </c>
      <c r="B58" s="1"/>
      <c r="C58" s="20">
        <v>18500</v>
      </c>
      <c r="D58" s="1"/>
      <c r="E58" s="1"/>
      <c r="F58" s="20">
        <f t="shared" si="5"/>
        <v>0</v>
      </c>
      <c r="G58" s="20">
        <f t="shared" si="6"/>
        <v>0</v>
      </c>
      <c r="H58" s="20">
        <f t="shared" si="7"/>
        <v>0</v>
      </c>
      <c r="I58" s="20" t="b">
        <f t="shared" si="8"/>
        <v>1</v>
      </c>
      <c r="J58" s="20"/>
      <c r="K58" s="20"/>
    </row>
    <row r="59" spans="1:11" ht="15.5" x14ac:dyDescent="0.35">
      <c r="A59" s="3" t="s">
        <v>85</v>
      </c>
      <c r="B59" s="1">
        <v>48</v>
      </c>
      <c r="C59" s="20">
        <v>18500</v>
      </c>
      <c r="D59" s="1">
        <v>30</v>
      </c>
      <c r="E59" s="1">
        <v>18</v>
      </c>
      <c r="F59" s="20">
        <f t="shared" si="5"/>
        <v>888000</v>
      </c>
      <c r="G59" s="20">
        <f t="shared" si="6"/>
        <v>555000</v>
      </c>
      <c r="H59" s="20">
        <f t="shared" si="7"/>
        <v>333000</v>
      </c>
      <c r="I59" s="20" t="b">
        <f t="shared" si="8"/>
        <v>1</v>
      </c>
      <c r="J59" s="20"/>
      <c r="K59" s="20"/>
    </row>
    <row r="60" spans="1:11" ht="15.5" x14ac:dyDescent="0.35">
      <c r="A60" s="3" t="s">
        <v>86</v>
      </c>
      <c r="B60" s="1"/>
      <c r="C60" s="20">
        <v>18500</v>
      </c>
      <c r="D60" s="1"/>
      <c r="E60" s="1"/>
      <c r="F60" s="20">
        <f t="shared" si="5"/>
        <v>0</v>
      </c>
      <c r="G60" s="20">
        <f t="shared" si="6"/>
        <v>0</v>
      </c>
      <c r="H60" s="20">
        <f t="shared" si="7"/>
        <v>0</v>
      </c>
      <c r="I60" s="20" t="b">
        <f t="shared" si="8"/>
        <v>1</v>
      </c>
      <c r="J60" s="20"/>
      <c r="K60" s="20"/>
    </row>
    <row r="61" spans="1:11" ht="15.5" x14ac:dyDescent="0.35">
      <c r="A61" s="3" t="s">
        <v>87</v>
      </c>
      <c r="B61" s="1">
        <v>8</v>
      </c>
      <c r="C61" s="20">
        <v>18500</v>
      </c>
      <c r="D61" s="1">
        <v>7</v>
      </c>
      <c r="E61" s="1">
        <v>1</v>
      </c>
      <c r="F61" s="20">
        <f t="shared" si="5"/>
        <v>148000</v>
      </c>
      <c r="G61" s="20">
        <f t="shared" si="6"/>
        <v>129500</v>
      </c>
      <c r="H61" s="20">
        <f t="shared" si="7"/>
        <v>18500</v>
      </c>
      <c r="I61" s="20" t="b">
        <f t="shared" si="8"/>
        <v>1</v>
      </c>
      <c r="J61" s="20"/>
      <c r="K61" s="20"/>
    </row>
    <row r="62" spans="1:11" ht="15.5" x14ac:dyDescent="0.35">
      <c r="A62" s="3" t="s">
        <v>88</v>
      </c>
      <c r="B62" s="1">
        <v>9</v>
      </c>
      <c r="C62" s="20">
        <v>18500</v>
      </c>
      <c r="D62" s="1">
        <v>3</v>
      </c>
      <c r="E62" s="1">
        <v>6</v>
      </c>
      <c r="F62" s="20">
        <f t="shared" si="5"/>
        <v>166500</v>
      </c>
      <c r="G62" s="20">
        <f t="shared" si="6"/>
        <v>55500</v>
      </c>
      <c r="H62" s="20">
        <f t="shared" si="7"/>
        <v>111000</v>
      </c>
      <c r="I62" s="20" t="b">
        <f t="shared" si="8"/>
        <v>1</v>
      </c>
      <c r="J62" s="20"/>
      <c r="K62" s="20"/>
    </row>
    <row r="63" spans="1:11" ht="15.5" x14ac:dyDescent="0.35">
      <c r="A63" s="19" t="s">
        <v>89</v>
      </c>
      <c r="B63" s="1"/>
      <c r="C63" s="20"/>
      <c r="D63" s="1"/>
      <c r="E63" s="1"/>
      <c r="F63" s="20"/>
      <c r="G63" s="20"/>
      <c r="H63" s="20">
        <f t="shared" si="7"/>
        <v>0</v>
      </c>
      <c r="I63" s="20" t="b">
        <f t="shared" si="8"/>
        <v>1</v>
      </c>
      <c r="J63" s="20"/>
      <c r="K63" s="20"/>
    </row>
    <row r="64" spans="1:11" ht="15.5" x14ac:dyDescent="0.35">
      <c r="A64" s="3" t="s">
        <v>92</v>
      </c>
      <c r="B64" s="1"/>
      <c r="C64" s="20">
        <v>21500</v>
      </c>
      <c r="D64" s="1"/>
      <c r="E64" s="1"/>
      <c r="F64" s="20">
        <f t="shared" ref="F64:F66" si="9">C64*B64</f>
        <v>0</v>
      </c>
      <c r="G64" s="20">
        <f t="shared" ref="G64:G66" si="10">D64*C64</f>
        <v>0</v>
      </c>
      <c r="H64" s="20">
        <f t="shared" si="7"/>
        <v>0</v>
      </c>
      <c r="I64" s="20" t="b">
        <f t="shared" si="8"/>
        <v>1</v>
      </c>
      <c r="J64" s="20"/>
      <c r="K64" s="20"/>
    </row>
    <row r="65" spans="1:11" ht="15.5" x14ac:dyDescent="0.35">
      <c r="A65" s="3" t="s">
        <v>93</v>
      </c>
      <c r="B65" s="1">
        <v>27</v>
      </c>
      <c r="C65" s="20">
        <v>21500</v>
      </c>
      <c r="D65" s="1">
        <v>5</v>
      </c>
      <c r="E65" s="1">
        <v>22</v>
      </c>
      <c r="F65" s="20">
        <f t="shared" si="9"/>
        <v>580500</v>
      </c>
      <c r="G65" s="20">
        <f t="shared" si="10"/>
        <v>107500</v>
      </c>
      <c r="H65" s="20">
        <f t="shared" si="7"/>
        <v>473000</v>
      </c>
      <c r="I65" s="20" t="b">
        <f t="shared" si="8"/>
        <v>1</v>
      </c>
      <c r="J65" s="20"/>
      <c r="K65" s="20"/>
    </row>
    <row r="66" spans="1:11" ht="15.5" x14ac:dyDescent="0.35">
      <c r="A66" s="3" t="s">
        <v>94</v>
      </c>
      <c r="B66" s="1">
        <v>21</v>
      </c>
      <c r="C66" s="20">
        <v>21500</v>
      </c>
      <c r="D66" s="1">
        <v>3</v>
      </c>
      <c r="E66" s="1">
        <v>18</v>
      </c>
      <c r="F66" s="20">
        <f t="shared" si="9"/>
        <v>451500</v>
      </c>
      <c r="G66" s="20">
        <f t="shared" si="10"/>
        <v>64500</v>
      </c>
      <c r="H66" s="20">
        <f t="shared" si="7"/>
        <v>387000</v>
      </c>
      <c r="I66" s="20" t="b">
        <f t="shared" si="8"/>
        <v>1</v>
      </c>
      <c r="J66" s="20"/>
      <c r="K66" s="20"/>
    </row>
    <row r="67" spans="1:11" ht="15.5" x14ac:dyDescent="0.35">
      <c r="A67" s="19"/>
      <c r="B67" s="22">
        <f>SUM(B50:B66)</f>
        <v>325</v>
      </c>
      <c r="C67" s="20"/>
      <c r="D67" s="1"/>
      <c r="E67" s="1"/>
      <c r="F67" s="23">
        <f>SUM(F50:F66)</f>
        <v>5945500</v>
      </c>
      <c r="G67" s="23">
        <f>SUM(G50:G66)</f>
        <v>2811500</v>
      </c>
      <c r="H67" s="23">
        <f>SUM(H50:H66)</f>
        <v>3134000</v>
      </c>
      <c r="I67" s="23"/>
      <c r="J67" s="23">
        <f>SUM(J50:J66)</f>
        <v>790000</v>
      </c>
      <c r="K67" s="23">
        <f>H67-J67</f>
        <v>2344000</v>
      </c>
    </row>
    <row r="68" spans="1:11" ht="15.5" x14ac:dyDescent="0.35">
      <c r="A68" s="19" t="s">
        <v>95</v>
      </c>
      <c r="B68" s="1"/>
      <c r="C68" s="20"/>
      <c r="D68" s="1"/>
      <c r="E68" s="1"/>
      <c r="F68" s="20"/>
      <c r="G68" s="20"/>
      <c r="H68" s="20" t="s">
        <v>192</v>
      </c>
      <c r="I68" s="20"/>
      <c r="J68" s="20"/>
      <c r="K68" s="20"/>
    </row>
    <row r="69" spans="1:11" ht="15.5" x14ac:dyDescent="0.35">
      <c r="A69" s="3" t="s">
        <v>96</v>
      </c>
      <c r="B69" s="1"/>
      <c r="C69" s="20">
        <v>3000</v>
      </c>
      <c r="D69" s="1"/>
      <c r="E69" s="20"/>
      <c r="F69" s="20">
        <f t="shared" ref="F69:F72" si="11">C69*B69</f>
        <v>0</v>
      </c>
      <c r="G69" s="20"/>
      <c r="H69" s="20"/>
      <c r="I69" s="20"/>
      <c r="J69" s="20"/>
      <c r="K69" s="20"/>
    </row>
    <row r="70" spans="1:11" ht="15.5" x14ac:dyDescent="0.35">
      <c r="A70" s="3" t="s">
        <v>97</v>
      </c>
      <c r="B70" s="1"/>
      <c r="C70" s="20">
        <v>2500</v>
      </c>
      <c r="D70" s="1"/>
      <c r="E70" s="1"/>
      <c r="F70" s="20">
        <f t="shared" si="11"/>
        <v>0</v>
      </c>
      <c r="G70" s="20"/>
      <c r="H70" s="20"/>
      <c r="I70" s="20"/>
      <c r="J70" s="20"/>
      <c r="K70" s="20"/>
    </row>
    <row r="71" spans="1:11" ht="15.5" x14ac:dyDescent="0.35">
      <c r="A71" s="3" t="s">
        <v>98</v>
      </c>
      <c r="B71" s="1"/>
      <c r="C71" s="20">
        <v>1800</v>
      </c>
      <c r="D71" s="1"/>
      <c r="E71" s="1"/>
      <c r="F71" s="20">
        <f t="shared" si="11"/>
        <v>0</v>
      </c>
      <c r="G71" s="20"/>
      <c r="H71" s="20"/>
      <c r="I71" s="20"/>
      <c r="J71" s="20"/>
      <c r="K71" s="20"/>
    </row>
    <row r="72" spans="1:11" ht="15.5" x14ac:dyDescent="0.35">
      <c r="A72" s="3" t="s">
        <v>99</v>
      </c>
      <c r="B72" s="1"/>
      <c r="C72" s="20">
        <v>3500</v>
      </c>
      <c r="D72" s="1"/>
      <c r="E72" s="1"/>
      <c r="F72" s="20">
        <f t="shared" si="11"/>
        <v>0</v>
      </c>
      <c r="G72" s="20"/>
      <c r="H72" s="20"/>
      <c r="I72" s="20"/>
      <c r="J72" s="20"/>
      <c r="K72" s="20"/>
    </row>
    <row r="73" spans="1:11" ht="15.5" x14ac:dyDescent="0.35">
      <c r="A73" s="18"/>
      <c r="F73" s="21"/>
    </row>
    <row r="74" spans="1:11" ht="15.5" x14ac:dyDescent="0.35">
      <c r="A74" s="24" t="s">
        <v>108</v>
      </c>
      <c r="K74" s="21"/>
    </row>
    <row r="75" spans="1:11" ht="15.5" x14ac:dyDescent="0.35">
      <c r="A75" s="18" t="s">
        <v>114</v>
      </c>
      <c r="B75" s="67">
        <v>45000</v>
      </c>
    </row>
    <row r="76" spans="1:11" ht="15.5" x14ac:dyDescent="0.35">
      <c r="A76" s="18" t="s">
        <v>254</v>
      </c>
      <c r="B76" s="67">
        <v>60000</v>
      </c>
    </row>
    <row r="77" spans="1:11" ht="15.5" x14ac:dyDescent="0.35">
      <c r="A77" s="18" t="s">
        <v>112</v>
      </c>
      <c r="B77" s="67">
        <v>60000</v>
      </c>
    </row>
    <row r="78" spans="1:11" ht="15.5" x14ac:dyDescent="0.35">
      <c r="A78" s="18" t="s">
        <v>110</v>
      </c>
      <c r="B78" s="67">
        <v>45000</v>
      </c>
    </row>
    <row r="79" spans="1:11" ht="15.5" x14ac:dyDescent="0.35">
      <c r="A79" s="18" t="s">
        <v>111</v>
      </c>
      <c r="B79" s="67">
        <v>45000</v>
      </c>
    </row>
    <row r="80" spans="1:11" ht="15.5" x14ac:dyDescent="0.35">
      <c r="A80" s="18" t="s">
        <v>196</v>
      </c>
      <c r="B80" s="67">
        <v>45000</v>
      </c>
    </row>
    <row r="81" spans="1:11" ht="15.5" x14ac:dyDescent="0.35">
      <c r="A81" s="18" t="s">
        <v>113</v>
      </c>
      <c r="B81" s="67">
        <v>45000</v>
      </c>
    </row>
    <row r="82" spans="1:11" ht="15.5" x14ac:dyDescent="0.35">
      <c r="A82" s="18" t="s">
        <v>209</v>
      </c>
      <c r="B82" s="67">
        <v>45000</v>
      </c>
    </row>
    <row r="83" spans="1:11" ht="15.5" x14ac:dyDescent="0.35">
      <c r="A83" s="18" t="s">
        <v>115</v>
      </c>
      <c r="B83" s="67">
        <v>60000</v>
      </c>
    </row>
    <row r="84" spans="1:11" ht="15.5" x14ac:dyDescent="0.35">
      <c r="A84" s="18" t="s">
        <v>122</v>
      </c>
      <c r="B84" s="67">
        <v>60000</v>
      </c>
    </row>
    <row r="85" spans="1:11" ht="15.5" x14ac:dyDescent="0.35">
      <c r="A85" s="18" t="s">
        <v>109</v>
      </c>
      <c r="B85" s="67">
        <v>45000</v>
      </c>
    </row>
    <row r="86" spans="1:11" ht="15.5" x14ac:dyDescent="0.35">
      <c r="A86" s="24" t="s">
        <v>4</v>
      </c>
      <c r="B86" s="75">
        <f>SUM(B75:B85)</f>
        <v>555000</v>
      </c>
    </row>
    <row r="89" spans="1:11" ht="18.5" x14ac:dyDescent="0.45">
      <c r="A89" s="150" t="s">
        <v>1</v>
      </c>
      <c r="B89" s="150"/>
      <c r="C89" s="150"/>
      <c r="D89" s="150"/>
      <c r="E89" s="150"/>
      <c r="F89" s="150"/>
      <c r="G89" s="150"/>
      <c r="H89" s="150"/>
      <c r="I89" s="150"/>
      <c r="J89" s="150"/>
      <c r="K89" s="150"/>
    </row>
    <row r="90" spans="1:11" ht="18.5" x14ac:dyDescent="0.45">
      <c r="A90" s="150" t="s">
        <v>74</v>
      </c>
      <c r="B90" s="150"/>
      <c r="C90" s="150"/>
      <c r="D90" s="150"/>
      <c r="E90" s="150"/>
      <c r="F90" s="150"/>
      <c r="G90" s="150"/>
      <c r="H90" s="150"/>
      <c r="I90" s="150"/>
      <c r="J90" s="150"/>
      <c r="K90" s="150"/>
    </row>
    <row r="91" spans="1:11" ht="18.5" x14ac:dyDescent="0.45">
      <c r="A91" s="149">
        <v>46057</v>
      </c>
      <c r="B91" s="149"/>
      <c r="C91" s="149"/>
      <c r="D91" s="149"/>
      <c r="E91" s="149"/>
      <c r="F91" s="149"/>
      <c r="G91" s="149"/>
      <c r="H91" s="149"/>
      <c r="I91" s="149"/>
      <c r="J91" s="149"/>
      <c r="K91" s="149"/>
    </row>
    <row r="92" spans="1:11" ht="18.5" x14ac:dyDescent="0.45">
      <c r="A92" s="150"/>
      <c r="B92" s="150"/>
      <c r="C92" s="150"/>
      <c r="D92" s="150"/>
      <c r="E92" s="150"/>
      <c r="F92" s="150"/>
      <c r="G92" s="150"/>
      <c r="H92" s="150"/>
      <c r="I92" s="150"/>
      <c r="J92" s="150"/>
      <c r="K92" s="150"/>
    </row>
    <row r="93" spans="1:11" ht="18.5" x14ac:dyDescent="0.45">
      <c r="A93" s="2" t="s">
        <v>75</v>
      </c>
      <c r="B93" s="2" t="s">
        <v>3</v>
      </c>
      <c r="C93" s="2" t="s">
        <v>100</v>
      </c>
      <c r="D93" s="2" t="s">
        <v>90</v>
      </c>
      <c r="E93" s="2" t="s">
        <v>91</v>
      </c>
      <c r="F93" s="2" t="s">
        <v>4</v>
      </c>
      <c r="G93" s="2" t="s">
        <v>101</v>
      </c>
      <c r="H93" s="2" t="s">
        <v>104</v>
      </c>
      <c r="I93" s="2"/>
      <c r="J93" s="2" t="s">
        <v>105</v>
      </c>
      <c r="K93" s="2" t="s">
        <v>106</v>
      </c>
    </row>
    <row r="94" spans="1:11" ht="15.5" x14ac:dyDescent="0.35">
      <c r="A94" s="3" t="s">
        <v>76</v>
      </c>
      <c r="B94" s="1">
        <v>111</v>
      </c>
      <c r="C94" s="20">
        <v>17500</v>
      </c>
      <c r="D94" s="1">
        <v>48</v>
      </c>
      <c r="E94" s="1">
        <v>63</v>
      </c>
      <c r="F94" s="20">
        <f>C94*B94</f>
        <v>1942500</v>
      </c>
      <c r="G94" s="20">
        <f>D94*C94</f>
        <v>840000</v>
      </c>
      <c r="H94" s="20">
        <f>E94*C94</f>
        <v>1102500</v>
      </c>
      <c r="I94" s="20" t="b">
        <f>D94+E94=B94</f>
        <v>1</v>
      </c>
      <c r="J94" s="20">
        <f>B130</f>
        <v>555000</v>
      </c>
      <c r="K94" s="20" t="s">
        <v>117</v>
      </c>
    </row>
    <row r="95" spans="1:11" ht="15.5" x14ac:dyDescent="0.35">
      <c r="A95" s="3" t="s">
        <v>77</v>
      </c>
      <c r="B95" s="1">
        <v>13</v>
      </c>
      <c r="C95" s="20">
        <v>16000</v>
      </c>
      <c r="D95" s="1">
        <v>5</v>
      </c>
      <c r="E95" s="1">
        <v>8</v>
      </c>
      <c r="F95" s="20">
        <f t="shared" ref="F95:F106" si="12">C95*B95</f>
        <v>208000</v>
      </c>
      <c r="G95" s="20">
        <f t="shared" ref="G95:G106" si="13">D95*C95</f>
        <v>80000</v>
      </c>
      <c r="H95" s="20">
        <f t="shared" ref="H95:H110" si="14">E95*C95</f>
        <v>128000</v>
      </c>
      <c r="I95" s="20" t="b">
        <f t="shared" ref="I95:I110" si="15">D95+E95=B95</f>
        <v>1</v>
      </c>
      <c r="J95" s="20">
        <v>15000</v>
      </c>
      <c r="K95" s="20" t="s">
        <v>191</v>
      </c>
    </row>
    <row r="96" spans="1:11" ht="15.5" x14ac:dyDescent="0.35">
      <c r="A96" s="3" t="s">
        <v>78</v>
      </c>
      <c r="B96" s="1">
        <v>57</v>
      </c>
      <c r="C96" s="20">
        <v>17500</v>
      </c>
      <c r="D96" s="1">
        <v>19</v>
      </c>
      <c r="E96" s="1">
        <v>38</v>
      </c>
      <c r="F96" s="20">
        <f t="shared" si="12"/>
        <v>997500</v>
      </c>
      <c r="G96" s="20">
        <f t="shared" si="13"/>
        <v>332500</v>
      </c>
      <c r="H96" s="20">
        <f t="shared" si="14"/>
        <v>665000</v>
      </c>
      <c r="I96" s="20" t="b">
        <f t="shared" si="15"/>
        <v>1</v>
      </c>
      <c r="J96" s="20">
        <v>282352</v>
      </c>
      <c r="K96" s="20" t="s">
        <v>278</v>
      </c>
    </row>
    <row r="97" spans="1:11" ht="15.5" x14ac:dyDescent="0.35">
      <c r="A97" s="3" t="s">
        <v>79</v>
      </c>
      <c r="B97" s="1"/>
      <c r="C97" s="20">
        <v>18500</v>
      </c>
      <c r="D97" s="1"/>
      <c r="E97" s="1"/>
      <c r="F97" s="20">
        <f t="shared" si="12"/>
        <v>0</v>
      </c>
      <c r="G97" s="20">
        <f t="shared" si="13"/>
        <v>0</v>
      </c>
      <c r="H97" s="20">
        <f t="shared" si="14"/>
        <v>0</v>
      </c>
      <c r="I97" s="20" t="b">
        <f t="shared" si="15"/>
        <v>1</v>
      </c>
      <c r="J97" s="20">
        <v>30000</v>
      </c>
      <c r="K97" s="20" t="s">
        <v>201</v>
      </c>
    </row>
    <row r="98" spans="1:11" ht="15.5" x14ac:dyDescent="0.35">
      <c r="A98" s="3" t="s">
        <v>80</v>
      </c>
      <c r="B98" s="1">
        <v>47</v>
      </c>
      <c r="C98" s="20">
        <v>18500</v>
      </c>
      <c r="D98" s="1">
        <v>16</v>
      </c>
      <c r="E98" s="1">
        <v>22</v>
      </c>
      <c r="F98" s="20">
        <f t="shared" si="12"/>
        <v>869500</v>
      </c>
      <c r="G98" s="20">
        <f t="shared" si="13"/>
        <v>296000</v>
      </c>
      <c r="H98" s="20">
        <f t="shared" si="14"/>
        <v>407000</v>
      </c>
      <c r="I98" s="20" t="b">
        <f t="shared" si="15"/>
        <v>0</v>
      </c>
      <c r="J98" s="20"/>
      <c r="K98" s="20"/>
    </row>
    <row r="99" spans="1:11" ht="15.5" x14ac:dyDescent="0.35">
      <c r="A99" s="3" t="s">
        <v>81</v>
      </c>
      <c r="B99" s="1"/>
      <c r="C99" s="20">
        <v>23000</v>
      </c>
      <c r="D99" s="1"/>
      <c r="E99" s="1"/>
      <c r="F99" s="20">
        <f t="shared" si="12"/>
        <v>0</v>
      </c>
      <c r="G99" s="20">
        <f t="shared" si="13"/>
        <v>0</v>
      </c>
      <c r="H99" s="20">
        <f t="shared" si="14"/>
        <v>0</v>
      </c>
      <c r="I99" s="20" t="b">
        <f t="shared" si="15"/>
        <v>1</v>
      </c>
      <c r="J99" s="20"/>
      <c r="K99" s="20"/>
    </row>
    <row r="100" spans="1:11" ht="15.5" x14ac:dyDescent="0.35">
      <c r="A100" s="3" t="s">
        <v>82</v>
      </c>
      <c r="B100" s="1"/>
      <c r="C100" s="20">
        <v>18000</v>
      </c>
      <c r="D100" s="1"/>
      <c r="E100" s="1"/>
      <c r="F100" s="20">
        <f t="shared" si="12"/>
        <v>0</v>
      </c>
      <c r="G100" s="20">
        <f t="shared" si="13"/>
        <v>0</v>
      </c>
      <c r="H100" s="20">
        <f t="shared" si="14"/>
        <v>0</v>
      </c>
      <c r="I100" s="20" t="b">
        <f t="shared" si="15"/>
        <v>1</v>
      </c>
      <c r="J100" s="20"/>
      <c r="K100" s="20"/>
    </row>
    <row r="101" spans="1:11" ht="15.5" x14ac:dyDescent="0.35">
      <c r="A101" s="3" t="s">
        <v>83</v>
      </c>
      <c r="B101" s="1">
        <v>38</v>
      </c>
      <c r="C101" s="20">
        <v>18000</v>
      </c>
      <c r="D101" s="1">
        <v>13</v>
      </c>
      <c r="E101" s="1">
        <v>25</v>
      </c>
      <c r="F101" s="20">
        <f t="shared" si="12"/>
        <v>684000</v>
      </c>
      <c r="G101" s="20">
        <f t="shared" si="13"/>
        <v>234000</v>
      </c>
      <c r="H101" s="20">
        <f t="shared" si="14"/>
        <v>450000</v>
      </c>
      <c r="I101" s="20" t="b">
        <f t="shared" si="15"/>
        <v>1</v>
      </c>
      <c r="J101" s="20"/>
      <c r="K101" s="20"/>
    </row>
    <row r="102" spans="1:11" ht="15.5" x14ac:dyDescent="0.35">
      <c r="A102" s="3" t="s">
        <v>84</v>
      </c>
      <c r="B102" s="1"/>
      <c r="C102" s="20">
        <v>18500</v>
      </c>
      <c r="D102" s="1"/>
      <c r="E102" s="1"/>
      <c r="F102" s="20">
        <f t="shared" si="12"/>
        <v>0</v>
      </c>
      <c r="G102" s="20">
        <f t="shared" si="13"/>
        <v>0</v>
      </c>
      <c r="H102" s="20">
        <f t="shared" si="14"/>
        <v>0</v>
      </c>
      <c r="I102" s="20" t="b">
        <f t="shared" si="15"/>
        <v>1</v>
      </c>
      <c r="J102" s="20"/>
      <c r="K102" s="20"/>
    </row>
    <row r="103" spans="1:11" ht="15.5" x14ac:dyDescent="0.35">
      <c r="A103" s="3" t="s">
        <v>85</v>
      </c>
      <c r="B103" s="1"/>
      <c r="C103" s="20">
        <v>18500</v>
      </c>
      <c r="D103" s="1"/>
      <c r="E103" s="1"/>
      <c r="F103" s="20">
        <f t="shared" si="12"/>
        <v>0</v>
      </c>
      <c r="G103" s="20">
        <f t="shared" si="13"/>
        <v>0</v>
      </c>
      <c r="H103" s="20">
        <f t="shared" si="14"/>
        <v>0</v>
      </c>
      <c r="I103" s="20" t="b">
        <f t="shared" si="15"/>
        <v>1</v>
      </c>
      <c r="J103" s="20"/>
      <c r="K103" s="20"/>
    </row>
    <row r="104" spans="1:11" ht="15.5" x14ac:dyDescent="0.35">
      <c r="A104" s="3" t="s">
        <v>86</v>
      </c>
      <c r="B104" s="1">
        <v>7</v>
      </c>
      <c r="C104" s="20">
        <v>18500</v>
      </c>
      <c r="D104" s="1">
        <v>3</v>
      </c>
      <c r="E104" s="1">
        <v>4</v>
      </c>
      <c r="F104" s="20">
        <f t="shared" si="12"/>
        <v>129500</v>
      </c>
      <c r="G104" s="20">
        <f t="shared" si="13"/>
        <v>55500</v>
      </c>
      <c r="H104" s="20">
        <f t="shared" si="14"/>
        <v>74000</v>
      </c>
      <c r="I104" s="20" t="b">
        <f t="shared" si="15"/>
        <v>1</v>
      </c>
      <c r="J104" s="20"/>
      <c r="K104" s="20"/>
    </row>
    <row r="105" spans="1:11" ht="15.5" x14ac:dyDescent="0.35">
      <c r="A105" s="3" t="s">
        <v>87</v>
      </c>
      <c r="B105" s="1">
        <v>1</v>
      </c>
      <c r="C105" s="20">
        <v>18500</v>
      </c>
      <c r="D105" s="1">
        <v>1</v>
      </c>
      <c r="E105" s="1"/>
      <c r="F105" s="20">
        <f t="shared" si="12"/>
        <v>18500</v>
      </c>
      <c r="G105" s="20">
        <f t="shared" si="13"/>
        <v>18500</v>
      </c>
      <c r="H105" s="20">
        <f t="shared" si="14"/>
        <v>0</v>
      </c>
      <c r="I105" s="20" t="b">
        <f t="shared" si="15"/>
        <v>1</v>
      </c>
      <c r="J105" s="20"/>
      <c r="K105" s="20"/>
    </row>
    <row r="106" spans="1:11" ht="15.5" x14ac:dyDescent="0.35">
      <c r="A106" s="3" t="s">
        <v>88</v>
      </c>
      <c r="B106" s="1">
        <v>6</v>
      </c>
      <c r="C106" s="20">
        <v>18500</v>
      </c>
      <c r="D106" s="1">
        <v>1</v>
      </c>
      <c r="E106" s="1">
        <v>5</v>
      </c>
      <c r="F106" s="20">
        <f t="shared" si="12"/>
        <v>111000</v>
      </c>
      <c r="G106" s="20">
        <f t="shared" si="13"/>
        <v>18500</v>
      </c>
      <c r="H106" s="20">
        <f t="shared" si="14"/>
        <v>92500</v>
      </c>
      <c r="I106" s="20" t="b">
        <f t="shared" si="15"/>
        <v>1</v>
      </c>
      <c r="J106" s="20"/>
      <c r="K106" s="20"/>
    </row>
    <row r="107" spans="1:11" ht="15.5" x14ac:dyDescent="0.35">
      <c r="A107" s="19" t="s">
        <v>89</v>
      </c>
      <c r="B107" s="1"/>
      <c r="C107" s="20"/>
      <c r="D107" s="1"/>
      <c r="E107" s="1"/>
      <c r="F107" s="20"/>
      <c r="G107" s="20"/>
      <c r="H107" s="20">
        <f t="shared" si="14"/>
        <v>0</v>
      </c>
      <c r="I107" s="20" t="b">
        <f t="shared" si="15"/>
        <v>1</v>
      </c>
      <c r="J107" s="20"/>
      <c r="K107" s="20"/>
    </row>
    <row r="108" spans="1:11" ht="15.5" x14ac:dyDescent="0.35">
      <c r="A108" s="3" t="s">
        <v>92</v>
      </c>
      <c r="B108" s="1">
        <v>38</v>
      </c>
      <c r="C108" s="20">
        <v>21500</v>
      </c>
      <c r="D108" s="1">
        <v>15</v>
      </c>
      <c r="E108" s="1">
        <v>23</v>
      </c>
      <c r="F108" s="20">
        <f t="shared" ref="F108:F110" si="16">C108*B108</f>
        <v>817000</v>
      </c>
      <c r="G108" s="20">
        <f t="shared" ref="G108:G110" si="17">D108*C108</f>
        <v>322500</v>
      </c>
      <c r="H108" s="20">
        <f t="shared" si="14"/>
        <v>494500</v>
      </c>
      <c r="I108" s="20" t="b">
        <f t="shared" si="15"/>
        <v>1</v>
      </c>
      <c r="J108" s="20"/>
      <c r="K108" s="20"/>
    </row>
    <row r="109" spans="1:11" ht="15.5" x14ac:dyDescent="0.35">
      <c r="A109" s="3" t="s">
        <v>93</v>
      </c>
      <c r="B109" s="1">
        <v>7</v>
      </c>
      <c r="C109" s="20">
        <v>21500</v>
      </c>
      <c r="D109" s="1">
        <v>3</v>
      </c>
      <c r="E109" s="1">
        <v>4</v>
      </c>
      <c r="F109" s="20">
        <f t="shared" si="16"/>
        <v>150500</v>
      </c>
      <c r="G109" s="20">
        <f t="shared" si="17"/>
        <v>64500</v>
      </c>
      <c r="H109" s="20">
        <f t="shared" si="14"/>
        <v>86000</v>
      </c>
      <c r="I109" s="20" t="b">
        <f t="shared" si="15"/>
        <v>1</v>
      </c>
      <c r="J109" s="20"/>
      <c r="K109" s="20"/>
    </row>
    <row r="110" spans="1:11" ht="15.5" x14ac:dyDescent="0.35">
      <c r="A110" s="3" t="s">
        <v>94</v>
      </c>
      <c r="B110" s="1">
        <v>31</v>
      </c>
      <c r="C110" s="20">
        <v>21500</v>
      </c>
      <c r="D110" s="1">
        <v>18</v>
      </c>
      <c r="E110" s="1">
        <v>13</v>
      </c>
      <c r="F110" s="20">
        <f t="shared" si="16"/>
        <v>666500</v>
      </c>
      <c r="G110" s="20">
        <f t="shared" si="17"/>
        <v>387000</v>
      </c>
      <c r="H110" s="20">
        <f t="shared" si="14"/>
        <v>279500</v>
      </c>
      <c r="I110" s="20" t="b">
        <f t="shared" si="15"/>
        <v>1</v>
      </c>
      <c r="J110" s="20"/>
      <c r="K110" s="20"/>
    </row>
    <row r="111" spans="1:11" ht="15.5" x14ac:dyDescent="0.35">
      <c r="A111" s="19"/>
      <c r="B111" s="22">
        <f>SUM(B94:B110)</f>
        <v>356</v>
      </c>
      <c r="C111" s="20"/>
      <c r="D111" s="1"/>
      <c r="E111" s="1"/>
      <c r="F111" s="23">
        <f>SUM(F94:F110)</f>
        <v>6594500</v>
      </c>
      <c r="G111" s="23">
        <f>SUM(G94:G110)</f>
        <v>2649000</v>
      </c>
      <c r="H111" s="23">
        <f>SUM(H94:H110)</f>
        <v>3779000</v>
      </c>
      <c r="I111" s="23"/>
      <c r="J111" s="23">
        <f>SUM(J94:J110)</f>
        <v>882352</v>
      </c>
      <c r="K111" s="23">
        <f>H111-J111</f>
        <v>2896648</v>
      </c>
    </row>
    <row r="112" spans="1:11" ht="15.5" x14ac:dyDescent="0.35">
      <c r="A112" s="19" t="s">
        <v>95</v>
      </c>
      <c r="B112" s="1"/>
      <c r="C112" s="20"/>
      <c r="D112" s="1"/>
      <c r="E112" s="1"/>
      <c r="F112" s="20"/>
      <c r="G112" s="20"/>
      <c r="H112" s="20" t="s">
        <v>192</v>
      </c>
      <c r="I112" s="20"/>
      <c r="J112" s="20"/>
      <c r="K112" s="20"/>
    </row>
    <row r="113" spans="1:11" ht="15.5" x14ac:dyDescent="0.35">
      <c r="A113" s="3" t="s">
        <v>96</v>
      </c>
      <c r="B113" s="1"/>
      <c r="C113" s="20">
        <v>3000</v>
      </c>
      <c r="D113" s="1"/>
      <c r="E113" s="20"/>
      <c r="F113" s="20">
        <f t="shared" ref="F113:F116" si="18">C113*B113</f>
        <v>0</v>
      </c>
      <c r="G113" s="20"/>
      <c r="H113" s="20"/>
      <c r="I113" s="20"/>
      <c r="J113" s="20"/>
      <c r="K113" s="20"/>
    </row>
    <row r="114" spans="1:11" ht="15.5" x14ac:dyDescent="0.35">
      <c r="A114" s="3" t="s">
        <v>97</v>
      </c>
      <c r="B114" s="1"/>
      <c r="C114" s="20">
        <v>2500</v>
      </c>
      <c r="D114" s="1"/>
      <c r="E114" s="1"/>
      <c r="F114" s="20">
        <f t="shared" si="18"/>
        <v>0</v>
      </c>
      <c r="G114" s="20"/>
      <c r="H114" s="20"/>
      <c r="I114" s="20"/>
      <c r="J114" s="20"/>
      <c r="K114" s="20"/>
    </row>
    <row r="115" spans="1:11" ht="15.5" x14ac:dyDescent="0.35">
      <c r="A115" s="3" t="s">
        <v>98</v>
      </c>
      <c r="B115" s="1"/>
      <c r="C115" s="20">
        <v>1800</v>
      </c>
      <c r="D115" s="1"/>
      <c r="E115" s="1"/>
      <c r="F115" s="20">
        <f t="shared" si="18"/>
        <v>0</v>
      </c>
      <c r="G115" s="20"/>
      <c r="H115" s="20"/>
      <c r="I115" s="20"/>
      <c r="J115" s="20"/>
      <c r="K115" s="20"/>
    </row>
    <row r="116" spans="1:11" ht="15.5" x14ac:dyDescent="0.35">
      <c r="A116" s="3" t="s">
        <v>99</v>
      </c>
      <c r="B116" s="1"/>
      <c r="C116" s="20">
        <v>3500</v>
      </c>
      <c r="D116" s="1"/>
      <c r="E116" s="1"/>
      <c r="F116" s="20">
        <f t="shared" si="18"/>
        <v>0</v>
      </c>
      <c r="G116" s="20"/>
      <c r="H116" s="20"/>
      <c r="I116" s="20"/>
      <c r="J116" s="20"/>
      <c r="K116" s="20"/>
    </row>
    <row r="117" spans="1:11" ht="15.5" x14ac:dyDescent="0.35">
      <c r="A117" s="18"/>
      <c r="F117" s="21"/>
    </row>
    <row r="118" spans="1:11" ht="15.5" x14ac:dyDescent="0.35">
      <c r="A118" s="24" t="s">
        <v>108</v>
      </c>
      <c r="K118" s="21"/>
    </row>
    <row r="119" spans="1:11" ht="15.5" x14ac:dyDescent="0.35">
      <c r="A119" s="18" t="s">
        <v>114</v>
      </c>
      <c r="B119" s="67">
        <v>45000</v>
      </c>
    </row>
    <row r="120" spans="1:11" ht="15.5" x14ac:dyDescent="0.35">
      <c r="A120" s="18" t="s">
        <v>254</v>
      </c>
      <c r="B120" s="67">
        <v>60000</v>
      </c>
    </row>
    <row r="121" spans="1:11" ht="15.5" x14ac:dyDescent="0.35">
      <c r="A121" s="18" t="s">
        <v>112</v>
      </c>
      <c r="B121" s="67">
        <v>60000</v>
      </c>
    </row>
    <row r="122" spans="1:11" ht="15.5" x14ac:dyDescent="0.35">
      <c r="A122" s="18" t="s">
        <v>110</v>
      </c>
      <c r="B122" s="67">
        <v>45000</v>
      </c>
    </row>
    <row r="123" spans="1:11" ht="15.5" x14ac:dyDescent="0.35">
      <c r="A123" s="18" t="s">
        <v>111</v>
      </c>
      <c r="B123" s="67">
        <v>45000</v>
      </c>
    </row>
    <row r="124" spans="1:11" ht="15.5" x14ac:dyDescent="0.35">
      <c r="A124" s="18" t="s">
        <v>196</v>
      </c>
      <c r="B124" s="67">
        <v>45000</v>
      </c>
    </row>
    <row r="125" spans="1:11" ht="15.5" x14ac:dyDescent="0.35">
      <c r="A125" s="18" t="s">
        <v>113</v>
      </c>
      <c r="B125" s="67">
        <v>45000</v>
      </c>
    </row>
    <row r="126" spans="1:11" ht="15.5" x14ac:dyDescent="0.35">
      <c r="A126" s="18" t="s">
        <v>209</v>
      </c>
      <c r="B126" s="67">
        <v>45000</v>
      </c>
    </row>
    <row r="127" spans="1:11" ht="15.5" x14ac:dyDescent="0.35">
      <c r="A127" s="18" t="s">
        <v>115</v>
      </c>
      <c r="B127" s="67">
        <v>60000</v>
      </c>
    </row>
    <row r="128" spans="1:11" ht="15.5" x14ac:dyDescent="0.35">
      <c r="A128" s="18" t="s">
        <v>122</v>
      </c>
      <c r="B128" s="67">
        <v>60000</v>
      </c>
    </row>
    <row r="129" spans="1:11" ht="15.5" x14ac:dyDescent="0.35">
      <c r="A129" s="18" t="s">
        <v>109</v>
      </c>
      <c r="B129" s="67">
        <v>45000</v>
      </c>
    </row>
    <row r="130" spans="1:11" ht="15.5" x14ac:dyDescent="0.35">
      <c r="A130" s="24" t="s">
        <v>4</v>
      </c>
      <c r="B130" s="75">
        <f>SUM(B119:B129)</f>
        <v>555000</v>
      </c>
    </row>
    <row r="133" spans="1:11" ht="18.5" x14ac:dyDescent="0.45">
      <c r="A133" s="150" t="s">
        <v>1</v>
      </c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</row>
    <row r="134" spans="1:11" ht="18.5" x14ac:dyDescent="0.45">
      <c r="A134" s="150" t="s">
        <v>74</v>
      </c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</row>
    <row r="135" spans="1:11" ht="18.5" x14ac:dyDescent="0.45">
      <c r="A135" s="149">
        <v>46058</v>
      </c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</row>
    <row r="136" spans="1:11" ht="18.5" x14ac:dyDescent="0.45">
      <c r="A136" s="150" t="s">
        <v>281</v>
      </c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</row>
    <row r="137" spans="1:11" ht="18.5" x14ac:dyDescent="0.45">
      <c r="A137" s="2" t="s">
        <v>75</v>
      </c>
      <c r="B137" s="2" t="s">
        <v>3</v>
      </c>
      <c r="C137" s="2" t="s">
        <v>100</v>
      </c>
      <c r="D137" s="2" t="s">
        <v>90</v>
      </c>
      <c r="E137" s="2" t="s">
        <v>91</v>
      </c>
      <c r="F137" s="2" t="s">
        <v>4</v>
      </c>
      <c r="G137" s="2" t="s">
        <v>101</v>
      </c>
      <c r="H137" s="2" t="s">
        <v>104</v>
      </c>
      <c r="I137" s="2"/>
      <c r="J137" s="2" t="s">
        <v>105</v>
      </c>
      <c r="K137" s="2" t="s">
        <v>106</v>
      </c>
    </row>
    <row r="138" spans="1:11" ht="15.5" x14ac:dyDescent="0.35">
      <c r="A138" s="3" t="s">
        <v>76</v>
      </c>
      <c r="B138" s="1">
        <v>41</v>
      </c>
      <c r="C138" s="20">
        <v>17500</v>
      </c>
      <c r="D138" s="1">
        <v>17</v>
      </c>
      <c r="E138" s="1">
        <v>24</v>
      </c>
      <c r="F138" s="20">
        <f>C138*B138</f>
        <v>717500</v>
      </c>
      <c r="G138" s="20">
        <f>D138*C138</f>
        <v>297500</v>
      </c>
      <c r="H138" s="20">
        <f>E138*C138</f>
        <v>420000</v>
      </c>
      <c r="I138" s="20" t="b">
        <f>D138+E138=B138</f>
        <v>1</v>
      </c>
      <c r="J138" s="20">
        <f>B174</f>
        <v>510000</v>
      </c>
      <c r="K138" s="20" t="s">
        <v>117</v>
      </c>
    </row>
    <row r="139" spans="1:11" ht="15.5" x14ac:dyDescent="0.35">
      <c r="A139" s="3" t="s">
        <v>77</v>
      </c>
      <c r="B139" s="1">
        <v>9</v>
      </c>
      <c r="C139" s="20">
        <v>16000</v>
      </c>
      <c r="D139" s="1">
        <v>2</v>
      </c>
      <c r="E139" s="1">
        <v>7</v>
      </c>
      <c r="F139" s="20">
        <f t="shared" ref="F139:F150" si="19">C139*B139</f>
        <v>144000</v>
      </c>
      <c r="G139" s="20">
        <f t="shared" ref="G139:G150" si="20">D139*C139</f>
        <v>32000</v>
      </c>
      <c r="H139" s="20">
        <f t="shared" ref="H139:H154" si="21">E139*C139</f>
        <v>112000</v>
      </c>
      <c r="I139" s="20" t="b">
        <f t="shared" ref="I139:I154" si="22">D139+E139=B139</f>
        <v>1</v>
      </c>
      <c r="J139" s="20">
        <v>15000</v>
      </c>
      <c r="K139" s="20" t="s">
        <v>191</v>
      </c>
    </row>
    <row r="140" spans="1:11" ht="15.5" x14ac:dyDescent="0.35">
      <c r="A140" s="3" t="s">
        <v>78</v>
      </c>
      <c r="B140" s="1">
        <v>37</v>
      </c>
      <c r="C140" s="20">
        <v>17500</v>
      </c>
      <c r="D140" s="1">
        <v>12</v>
      </c>
      <c r="E140" s="1">
        <v>25</v>
      </c>
      <c r="F140" s="20">
        <f t="shared" si="19"/>
        <v>647500</v>
      </c>
      <c r="G140" s="20">
        <f t="shared" si="20"/>
        <v>210000</v>
      </c>
      <c r="H140" s="20">
        <f t="shared" si="21"/>
        <v>437500</v>
      </c>
      <c r="I140" s="20" t="b">
        <f t="shared" si="22"/>
        <v>1</v>
      </c>
      <c r="J140" s="20">
        <v>12000</v>
      </c>
      <c r="K140" s="20" t="s">
        <v>200</v>
      </c>
    </row>
    <row r="141" spans="1:11" ht="15.5" x14ac:dyDescent="0.35">
      <c r="A141" s="3" t="s">
        <v>79</v>
      </c>
      <c r="B141" s="1">
        <v>26</v>
      </c>
      <c r="C141" s="20">
        <v>18500</v>
      </c>
      <c r="D141" s="1">
        <v>5</v>
      </c>
      <c r="E141" s="1">
        <v>21</v>
      </c>
      <c r="F141" s="20">
        <f t="shared" si="19"/>
        <v>481000</v>
      </c>
      <c r="G141" s="20">
        <f t="shared" si="20"/>
        <v>92500</v>
      </c>
      <c r="H141" s="20">
        <f t="shared" si="21"/>
        <v>388500</v>
      </c>
      <c r="I141" s="20" t="b">
        <f t="shared" si="22"/>
        <v>1</v>
      </c>
      <c r="J141" s="20"/>
      <c r="K141" s="20"/>
    </row>
    <row r="142" spans="1:11" ht="15.5" x14ac:dyDescent="0.35">
      <c r="A142" s="3" t="s">
        <v>80</v>
      </c>
      <c r="B142" s="1"/>
      <c r="C142" s="20">
        <v>18500</v>
      </c>
      <c r="D142" s="1"/>
      <c r="E142" s="1"/>
      <c r="F142" s="20">
        <f t="shared" si="19"/>
        <v>0</v>
      </c>
      <c r="G142" s="20">
        <f t="shared" si="20"/>
        <v>0</v>
      </c>
      <c r="H142" s="20">
        <f t="shared" si="21"/>
        <v>0</v>
      </c>
      <c r="I142" s="20" t="b">
        <f t="shared" si="22"/>
        <v>1</v>
      </c>
      <c r="J142" s="20"/>
      <c r="K142" s="20"/>
    </row>
    <row r="143" spans="1:11" ht="15.5" x14ac:dyDescent="0.35">
      <c r="A143" s="3" t="s">
        <v>81</v>
      </c>
      <c r="B143" s="1"/>
      <c r="C143" s="20">
        <v>23000</v>
      </c>
      <c r="D143" s="1"/>
      <c r="E143" s="1"/>
      <c r="F143" s="20">
        <f t="shared" si="19"/>
        <v>0</v>
      </c>
      <c r="G143" s="20">
        <f t="shared" si="20"/>
        <v>0</v>
      </c>
      <c r="H143" s="20">
        <f t="shared" si="21"/>
        <v>0</v>
      </c>
      <c r="I143" s="20" t="b">
        <f t="shared" si="22"/>
        <v>1</v>
      </c>
      <c r="J143" s="20"/>
      <c r="K143" s="20"/>
    </row>
    <row r="144" spans="1:11" ht="15.5" x14ac:dyDescent="0.35">
      <c r="A144" s="3" t="s">
        <v>82</v>
      </c>
      <c r="B144" s="1"/>
      <c r="C144" s="20">
        <v>18000</v>
      </c>
      <c r="D144" s="1"/>
      <c r="E144" s="1"/>
      <c r="F144" s="20">
        <f t="shared" si="19"/>
        <v>0</v>
      </c>
      <c r="G144" s="20">
        <f t="shared" si="20"/>
        <v>0</v>
      </c>
      <c r="H144" s="20">
        <f t="shared" si="21"/>
        <v>0</v>
      </c>
      <c r="I144" s="20" t="b">
        <f t="shared" si="22"/>
        <v>1</v>
      </c>
      <c r="J144" s="20"/>
      <c r="K144" s="20"/>
    </row>
    <row r="145" spans="1:11" ht="15.5" x14ac:dyDescent="0.35">
      <c r="A145" s="3" t="s">
        <v>83</v>
      </c>
      <c r="B145" s="1"/>
      <c r="C145" s="20">
        <v>18000</v>
      </c>
      <c r="D145" s="1"/>
      <c r="E145" s="1"/>
      <c r="F145" s="20">
        <f t="shared" si="19"/>
        <v>0</v>
      </c>
      <c r="G145" s="20">
        <f t="shared" si="20"/>
        <v>0</v>
      </c>
      <c r="H145" s="20">
        <f t="shared" si="21"/>
        <v>0</v>
      </c>
      <c r="I145" s="20" t="b">
        <f t="shared" si="22"/>
        <v>1</v>
      </c>
      <c r="J145" s="20"/>
      <c r="K145" s="20"/>
    </row>
    <row r="146" spans="1:11" ht="15.5" x14ac:dyDescent="0.35">
      <c r="A146" s="3" t="s">
        <v>84</v>
      </c>
      <c r="B146" s="1">
        <v>34</v>
      </c>
      <c r="C146" s="20">
        <v>18500</v>
      </c>
      <c r="D146" s="1">
        <v>10</v>
      </c>
      <c r="E146" s="1">
        <v>24</v>
      </c>
      <c r="F146" s="20">
        <f t="shared" si="19"/>
        <v>629000</v>
      </c>
      <c r="G146" s="20">
        <f t="shared" si="20"/>
        <v>185000</v>
      </c>
      <c r="H146" s="20">
        <f t="shared" si="21"/>
        <v>444000</v>
      </c>
      <c r="I146" s="20" t="b">
        <f t="shared" si="22"/>
        <v>1</v>
      </c>
      <c r="J146" s="20"/>
      <c r="K146" s="20"/>
    </row>
    <row r="147" spans="1:11" ht="15.5" x14ac:dyDescent="0.35">
      <c r="A147" s="3" t="s">
        <v>85</v>
      </c>
      <c r="B147" s="1"/>
      <c r="C147" s="20">
        <v>18500</v>
      </c>
      <c r="D147" s="1"/>
      <c r="E147" s="1"/>
      <c r="F147" s="20">
        <f t="shared" si="19"/>
        <v>0</v>
      </c>
      <c r="G147" s="20">
        <f t="shared" si="20"/>
        <v>0</v>
      </c>
      <c r="H147" s="20">
        <f t="shared" si="21"/>
        <v>0</v>
      </c>
      <c r="I147" s="20" t="b">
        <f t="shared" si="22"/>
        <v>1</v>
      </c>
      <c r="J147" s="20"/>
      <c r="K147" s="20"/>
    </row>
    <row r="148" spans="1:11" ht="15.5" x14ac:dyDescent="0.35">
      <c r="A148" s="3" t="s">
        <v>86</v>
      </c>
      <c r="B148" s="1"/>
      <c r="C148" s="20">
        <v>18500</v>
      </c>
      <c r="D148" s="1"/>
      <c r="E148" s="1"/>
      <c r="F148" s="20">
        <f t="shared" si="19"/>
        <v>0</v>
      </c>
      <c r="G148" s="20">
        <f t="shared" si="20"/>
        <v>0</v>
      </c>
      <c r="H148" s="20">
        <f t="shared" si="21"/>
        <v>0</v>
      </c>
      <c r="I148" s="20" t="b">
        <f t="shared" si="22"/>
        <v>1</v>
      </c>
      <c r="J148" s="20"/>
      <c r="K148" s="20"/>
    </row>
    <row r="149" spans="1:11" ht="15.5" x14ac:dyDescent="0.35">
      <c r="A149" s="3" t="s">
        <v>87</v>
      </c>
      <c r="B149" s="1">
        <v>5</v>
      </c>
      <c r="C149" s="20">
        <v>18500</v>
      </c>
      <c r="D149" s="1">
        <v>1</v>
      </c>
      <c r="E149" s="1">
        <v>4</v>
      </c>
      <c r="F149" s="20">
        <f t="shared" si="19"/>
        <v>92500</v>
      </c>
      <c r="G149" s="20">
        <f t="shared" si="20"/>
        <v>18500</v>
      </c>
      <c r="H149" s="20">
        <f t="shared" si="21"/>
        <v>74000</v>
      </c>
      <c r="I149" s="20" t="b">
        <f t="shared" si="22"/>
        <v>1</v>
      </c>
      <c r="J149" s="20"/>
      <c r="K149" s="20"/>
    </row>
    <row r="150" spans="1:11" ht="15.5" x14ac:dyDescent="0.35">
      <c r="A150" s="3" t="s">
        <v>88</v>
      </c>
      <c r="B150" s="1">
        <v>4</v>
      </c>
      <c r="C150" s="20">
        <v>18500</v>
      </c>
      <c r="D150" s="1">
        <v>1</v>
      </c>
      <c r="E150" s="1">
        <v>3</v>
      </c>
      <c r="F150" s="20">
        <f t="shared" si="19"/>
        <v>74000</v>
      </c>
      <c r="G150" s="20">
        <f t="shared" si="20"/>
        <v>18500</v>
      </c>
      <c r="H150" s="20">
        <f t="shared" si="21"/>
        <v>55500</v>
      </c>
      <c r="I150" s="20" t="b">
        <f t="shared" si="22"/>
        <v>1</v>
      </c>
      <c r="J150" s="20"/>
      <c r="K150" s="20"/>
    </row>
    <row r="151" spans="1:11" ht="15.5" x14ac:dyDescent="0.35">
      <c r="A151" s="19" t="s">
        <v>89</v>
      </c>
      <c r="B151" s="1"/>
      <c r="C151" s="20"/>
      <c r="D151" s="1"/>
      <c r="E151" s="1"/>
      <c r="F151" s="20"/>
      <c r="G151" s="20"/>
      <c r="H151" s="20">
        <f t="shared" si="21"/>
        <v>0</v>
      </c>
      <c r="I151" s="20" t="b">
        <f t="shared" si="22"/>
        <v>1</v>
      </c>
      <c r="J151" s="20"/>
      <c r="K151" s="20"/>
    </row>
    <row r="152" spans="1:11" ht="15.5" x14ac:dyDescent="0.35">
      <c r="A152" s="3" t="s">
        <v>92</v>
      </c>
      <c r="B152" s="1"/>
      <c r="C152" s="20">
        <v>21500</v>
      </c>
      <c r="D152" s="1"/>
      <c r="E152" s="1"/>
      <c r="F152" s="20">
        <f t="shared" ref="F152:F154" si="23">C152*B152</f>
        <v>0</v>
      </c>
      <c r="G152" s="20">
        <f t="shared" ref="G152:G154" si="24">D152*C152</f>
        <v>0</v>
      </c>
      <c r="H152" s="20">
        <f t="shared" si="21"/>
        <v>0</v>
      </c>
      <c r="I152" s="20" t="b">
        <f t="shared" si="22"/>
        <v>1</v>
      </c>
      <c r="J152" s="20"/>
      <c r="K152" s="20"/>
    </row>
    <row r="153" spans="1:11" ht="15.5" x14ac:dyDescent="0.35">
      <c r="A153" s="3" t="s">
        <v>93</v>
      </c>
      <c r="B153" s="1">
        <v>19</v>
      </c>
      <c r="C153" s="20">
        <v>21500</v>
      </c>
      <c r="D153" s="1">
        <v>5</v>
      </c>
      <c r="E153" s="1">
        <v>14</v>
      </c>
      <c r="F153" s="20">
        <f t="shared" si="23"/>
        <v>408500</v>
      </c>
      <c r="G153" s="20">
        <f t="shared" si="24"/>
        <v>107500</v>
      </c>
      <c r="H153" s="20">
        <f t="shared" si="21"/>
        <v>301000</v>
      </c>
      <c r="I153" s="20" t="b">
        <f t="shared" si="22"/>
        <v>1</v>
      </c>
      <c r="J153" s="20"/>
      <c r="K153" s="20"/>
    </row>
    <row r="154" spans="1:11" ht="15.5" x14ac:dyDescent="0.35">
      <c r="A154" s="3" t="s">
        <v>94</v>
      </c>
      <c r="B154" s="1">
        <v>34</v>
      </c>
      <c r="C154" s="20">
        <v>21500</v>
      </c>
      <c r="D154" s="1">
        <v>16</v>
      </c>
      <c r="E154" s="1">
        <v>18</v>
      </c>
      <c r="F154" s="20">
        <f t="shared" si="23"/>
        <v>731000</v>
      </c>
      <c r="G154" s="20">
        <f t="shared" si="24"/>
        <v>344000</v>
      </c>
      <c r="H154" s="20">
        <f t="shared" si="21"/>
        <v>387000</v>
      </c>
      <c r="I154" s="20" t="b">
        <f t="shared" si="22"/>
        <v>1</v>
      </c>
      <c r="J154" s="20"/>
      <c r="K154" s="20"/>
    </row>
    <row r="155" spans="1:11" ht="15.5" x14ac:dyDescent="0.35">
      <c r="A155" s="19"/>
      <c r="B155" s="22">
        <f>SUM(B138:B154)</f>
        <v>209</v>
      </c>
      <c r="C155" s="20"/>
      <c r="D155" s="1"/>
      <c r="E155" s="1"/>
      <c r="F155" s="23">
        <f>SUM(F138:F154)</f>
        <v>3925000</v>
      </c>
      <c r="G155" s="23">
        <f>SUM(G138:G154)</f>
        <v>1305500</v>
      </c>
      <c r="H155" s="23">
        <f>SUM(H138:H154)</f>
        <v>2619500</v>
      </c>
      <c r="I155" s="23"/>
      <c r="J155" s="23">
        <f>SUM(J138:J154)</f>
        <v>537000</v>
      </c>
      <c r="K155" s="23">
        <f>H155-J155</f>
        <v>2082500</v>
      </c>
    </row>
    <row r="156" spans="1:11" ht="15.5" x14ac:dyDescent="0.35">
      <c r="A156" s="19" t="s">
        <v>95</v>
      </c>
      <c r="B156" s="1"/>
      <c r="C156" s="20"/>
      <c r="D156" s="1"/>
      <c r="E156" s="1"/>
      <c r="F156" s="20"/>
      <c r="G156" s="20"/>
      <c r="H156" s="20" t="s">
        <v>192</v>
      </c>
      <c r="I156" s="20"/>
      <c r="J156" s="20"/>
      <c r="K156" s="20"/>
    </row>
    <row r="157" spans="1:11" ht="15.5" x14ac:dyDescent="0.35">
      <c r="A157" s="3" t="s">
        <v>96</v>
      </c>
      <c r="B157" s="1"/>
      <c r="C157" s="20">
        <v>3000</v>
      </c>
      <c r="D157" s="1"/>
      <c r="E157" s="20"/>
      <c r="F157" s="20">
        <f t="shared" ref="F157:F160" si="25">C157*B157</f>
        <v>0</v>
      </c>
      <c r="G157" s="20"/>
      <c r="H157" s="20"/>
      <c r="I157" s="20"/>
      <c r="J157" s="20"/>
      <c r="K157" s="20"/>
    </row>
    <row r="158" spans="1:11" ht="15.5" x14ac:dyDescent="0.35">
      <c r="A158" s="3" t="s">
        <v>97</v>
      </c>
      <c r="B158" s="1"/>
      <c r="C158" s="20">
        <v>2500</v>
      </c>
      <c r="D158" s="1"/>
      <c r="E158" s="1"/>
      <c r="F158" s="20">
        <f t="shared" si="25"/>
        <v>0</v>
      </c>
      <c r="G158" s="20"/>
      <c r="H158" s="20"/>
      <c r="I158" s="20"/>
      <c r="J158" s="20"/>
      <c r="K158" s="20"/>
    </row>
    <row r="159" spans="1:11" ht="15.5" x14ac:dyDescent="0.35">
      <c r="A159" s="3" t="s">
        <v>98</v>
      </c>
      <c r="B159" s="1"/>
      <c r="C159" s="20">
        <v>1800</v>
      </c>
      <c r="D159" s="1"/>
      <c r="E159" s="1"/>
      <c r="F159" s="20">
        <f t="shared" si="25"/>
        <v>0</v>
      </c>
      <c r="G159" s="20"/>
      <c r="H159" s="20"/>
      <c r="I159" s="20"/>
      <c r="J159" s="20"/>
      <c r="K159" s="20"/>
    </row>
    <row r="160" spans="1:11" ht="15.5" x14ac:dyDescent="0.35">
      <c r="A160" s="3" t="s">
        <v>99</v>
      </c>
      <c r="B160" s="1"/>
      <c r="C160" s="20">
        <v>3500</v>
      </c>
      <c r="D160" s="1"/>
      <c r="E160" s="1"/>
      <c r="F160" s="20">
        <f t="shared" si="25"/>
        <v>0</v>
      </c>
      <c r="G160" s="20"/>
      <c r="H160" s="20"/>
      <c r="I160" s="20"/>
      <c r="J160" s="20"/>
      <c r="K160" s="20"/>
    </row>
    <row r="161" spans="1:11" ht="15.5" x14ac:dyDescent="0.35">
      <c r="A161" s="18"/>
      <c r="F161" s="21"/>
    </row>
    <row r="162" spans="1:11" ht="15.5" x14ac:dyDescent="0.35">
      <c r="A162" s="24" t="s">
        <v>108</v>
      </c>
      <c r="K162" s="21"/>
    </row>
    <row r="163" spans="1:11" ht="15.5" x14ac:dyDescent="0.35">
      <c r="A163" s="18" t="s">
        <v>114</v>
      </c>
      <c r="B163" s="67">
        <v>45000</v>
      </c>
    </row>
    <row r="164" spans="1:11" ht="15.5" x14ac:dyDescent="0.35">
      <c r="A164" s="18" t="s">
        <v>254</v>
      </c>
      <c r="B164" s="67">
        <v>60000</v>
      </c>
    </row>
    <row r="165" spans="1:11" ht="15.5" x14ac:dyDescent="0.35">
      <c r="A165" s="18" t="s">
        <v>112</v>
      </c>
      <c r="B165" s="67">
        <v>60000</v>
      </c>
    </row>
    <row r="166" spans="1:11" ht="15.5" x14ac:dyDescent="0.35">
      <c r="A166" s="18" t="s">
        <v>110</v>
      </c>
      <c r="B166" s="67">
        <v>45000</v>
      </c>
    </row>
    <row r="167" spans="1:11" ht="15.5" x14ac:dyDescent="0.35">
      <c r="A167" s="18" t="s">
        <v>111</v>
      </c>
      <c r="B167" s="67">
        <v>45000</v>
      </c>
    </row>
    <row r="168" spans="1:11" ht="15.5" x14ac:dyDescent="0.35">
      <c r="A168" s="18" t="s">
        <v>196</v>
      </c>
      <c r="B168" s="67">
        <v>45000</v>
      </c>
    </row>
    <row r="169" spans="1:11" ht="15.5" x14ac:dyDescent="0.35">
      <c r="A169" s="18" t="s">
        <v>113</v>
      </c>
      <c r="B169" s="67"/>
      <c r="C169" t="s">
        <v>282</v>
      </c>
    </row>
    <row r="170" spans="1:11" ht="15.5" x14ac:dyDescent="0.35">
      <c r="A170" s="18" t="s">
        <v>209</v>
      </c>
      <c r="B170" s="67">
        <v>45000</v>
      </c>
    </row>
    <row r="171" spans="1:11" ht="15.5" x14ac:dyDescent="0.35">
      <c r="A171" s="18" t="s">
        <v>115</v>
      </c>
      <c r="B171" s="67">
        <v>60000</v>
      </c>
    </row>
    <row r="172" spans="1:11" ht="15.5" x14ac:dyDescent="0.35">
      <c r="A172" s="18" t="s">
        <v>122</v>
      </c>
      <c r="B172" s="67">
        <v>60000</v>
      </c>
    </row>
    <row r="173" spans="1:11" ht="15.5" x14ac:dyDescent="0.35">
      <c r="A173" s="18" t="s">
        <v>109</v>
      </c>
      <c r="B173" s="67">
        <v>45000</v>
      </c>
    </row>
    <row r="174" spans="1:11" ht="15.5" x14ac:dyDescent="0.35">
      <c r="A174" s="24" t="s">
        <v>4</v>
      </c>
      <c r="B174" s="75">
        <f>SUM(B163:B173)</f>
        <v>510000</v>
      </c>
    </row>
    <row r="177" spans="1:11" ht="18.5" x14ac:dyDescent="0.45">
      <c r="A177" s="150" t="s">
        <v>1</v>
      </c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</row>
    <row r="178" spans="1:11" ht="18.5" x14ac:dyDescent="0.45">
      <c r="A178" s="150" t="s">
        <v>74</v>
      </c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</row>
    <row r="179" spans="1:11" ht="18.5" x14ac:dyDescent="0.45">
      <c r="A179" s="149">
        <v>46059</v>
      </c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</row>
    <row r="180" spans="1:11" ht="18.5" x14ac:dyDescent="0.45">
      <c r="A180" s="150"/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</row>
    <row r="181" spans="1:11" ht="18.5" x14ac:dyDescent="0.45">
      <c r="A181" s="2" t="s">
        <v>75</v>
      </c>
      <c r="B181" s="2" t="s">
        <v>3</v>
      </c>
      <c r="C181" s="2" t="s">
        <v>100</v>
      </c>
      <c r="D181" s="2" t="s">
        <v>90</v>
      </c>
      <c r="E181" s="2" t="s">
        <v>91</v>
      </c>
      <c r="F181" s="2" t="s">
        <v>4</v>
      </c>
      <c r="G181" s="2" t="s">
        <v>101</v>
      </c>
      <c r="H181" s="2" t="s">
        <v>104</v>
      </c>
      <c r="I181" s="2"/>
      <c r="J181" s="2" t="s">
        <v>105</v>
      </c>
      <c r="K181" s="2" t="s">
        <v>106</v>
      </c>
    </row>
    <row r="182" spans="1:11" ht="15.5" x14ac:dyDescent="0.35">
      <c r="A182" s="3" t="s">
        <v>76</v>
      </c>
      <c r="B182" s="1">
        <v>116</v>
      </c>
      <c r="C182" s="20">
        <v>17500</v>
      </c>
      <c r="D182" s="1">
        <v>53</v>
      </c>
      <c r="E182" s="1">
        <v>63</v>
      </c>
      <c r="F182" s="20">
        <f>C182*B182</f>
        <v>2030000</v>
      </c>
      <c r="G182" s="20">
        <f>D182*C182</f>
        <v>927500</v>
      </c>
      <c r="H182" s="20">
        <f>E182*C182</f>
        <v>1102500</v>
      </c>
      <c r="I182" s="20" t="b">
        <f>D182+E182=B182</f>
        <v>1</v>
      </c>
      <c r="J182" s="20">
        <f>B218</f>
        <v>555000</v>
      </c>
      <c r="K182" s="20" t="s">
        <v>117</v>
      </c>
    </row>
    <row r="183" spans="1:11" ht="15.5" x14ac:dyDescent="0.35">
      <c r="A183" s="3" t="s">
        <v>77</v>
      </c>
      <c r="B183" s="1">
        <v>11</v>
      </c>
      <c r="C183" s="20">
        <v>16000</v>
      </c>
      <c r="D183" s="1">
        <v>3</v>
      </c>
      <c r="E183" s="1">
        <v>8</v>
      </c>
      <c r="F183" s="20">
        <f t="shared" ref="F183:F194" si="26">C183*B183</f>
        <v>176000</v>
      </c>
      <c r="G183" s="20">
        <f t="shared" ref="G183:G194" si="27">D183*C183</f>
        <v>48000</v>
      </c>
      <c r="H183" s="20">
        <f t="shared" ref="H183:H198" si="28">E183*C183</f>
        <v>128000</v>
      </c>
      <c r="I183" s="20" t="b">
        <f t="shared" ref="I183:I198" si="29">D183+E183=B183</f>
        <v>1</v>
      </c>
      <c r="J183" s="20">
        <v>15000</v>
      </c>
      <c r="K183" s="20" t="s">
        <v>191</v>
      </c>
    </row>
    <row r="184" spans="1:11" ht="15.5" x14ac:dyDescent="0.35">
      <c r="A184" s="3" t="s">
        <v>78</v>
      </c>
      <c r="B184" s="1">
        <v>62</v>
      </c>
      <c r="C184" s="20">
        <v>17500</v>
      </c>
      <c r="D184" s="1">
        <v>34</v>
      </c>
      <c r="E184" s="1">
        <v>28</v>
      </c>
      <c r="F184" s="20">
        <f t="shared" si="26"/>
        <v>1085000</v>
      </c>
      <c r="G184" s="20">
        <f t="shared" si="27"/>
        <v>595000</v>
      </c>
      <c r="H184" s="20">
        <f t="shared" si="28"/>
        <v>490000</v>
      </c>
      <c r="I184" s="20" t="b">
        <f t="shared" si="29"/>
        <v>1</v>
      </c>
      <c r="J184" s="20">
        <v>12000</v>
      </c>
      <c r="K184" s="20" t="s">
        <v>200</v>
      </c>
    </row>
    <row r="185" spans="1:11" ht="15.5" x14ac:dyDescent="0.35">
      <c r="A185" s="3" t="s">
        <v>79</v>
      </c>
      <c r="B185" s="1">
        <v>27</v>
      </c>
      <c r="C185" s="20">
        <v>18500</v>
      </c>
      <c r="D185" s="1">
        <v>10</v>
      </c>
      <c r="E185" s="1">
        <v>17</v>
      </c>
      <c r="F185" s="20">
        <f t="shared" si="26"/>
        <v>499500</v>
      </c>
      <c r="G185" s="20">
        <f t="shared" si="27"/>
        <v>185000</v>
      </c>
      <c r="H185" s="20">
        <f t="shared" si="28"/>
        <v>314500</v>
      </c>
      <c r="I185" s="20" t="b">
        <f t="shared" si="29"/>
        <v>1</v>
      </c>
      <c r="J185" s="20">
        <v>30000</v>
      </c>
      <c r="K185" s="20" t="s">
        <v>285</v>
      </c>
    </row>
    <row r="186" spans="1:11" ht="15.5" x14ac:dyDescent="0.35">
      <c r="A186" s="3" t="s">
        <v>80</v>
      </c>
      <c r="B186" s="1"/>
      <c r="C186" s="20">
        <v>18500</v>
      </c>
      <c r="D186" s="1"/>
      <c r="E186" s="1"/>
      <c r="F186" s="20">
        <f t="shared" si="26"/>
        <v>0</v>
      </c>
      <c r="G186" s="20">
        <f t="shared" si="27"/>
        <v>0</v>
      </c>
      <c r="H186" s="20">
        <f t="shared" si="28"/>
        <v>0</v>
      </c>
      <c r="I186" s="20" t="b">
        <f t="shared" si="29"/>
        <v>1</v>
      </c>
      <c r="J186" s="20">
        <v>17500</v>
      </c>
      <c r="K186" s="20" t="s">
        <v>127</v>
      </c>
    </row>
    <row r="187" spans="1:11" ht="15.5" x14ac:dyDescent="0.35">
      <c r="A187" s="3" t="s">
        <v>81</v>
      </c>
      <c r="B187" s="1"/>
      <c r="C187" s="20">
        <v>23000</v>
      </c>
      <c r="D187" s="1"/>
      <c r="E187" s="1"/>
      <c r="F187" s="20">
        <f t="shared" si="26"/>
        <v>0</v>
      </c>
      <c r="G187" s="20">
        <f t="shared" si="27"/>
        <v>0</v>
      </c>
      <c r="H187" s="20">
        <f t="shared" si="28"/>
        <v>0</v>
      </c>
      <c r="I187" s="20" t="b">
        <f t="shared" si="29"/>
        <v>1</v>
      </c>
      <c r="J187" s="20">
        <v>280000</v>
      </c>
      <c r="K187" s="20" t="s">
        <v>107</v>
      </c>
    </row>
    <row r="188" spans="1:11" ht="15.5" x14ac:dyDescent="0.35">
      <c r="A188" s="3" t="s">
        <v>82</v>
      </c>
      <c r="B188" s="1"/>
      <c r="C188" s="20">
        <v>18000</v>
      </c>
      <c r="D188" s="1"/>
      <c r="E188" s="1"/>
      <c r="F188" s="20">
        <f t="shared" si="26"/>
        <v>0</v>
      </c>
      <c r="G188" s="20">
        <f t="shared" si="27"/>
        <v>0</v>
      </c>
      <c r="H188" s="20">
        <f t="shared" si="28"/>
        <v>0</v>
      </c>
      <c r="I188" s="20" t="b">
        <f t="shared" si="29"/>
        <v>1</v>
      </c>
      <c r="J188" s="20">
        <v>90000</v>
      </c>
      <c r="K188" s="20" t="s">
        <v>286</v>
      </c>
    </row>
    <row r="189" spans="1:11" ht="15.5" x14ac:dyDescent="0.35">
      <c r="A189" s="3" t="s">
        <v>83</v>
      </c>
      <c r="B189" s="1"/>
      <c r="C189" s="20">
        <v>18000</v>
      </c>
      <c r="D189" s="1"/>
      <c r="E189" s="1"/>
      <c r="F189" s="20">
        <f t="shared" si="26"/>
        <v>0</v>
      </c>
      <c r="G189" s="20">
        <f t="shared" si="27"/>
        <v>0</v>
      </c>
      <c r="H189" s="20">
        <f t="shared" si="28"/>
        <v>0</v>
      </c>
      <c r="I189" s="20" t="b">
        <f t="shared" si="29"/>
        <v>1</v>
      </c>
      <c r="J189" s="20"/>
      <c r="K189" s="20"/>
    </row>
    <row r="190" spans="1:11" ht="15.5" x14ac:dyDescent="0.35">
      <c r="A190" s="3" t="s">
        <v>84</v>
      </c>
      <c r="B190" s="1"/>
      <c r="C190" s="20">
        <v>18500</v>
      </c>
      <c r="D190" s="1"/>
      <c r="E190" s="1"/>
      <c r="F190" s="20">
        <f t="shared" si="26"/>
        <v>0</v>
      </c>
      <c r="G190" s="20">
        <f t="shared" si="27"/>
        <v>0</v>
      </c>
      <c r="H190" s="20">
        <f t="shared" si="28"/>
        <v>0</v>
      </c>
      <c r="I190" s="20" t="b">
        <f t="shared" si="29"/>
        <v>1</v>
      </c>
      <c r="J190" s="20"/>
      <c r="K190" s="20"/>
    </row>
    <row r="191" spans="1:11" ht="15.5" x14ac:dyDescent="0.35">
      <c r="A191" s="3" t="s">
        <v>85</v>
      </c>
      <c r="B191" s="1">
        <v>47</v>
      </c>
      <c r="C191" s="20">
        <v>18500</v>
      </c>
      <c r="D191" s="1">
        <v>30</v>
      </c>
      <c r="E191" s="1">
        <v>17</v>
      </c>
      <c r="F191" s="20">
        <f t="shared" si="26"/>
        <v>869500</v>
      </c>
      <c r="G191" s="20">
        <f t="shared" si="27"/>
        <v>555000</v>
      </c>
      <c r="H191" s="20">
        <f t="shared" si="28"/>
        <v>314500</v>
      </c>
      <c r="I191" s="20" t="b">
        <f t="shared" si="29"/>
        <v>1</v>
      </c>
      <c r="J191" s="20"/>
      <c r="K191" s="20"/>
    </row>
    <row r="192" spans="1:11" ht="15.5" x14ac:dyDescent="0.35">
      <c r="A192" s="3" t="s">
        <v>86</v>
      </c>
      <c r="B192" s="1">
        <v>9</v>
      </c>
      <c r="C192" s="20">
        <v>18500</v>
      </c>
      <c r="D192" s="1">
        <v>3</v>
      </c>
      <c r="E192" s="1">
        <v>6</v>
      </c>
      <c r="F192" s="20">
        <f t="shared" si="26"/>
        <v>166500</v>
      </c>
      <c r="G192" s="20">
        <f t="shared" si="27"/>
        <v>55500</v>
      </c>
      <c r="H192" s="20">
        <f t="shared" si="28"/>
        <v>111000</v>
      </c>
      <c r="I192" s="20" t="b">
        <f t="shared" si="29"/>
        <v>1</v>
      </c>
      <c r="J192" s="20"/>
      <c r="K192" s="20"/>
    </row>
    <row r="193" spans="1:11" ht="15.5" x14ac:dyDescent="0.35">
      <c r="A193" s="3" t="s">
        <v>87</v>
      </c>
      <c r="B193" s="1"/>
      <c r="C193" s="20">
        <v>18500</v>
      </c>
      <c r="D193" s="1"/>
      <c r="E193" s="1"/>
      <c r="F193" s="20">
        <f t="shared" si="26"/>
        <v>0</v>
      </c>
      <c r="G193" s="20">
        <f t="shared" si="27"/>
        <v>0</v>
      </c>
      <c r="H193" s="20">
        <f t="shared" si="28"/>
        <v>0</v>
      </c>
      <c r="I193" s="20" t="b">
        <f t="shared" si="29"/>
        <v>1</v>
      </c>
      <c r="J193" s="20"/>
      <c r="K193" s="20"/>
    </row>
    <row r="194" spans="1:11" ht="15.5" x14ac:dyDescent="0.35">
      <c r="A194" s="3" t="s">
        <v>88</v>
      </c>
      <c r="B194" s="1">
        <v>6</v>
      </c>
      <c r="C194" s="20">
        <v>18500</v>
      </c>
      <c r="D194" s="1">
        <v>3</v>
      </c>
      <c r="E194" s="1">
        <v>3</v>
      </c>
      <c r="F194" s="20">
        <f t="shared" si="26"/>
        <v>111000</v>
      </c>
      <c r="G194" s="20">
        <f t="shared" si="27"/>
        <v>55500</v>
      </c>
      <c r="H194" s="20">
        <f t="shared" si="28"/>
        <v>55500</v>
      </c>
      <c r="I194" s="20" t="b">
        <f t="shared" si="29"/>
        <v>1</v>
      </c>
      <c r="J194" s="20"/>
      <c r="K194" s="20"/>
    </row>
    <row r="195" spans="1:11" ht="15.5" x14ac:dyDescent="0.35">
      <c r="A195" s="19" t="s">
        <v>89</v>
      </c>
      <c r="B195" s="1"/>
      <c r="C195" s="20"/>
      <c r="D195" s="1"/>
      <c r="E195" s="1"/>
      <c r="F195" s="20"/>
      <c r="G195" s="20"/>
      <c r="H195" s="20">
        <f t="shared" si="28"/>
        <v>0</v>
      </c>
      <c r="I195" s="20" t="b">
        <f t="shared" si="29"/>
        <v>1</v>
      </c>
      <c r="J195" s="20"/>
      <c r="K195" s="20"/>
    </row>
    <row r="196" spans="1:11" ht="15.5" x14ac:dyDescent="0.35">
      <c r="A196" s="3" t="s">
        <v>92</v>
      </c>
      <c r="B196" s="1">
        <v>33</v>
      </c>
      <c r="C196" s="20">
        <v>21500</v>
      </c>
      <c r="D196" s="1">
        <v>16</v>
      </c>
      <c r="E196" s="1">
        <v>17</v>
      </c>
      <c r="F196" s="20">
        <f t="shared" ref="F196:F198" si="30">C196*B196</f>
        <v>709500</v>
      </c>
      <c r="G196" s="20">
        <f t="shared" ref="G196:G198" si="31">D196*C196</f>
        <v>344000</v>
      </c>
      <c r="H196" s="20">
        <f t="shared" si="28"/>
        <v>365500</v>
      </c>
      <c r="I196" s="20" t="b">
        <f t="shared" si="29"/>
        <v>1</v>
      </c>
      <c r="J196" s="20"/>
      <c r="K196" s="20"/>
    </row>
    <row r="197" spans="1:11" ht="15.5" x14ac:dyDescent="0.35">
      <c r="A197" s="3" t="s">
        <v>93</v>
      </c>
      <c r="B197" s="1"/>
      <c r="C197" s="20">
        <v>21500</v>
      </c>
      <c r="D197" s="1"/>
      <c r="E197" s="1"/>
      <c r="F197" s="20">
        <f t="shared" si="30"/>
        <v>0</v>
      </c>
      <c r="G197" s="20">
        <f t="shared" si="31"/>
        <v>0</v>
      </c>
      <c r="H197" s="20">
        <f t="shared" si="28"/>
        <v>0</v>
      </c>
      <c r="I197" s="20" t="b">
        <f t="shared" si="29"/>
        <v>1</v>
      </c>
      <c r="J197" s="20"/>
      <c r="K197" s="20"/>
    </row>
    <row r="198" spans="1:11" ht="15.5" x14ac:dyDescent="0.35">
      <c r="A198" s="3" t="s">
        <v>94</v>
      </c>
      <c r="B198" s="1">
        <v>32</v>
      </c>
      <c r="C198" s="20">
        <v>21500</v>
      </c>
      <c r="D198" s="1">
        <v>23</v>
      </c>
      <c r="E198" s="1">
        <v>9</v>
      </c>
      <c r="F198" s="20">
        <f t="shared" si="30"/>
        <v>688000</v>
      </c>
      <c r="G198" s="20">
        <f t="shared" si="31"/>
        <v>494500</v>
      </c>
      <c r="H198" s="20">
        <f t="shared" si="28"/>
        <v>193500</v>
      </c>
      <c r="I198" s="20" t="b">
        <f t="shared" si="29"/>
        <v>1</v>
      </c>
      <c r="J198" s="20"/>
      <c r="K198" s="20"/>
    </row>
    <row r="199" spans="1:11" ht="15.5" x14ac:dyDescent="0.35">
      <c r="A199" s="19"/>
      <c r="B199" s="22">
        <f>SUM(B182:B198)</f>
        <v>343</v>
      </c>
      <c r="C199" s="20"/>
      <c r="D199" s="1"/>
      <c r="E199" s="1"/>
      <c r="F199" s="23">
        <f>SUM(F182:F198)</f>
        <v>6335000</v>
      </c>
      <c r="G199" s="23">
        <f>SUM(G182:G198)</f>
        <v>3260000</v>
      </c>
      <c r="H199" s="23">
        <f>SUM(H182:H198)</f>
        <v>3075000</v>
      </c>
      <c r="I199" s="23"/>
      <c r="J199" s="23">
        <f>SUM(J182:J198)</f>
        <v>999500</v>
      </c>
      <c r="K199" s="23">
        <f>H199-J199</f>
        <v>2075500</v>
      </c>
    </row>
    <row r="200" spans="1:11" ht="15.5" x14ac:dyDescent="0.35">
      <c r="A200" s="19" t="s">
        <v>95</v>
      </c>
      <c r="B200" s="1"/>
      <c r="C200" s="20"/>
      <c r="D200" s="1"/>
      <c r="E200" s="1"/>
      <c r="F200" s="20"/>
      <c r="G200" s="20"/>
      <c r="H200" s="20" t="s">
        <v>192</v>
      </c>
      <c r="I200" s="20"/>
      <c r="J200" s="20"/>
      <c r="K200" s="20"/>
    </row>
    <row r="201" spans="1:11" ht="15.5" x14ac:dyDescent="0.35">
      <c r="A201" s="3" t="s">
        <v>96</v>
      </c>
      <c r="B201" s="1"/>
      <c r="C201" s="20">
        <v>3000</v>
      </c>
      <c r="D201" s="1"/>
      <c r="E201" s="20"/>
      <c r="F201" s="20">
        <f t="shared" ref="F201:F204" si="32">C201*B201</f>
        <v>0</v>
      </c>
      <c r="G201" s="20"/>
      <c r="H201" s="20"/>
      <c r="I201" s="20"/>
      <c r="J201" s="20"/>
      <c r="K201" s="20"/>
    </row>
    <row r="202" spans="1:11" ht="15.5" x14ac:dyDescent="0.35">
      <c r="A202" s="3" t="s">
        <v>97</v>
      </c>
      <c r="B202" s="1"/>
      <c r="C202" s="20">
        <v>2500</v>
      </c>
      <c r="D202" s="1"/>
      <c r="E202" s="1"/>
      <c r="F202" s="20">
        <f t="shared" si="32"/>
        <v>0</v>
      </c>
      <c r="G202" s="20"/>
      <c r="H202" s="20"/>
      <c r="I202" s="20"/>
      <c r="J202" s="20"/>
      <c r="K202" s="20"/>
    </row>
    <row r="203" spans="1:11" ht="15.5" x14ac:dyDescent="0.35">
      <c r="A203" s="3" t="s">
        <v>98</v>
      </c>
      <c r="B203" s="1"/>
      <c r="C203" s="20">
        <v>1800</v>
      </c>
      <c r="D203" s="1"/>
      <c r="E203" s="1"/>
      <c r="F203" s="20">
        <f t="shared" si="32"/>
        <v>0</v>
      </c>
      <c r="G203" s="20"/>
      <c r="H203" s="20"/>
      <c r="I203" s="20"/>
      <c r="J203" s="20"/>
      <c r="K203" s="20"/>
    </row>
    <row r="204" spans="1:11" ht="15.5" x14ac:dyDescent="0.35">
      <c r="A204" s="3" t="s">
        <v>99</v>
      </c>
      <c r="B204" s="1"/>
      <c r="C204" s="20">
        <v>3500</v>
      </c>
      <c r="D204" s="1"/>
      <c r="E204" s="1"/>
      <c r="F204" s="20">
        <f t="shared" si="32"/>
        <v>0</v>
      </c>
      <c r="G204" s="20"/>
      <c r="H204" s="20"/>
      <c r="I204" s="20"/>
      <c r="J204" s="20"/>
      <c r="K204" s="20"/>
    </row>
    <row r="205" spans="1:11" ht="15.5" x14ac:dyDescent="0.35">
      <c r="A205" s="18"/>
      <c r="F205" s="21"/>
    </row>
    <row r="206" spans="1:11" ht="15.5" x14ac:dyDescent="0.35">
      <c r="A206" s="24" t="s">
        <v>108</v>
      </c>
      <c r="K206" s="21"/>
    </row>
    <row r="207" spans="1:11" ht="15.5" x14ac:dyDescent="0.35">
      <c r="A207" s="18" t="s">
        <v>114</v>
      </c>
      <c r="B207" s="67">
        <v>45000</v>
      </c>
    </row>
    <row r="208" spans="1:11" ht="15.5" x14ac:dyDescent="0.35">
      <c r="A208" s="18" t="s">
        <v>254</v>
      </c>
      <c r="B208" s="67">
        <v>60000</v>
      </c>
    </row>
    <row r="209" spans="1:11" ht="15.5" x14ac:dyDescent="0.35">
      <c r="A209" s="18" t="s">
        <v>112</v>
      </c>
      <c r="B209" s="67">
        <v>60000</v>
      </c>
    </row>
    <row r="210" spans="1:11" ht="15.5" x14ac:dyDescent="0.35">
      <c r="A210" s="18" t="s">
        <v>110</v>
      </c>
      <c r="B210" s="67">
        <v>45000</v>
      </c>
    </row>
    <row r="211" spans="1:11" ht="15.5" x14ac:dyDescent="0.35">
      <c r="A211" s="18" t="s">
        <v>111</v>
      </c>
      <c r="B211" s="67">
        <v>45000</v>
      </c>
    </row>
    <row r="212" spans="1:11" ht="15.5" x14ac:dyDescent="0.35">
      <c r="A212" s="18" t="s">
        <v>196</v>
      </c>
      <c r="B212" s="67">
        <v>45000</v>
      </c>
    </row>
    <row r="213" spans="1:11" ht="15.5" x14ac:dyDescent="0.35">
      <c r="A213" s="18" t="s">
        <v>113</v>
      </c>
      <c r="B213" s="67">
        <v>45000</v>
      </c>
    </row>
    <row r="214" spans="1:11" ht="15.5" x14ac:dyDescent="0.35">
      <c r="A214" s="18" t="s">
        <v>209</v>
      </c>
      <c r="B214" s="67">
        <v>45000</v>
      </c>
    </row>
    <row r="215" spans="1:11" ht="15.5" x14ac:dyDescent="0.35">
      <c r="A215" s="18" t="s">
        <v>115</v>
      </c>
      <c r="B215" s="67">
        <v>60000</v>
      </c>
    </row>
    <row r="216" spans="1:11" ht="15.5" x14ac:dyDescent="0.35">
      <c r="A216" s="18" t="s">
        <v>122</v>
      </c>
      <c r="B216" s="67">
        <v>60000</v>
      </c>
    </row>
    <row r="217" spans="1:11" ht="15.5" x14ac:dyDescent="0.35">
      <c r="A217" s="18" t="s">
        <v>109</v>
      </c>
      <c r="B217" s="67">
        <v>45000</v>
      </c>
    </row>
    <row r="218" spans="1:11" ht="15.5" x14ac:dyDescent="0.35">
      <c r="A218" s="24" t="s">
        <v>4</v>
      </c>
      <c r="B218" s="75">
        <f>SUM(B207:B217)</f>
        <v>555000</v>
      </c>
    </row>
    <row r="221" spans="1:11" ht="18.5" x14ac:dyDescent="0.45">
      <c r="A221" s="150" t="s">
        <v>1</v>
      </c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</row>
    <row r="222" spans="1:11" ht="18.5" x14ac:dyDescent="0.45">
      <c r="A222" s="150" t="s">
        <v>74</v>
      </c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</row>
    <row r="223" spans="1:11" ht="18.5" x14ac:dyDescent="0.45">
      <c r="A223" s="149">
        <v>46060</v>
      </c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</row>
    <row r="224" spans="1:11" ht="18.5" x14ac:dyDescent="0.45">
      <c r="A224" s="150"/>
      <c r="B224" s="150"/>
      <c r="C224" s="150"/>
      <c r="D224" s="150"/>
      <c r="E224" s="150"/>
      <c r="F224" s="150"/>
      <c r="G224" s="150"/>
      <c r="H224" s="150"/>
      <c r="I224" s="150"/>
      <c r="J224" s="150"/>
      <c r="K224" s="150"/>
    </row>
    <row r="225" spans="1:11" ht="18.5" x14ac:dyDescent="0.45">
      <c r="A225" s="2" t="s">
        <v>75</v>
      </c>
      <c r="B225" s="2" t="s">
        <v>3</v>
      </c>
      <c r="C225" s="2" t="s">
        <v>100</v>
      </c>
      <c r="D225" s="2" t="s">
        <v>90</v>
      </c>
      <c r="E225" s="2" t="s">
        <v>91</v>
      </c>
      <c r="F225" s="2" t="s">
        <v>4</v>
      </c>
      <c r="G225" s="2" t="s">
        <v>101</v>
      </c>
      <c r="H225" s="2" t="s">
        <v>104</v>
      </c>
      <c r="I225" s="2"/>
      <c r="J225" s="2" t="s">
        <v>105</v>
      </c>
      <c r="K225" s="2" t="s">
        <v>106</v>
      </c>
    </row>
    <row r="226" spans="1:11" ht="15.5" x14ac:dyDescent="0.35">
      <c r="A226" s="3" t="s">
        <v>76</v>
      </c>
      <c r="B226" s="1">
        <v>81</v>
      </c>
      <c r="C226" s="20">
        <v>17500</v>
      </c>
      <c r="D226" s="1">
        <v>38</v>
      </c>
      <c r="E226" s="1">
        <v>43</v>
      </c>
      <c r="F226" s="20">
        <f>C226*B226</f>
        <v>1417500</v>
      </c>
      <c r="G226" s="20">
        <f>D226*C226</f>
        <v>665000</v>
      </c>
      <c r="H226" s="20">
        <f>E226*C226</f>
        <v>752500</v>
      </c>
      <c r="I226" s="20" t="b">
        <f>D226+E226=B226</f>
        <v>1</v>
      </c>
      <c r="J226" s="20">
        <f>B255</f>
        <v>240000</v>
      </c>
      <c r="K226" s="20" t="s">
        <v>117</v>
      </c>
    </row>
    <row r="227" spans="1:11" ht="15.5" x14ac:dyDescent="0.35">
      <c r="A227" s="3" t="s">
        <v>77</v>
      </c>
      <c r="B227" s="1">
        <v>24</v>
      </c>
      <c r="C227" s="20">
        <v>16000</v>
      </c>
      <c r="D227" s="1">
        <v>10</v>
      </c>
      <c r="E227" s="1">
        <v>14</v>
      </c>
      <c r="F227" s="20">
        <f t="shared" ref="F227:F238" si="33">C227*B227</f>
        <v>384000</v>
      </c>
      <c r="G227" s="20">
        <f t="shared" ref="G227:G238" si="34">D227*C227</f>
        <v>160000</v>
      </c>
      <c r="H227" s="20">
        <f t="shared" ref="H227:H242" si="35">E227*C227</f>
        <v>224000</v>
      </c>
      <c r="I227" s="20" t="b">
        <f t="shared" ref="I227:I242" si="36">D227+E227=B227</f>
        <v>1</v>
      </c>
      <c r="J227" s="20">
        <v>15000</v>
      </c>
      <c r="K227" s="20" t="s">
        <v>191</v>
      </c>
    </row>
    <row r="228" spans="1:11" ht="15.5" x14ac:dyDescent="0.35">
      <c r="A228" s="3" t="s">
        <v>78</v>
      </c>
      <c r="B228" s="1">
        <v>40</v>
      </c>
      <c r="C228" s="20">
        <v>17500</v>
      </c>
      <c r="D228" s="1">
        <v>17</v>
      </c>
      <c r="E228" s="1">
        <v>23</v>
      </c>
      <c r="F228" s="20">
        <f t="shared" si="33"/>
        <v>700000</v>
      </c>
      <c r="G228" s="20">
        <f t="shared" si="34"/>
        <v>297500</v>
      </c>
      <c r="H228" s="20">
        <f t="shared" si="35"/>
        <v>402500</v>
      </c>
      <c r="I228" s="20" t="b">
        <f t="shared" si="36"/>
        <v>1</v>
      </c>
      <c r="J228" s="20">
        <v>100000</v>
      </c>
      <c r="K228" s="20" t="s">
        <v>207</v>
      </c>
    </row>
    <row r="229" spans="1:11" ht="15.5" x14ac:dyDescent="0.35">
      <c r="A229" s="3" t="s">
        <v>79</v>
      </c>
      <c r="B229" s="1">
        <v>18</v>
      </c>
      <c r="C229" s="20">
        <v>18500</v>
      </c>
      <c r="D229" s="1">
        <v>11</v>
      </c>
      <c r="E229" s="1">
        <v>7</v>
      </c>
      <c r="F229" s="20">
        <f t="shared" si="33"/>
        <v>333000</v>
      </c>
      <c r="G229" s="20">
        <f t="shared" si="34"/>
        <v>203500</v>
      </c>
      <c r="H229" s="20">
        <f t="shared" si="35"/>
        <v>129500</v>
      </c>
      <c r="I229" s="20" t="b">
        <f t="shared" si="36"/>
        <v>1</v>
      </c>
      <c r="J229" s="20">
        <v>8000</v>
      </c>
      <c r="K229" s="20" t="s">
        <v>200</v>
      </c>
    </row>
    <row r="230" spans="1:11" ht="15.5" x14ac:dyDescent="0.35">
      <c r="A230" s="3" t="s">
        <v>80</v>
      </c>
      <c r="B230" s="1">
        <v>22</v>
      </c>
      <c r="C230" s="20">
        <v>18500</v>
      </c>
      <c r="D230" s="1">
        <v>11</v>
      </c>
      <c r="E230" s="1">
        <v>11</v>
      </c>
      <c r="F230" s="20">
        <f t="shared" si="33"/>
        <v>407000</v>
      </c>
      <c r="G230" s="20">
        <f t="shared" si="34"/>
        <v>203500</v>
      </c>
      <c r="H230" s="20">
        <f t="shared" si="35"/>
        <v>203500</v>
      </c>
      <c r="I230" s="20" t="b">
        <f t="shared" si="36"/>
        <v>1</v>
      </c>
      <c r="J230" s="20">
        <v>85750</v>
      </c>
      <c r="K230" s="20" t="s">
        <v>136</v>
      </c>
    </row>
    <row r="231" spans="1:11" ht="15.5" x14ac:dyDescent="0.35">
      <c r="A231" s="3" t="s">
        <v>81</v>
      </c>
      <c r="B231" s="1">
        <v>17</v>
      </c>
      <c r="C231" s="20">
        <v>23000</v>
      </c>
      <c r="D231" s="1">
        <v>11</v>
      </c>
      <c r="E231" s="1">
        <v>6</v>
      </c>
      <c r="F231" s="20">
        <f t="shared" si="33"/>
        <v>391000</v>
      </c>
      <c r="G231" s="20">
        <f t="shared" si="34"/>
        <v>253000</v>
      </c>
      <c r="H231" s="20">
        <f t="shared" si="35"/>
        <v>138000</v>
      </c>
      <c r="I231" s="20" t="b">
        <f t="shared" si="36"/>
        <v>1</v>
      </c>
      <c r="J231" s="20"/>
      <c r="K231" s="20"/>
    </row>
    <row r="232" spans="1:11" ht="15.5" x14ac:dyDescent="0.35">
      <c r="A232" s="3" t="s">
        <v>82</v>
      </c>
      <c r="B232" s="1"/>
      <c r="C232" s="20">
        <v>18000</v>
      </c>
      <c r="D232" s="1"/>
      <c r="E232" s="1"/>
      <c r="F232" s="20">
        <f t="shared" si="33"/>
        <v>0</v>
      </c>
      <c r="G232" s="20">
        <f t="shared" si="34"/>
        <v>0</v>
      </c>
      <c r="H232" s="20">
        <f t="shared" si="35"/>
        <v>0</v>
      </c>
      <c r="I232" s="20" t="b">
        <f t="shared" si="36"/>
        <v>1</v>
      </c>
      <c r="J232" s="20"/>
      <c r="K232" s="20"/>
    </row>
    <row r="233" spans="1:11" ht="15.5" x14ac:dyDescent="0.35">
      <c r="A233" s="3" t="s">
        <v>83</v>
      </c>
      <c r="B233" s="1"/>
      <c r="C233" s="20">
        <v>18000</v>
      </c>
      <c r="D233" s="1"/>
      <c r="E233" s="1"/>
      <c r="F233" s="20">
        <f t="shared" si="33"/>
        <v>0</v>
      </c>
      <c r="G233" s="20">
        <f t="shared" si="34"/>
        <v>0</v>
      </c>
      <c r="H233" s="20">
        <f t="shared" si="35"/>
        <v>0</v>
      </c>
      <c r="I233" s="20" t="b">
        <f t="shared" si="36"/>
        <v>1</v>
      </c>
      <c r="J233" s="20"/>
      <c r="K233" s="20"/>
    </row>
    <row r="234" spans="1:11" ht="15.5" x14ac:dyDescent="0.35">
      <c r="A234" s="3" t="s">
        <v>84</v>
      </c>
      <c r="B234" s="1"/>
      <c r="C234" s="20">
        <v>18500</v>
      </c>
      <c r="D234" s="1"/>
      <c r="E234" s="1"/>
      <c r="F234" s="20">
        <f t="shared" si="33"/>
        <v>0</v>
      </c>
      <c r="G234" s="20">
        <f t="shared" si="34"/>
        <v>0</v>
      </c>
      <c r="H234" s="20">
        <f t="shared" si="35"/>
        <v>0</v>
      </c>
      <c r="I234" s="20" t="b">
        <f t="shared" si="36"/>
        <v>1</v>
      </c>
      <c r="J234" s="20"/>
      <c r="K234" s="20"/>
    </row>
    <row r="235" spans="1:11" ht="15.5" x14ac:dyDescent="0.35">
      <c r="A235" s="3" t="s">
        <v>85</v>
      </c>
      <c r="B235" s="1">
        <v>21</v>
      </c>
      <c r="C235" s="20">
        <v>18500</v>
      </c>
      <c r="D235" s="1">
        <v>5</v>
      </c>
      <c r="E235" s="1">
        <v>16</v>
      </c>
      <c r="F235" s="20">
        <f t="shared" si="33"/>
        <v>388500</v>
      </c>
      <c r="G235" s="20">
        <f t="shared" si="34"/>
        <v>92500</v>
      </c>
      <c r="H235" s="20">
        <f t="shared" si="35"/>
        <v>296000</v>
      </c>
      <c r="I235" s="20" t="b">
        <f t="shared" si="36"/>
        <v>1</v>
      </c>
      <c r="J235" s="20"/>
      <c r="K235" s="20"/>
    </row>
    <row r="236" spans="1:11" ht="15.5" x14ac:dyDescent="0.35">
      <c r="A236" s="3" t="s">
        <v>86</v>
      </c>
      <c r="B236" s="1">
        <v>5</v>
      </c>
      <c r="C236" s="20">
        <v>18500</v>
      </c>
      <c r="D236" s="1">
        <v>4</v>
      </c>
      <c r="E236" s="1">
        <v>1</v>
      </c>
      <c r="F236" s="20">
        <f t="shared" si="33"/>
        <v>92500</v>
      </c>
      <c r="G236" s="20">
        <f t="shared" si="34"/>
        <v>74000</v>
      </c>
      <c r="H236" s="20">
        <f t="shared" si="35"/>
        <v>18500</v>
      </c>
      <c r="I236" s="20" t="b">
        <f t="shared" si="36"/>
        <v>1</v>
      </c>
      <c r="J236" s="20"/>
      <c r="K236" s="20"/>
    </row>
    <row r="237" spans="1:11" ht="15.5" x14ac:dyDescent="0.35">
      <c r="A237" s="3" t="s">
        <v>87</v>
      </c>
      <c r="B237" s="1">
        <v>3</v>
      </c>
      <c r="C237" s="20">
        <v>18500</v>
      </c>
      <c r="D237" s="1">
        <v>1</v>
      </c>
      <c r="E237" s="1">
        <v>2</v>
      </c>
      <c r="F237" s="20">
        <f t="shared" si="33"/>
        <v>55500</v>
      </c>
      <c r="G237" s="20">
        <f t="shared" si="34"/>
        <v>18500</v>
      </c>
      <c r="H237" s="20">
        <f t="shared" si="35"/>
        <v>37000</v>
      </c>
      <c r="I237" s="20" t="b">
        <f t="shared" si="36"/>
        <v>1</v>
      </c>
      <c r="J237" s="20"/>
      <c r="K237" s="20"/>
    </row>
    <row r="238" spans="1:11" ht="15.5" x14ac:dyDescent="0.35">
      <c r="A238" s="3" t="s">
        <v>88</v>
      </c>
      <c r="B238" s="1"/>
      <c r="C238" s="20">
        <v>18500</v>
      </c>
      <c r="D238" s="1"/>
      <c r="E238" s="1"/>
      <c r="F238" s="20">
        <f t="shared" si="33"/>
        <v>0</v>
      </c>
      <c r="G238" s="20">
        <f t="shared" si="34"/>
        <v>0</v>
      </c>
      <c r="H238" s="20">
        <f t="shared" si="35"/>
        <v>0</v>
      </c>
      <c r="I238" s="20" t="b">
        <f t="shared" si="36"/>
        <v>1</v>
      </c>
      <c r="J238" s="20"/>
      <c r="K238" s="20"/>
    </row>
    <row r="239" spans="1:11" ht="15.5" x14ac:dyDescent="0.35">
      <c r="A239" s="19" t="s">
        <v>89</v>
      </c>
      <c r="B239" s="1"/>
      <c r="C239" s="20"/>
      <c r="D239" s="1"/>
      <c r="E239" s="1"/>
      <c r="F239" s="20"/>
      <c r="G239" s="20"/>
      <c r="H239" s="20">
        <f t="shared" si="35"/>
        <v>0</v>
      </c>
      <c r="I239" s="20" t="b">
        <f t="shared" si="36"/>
        <v>1</v>
      </c>
      <c r="J239" s="20"/>
      <c r="K239" s="20"/>
    </row>
    <row r="240" spans="1:11" ht="15.5" x14ac:dyDescent="0.35">
      <c r="A240" s="3" t="s">
        <v>92</v>
      </c>
      <c r="B240" s="1">
        <v>24</v>
      </c>
      <c r="C240" s="20">
        <v>21500</v>
      </c>
      <c r="D240" s="1">
        <v>18</v>
      </c>
      <c r="E240" s="1">
        <v>6</v>
      </c>
      <c r="F240" s="20">
        <f t="shared" ref="F240:F242" si="37">C240*B240</f>
        <v>516000</v>
      </c>
      <c r="G240" s="20">
        <f t="shared" ref="G240:G242" si="38">D240*C240</f>
        <v>387000</v>
      </c>
      <c r="H240" s="20">
        <f t="shared" si="35"/>
        <v>129000</v>
      </c>
      <c r="I240" s="20" t="b">
        <f t="shared" si="36"/>
        <v>1</v>
      </c>
      <c r="J240" s="20"/>
      <c r="K240" s="20"/>
    </row>
    <row r="241" spans="1:11" ht="15.5" x14ac:dyDescent="0.35">
      <c r="A241" s="3" t="s">
        <v>93</v>
      </c>
      <c r="B241" s="1">
        <v>4</v>
      </c>
      <c r="C241" s="20">
        <v>21500</v>
      </c>
      <c r="D241" s="1">
        <v>1</v>
      </c>
      <c r="E241" s="1">
        <v>3</v>
      </c>
      <c r="F241" s="20">
        <f t="shared" si="37"/>
        <v>86000</v>
      </c>
      <c r="G241" s="20">
        <f t="shared" si="38"/>
        <v>21500</v>
      </c>
      <c r="H241" s="20">
        <f t="shared" si="35"/>
        <v>64500</v>
      </c>
      <c r="I241" s="20" t="b">
        <f t="shared" si="36"/>
        <v>1</v>
      </c>
      <c r="J241" s="20"/>
      <c r="K241" s="20"/>
    </row>
    <row r="242" spans="1:11" ht="15.5" x14ac:dyDescent="0.35">
      <c r="A242" s="3" t="s">
        <v>94</v>
      </c>
      <c r="B242" s="1"/>
      <c r="C242" s="20">
        <v>21500</v>
      </c>
      <c r="D242" s="1"/>
      <c r="E242" s="1"/>
      <c r="F242" s="20">
        <f t="shared" si="37"/>
        <v>0</v>
      </c>
      <c r="G242" s="20">
        <f t="shared" si="38"/>
        <v>0</v>
      </c>
      <c r="H242" s="20">
        <f t="shared" si="35"/>
        <v>0</v>
      </c>
      <c r="I242" s="20" t="b">
        <f t="shared" si="36"/>
        <v>1</v>
      </c>
      <c r="J242" s="20"/>
      <c r="K242" s="20"/>
    </row>
    <row r="243" spans="1:11" ht="15.5" x14ac:dyDescent="0.35">
      <c r="A243" s="19"/>
      <c r="B243" s="22">
        <f>SUM(B226:B242)</f>
        <v>259</v>
      </c>
      <c r="C243" s="20"/>
      <c r="D243" s="1"/>
      <c r="E243" s="1"/>
      <c r="F243" s="23">
        <f>SUM(F226:F242)</f>
        <v>4771000</v>
      </c>
      <c r="G243" s="23">
        <f>SUM(G226:G242)</f>
        <v>2376000</v>
      </c>
      <c r="H243" s="23">
        <f>SUM(H226:H242)</f>
        <v>2395000</v>
      </c>
      <c r="I243" s="23"/>
      <c r="J243" s="23">
        <f>SUM(J226:J242)</f>
        <v>448750</v>
      </c>
      <c r="K243" s="23">
        <f>H243-J243</f>
        <v>1946250</v>
      </c>
    </row>
    <row r="244" spans="1:11" ht="15.5" x14ac:dyDescent="0.35">
      <c r="A244" s="19" t="s">
        <v>95</v>
      </c>
      <c r="B244" s="1"/>
      <c r="C244" s="20"/>
      <c r="D244" s="1"/>
      <c r="E244" s="1"/>
      <c r="F244" s="20"/>
      <c r="G244" s="20"/>
      <c r="H244" s="20" t="s">
        <v>192</v>
      </c>
      <c r="I244" s="20"/>
      <c r="J244" s="20"/>
      <c r="K244" s="20"/>
    </row>
    <row r="245" spans="1:11" ht="15.5" x14ac:dyDescent="0.35">
      <c r="A245" s="3" t="s">
        <v>96</v>
      </c>
      <c r="B245" s="1"/>
      <c r="C245" s="20">
        <v>3000</v>
      </c>
      <c r="D245" s="1"/>
      <c r="E245" s="20"/>
      <c r="F245" s="20">
        <f t="shared" ref="F245:F248" si="39">C245*B245</f>
        <v>0</v>
      </c>
      <c r="G245" s="20"/>
      <c r="H245" s="20"/>
      <c r="I245" s="20"/>
      <c r="J245" s="20"/>
      <c r="K245" s="20"/>
    </row>
    <row r="246" spans="1:11" ht="15.5" x14ac:dyDescent="0.35">
      <c r="A246" s="3" t="s">
        <v>97</v>
      </c>
      <c r="B246" s="1"/>
      <c r="C246" s="20">
        <v>2500</v>
      </c>
      <c r="D246" s="1"/>
      <c r="E246" s="1"/>
      <c r="F246" s="20">
        <f t="shared" si="39"/>
        <v>0</v>
      </c>
      <c r="G246" s="20"/>
      <c r="H246" s="20"/>
      <c r="I246" s="20"/>
      <c r="J246" s="20"/>
      <c r="K246" s="20"/>
    </row>
    <row r="247" spans="1:11" ht="15.5" x14ac:dyDescent="0.35">
      <c r="A247" s="3" t="s">
        <v>98</v>
      </c>
      <c r="B247" s="1"/>
      <c r="C247" s="20">
        <v>1800</v>
      </c>
      <c r="D247" s="1"/>
      <c r="E247" s="1"/>
      <c r="F247" s="20">
        <f t="shared" si="39"/>
        <v>0</v>
      </c>
      <c r="G247" s="20"/>
      <c r="H247" s="20"/>
      <c r="I247" s="20"/>
      <c r="J247" s="20"/>
      <c r="K247" s="20"/>
    </row>
    <row r="248" spans="1:11" ht="15.5" x14ac:dyDescent="0.35">
      <c r="A248" s="3" t="s">
        <v>99</v>
      </c>
      <c r="B248" s="1"/>
      <c r="C248" s="20">
        <v>3500</v>
      </c>
      <c r="D248" s="1">
        <v>1</v>
      </c>
      <c r="E248" s="1">
        <v>3</v>
      </c>
      <c r="F248" s="20">
        <f t="shared" si="39"/>
        <v>0</v>
      </c>
      <c r="G248" s="20"/>
      <c r="H248" s="20"/>
      <c r="I248" s="20"/>
      <c r="J248" s="20"/>
      <c r="K248" s="20"/>
    </row>
    <row r="249" spans="1:11" ht="15.5" x14ac:dyDescent="0.35">
      <c r="A249" s="18"/>
      <c r="F249" s="21"/>
    </row>
    <row r="250" spans="1:11" ht="15.5" x14ac:dyDescent="0.35">
      <c r="A250" s="24" t="s">
        <v>108</v>
      </c>
      <c r="K250" s="21"/>
    </row>
    <row r="251" spans="1:11" ht="15.5" x14ac:dyDescent="0.35">
      <c r="A251" s="18" t="s">
        <v>114</v>
      </c>
      <c r="B251" s="67">
        <v>60000</v>
      </c>
    </row>
    <row r="252" spans="1:11" ht="15.5" x14ac:dyDescent="0.35">
      <c r="A252" s="18" t="s">
        <v>112</v>
      </c>
      <c r="B252" s="67">
        <v>60000</v>
      </c>
    </row>
    <row r="253" spans="1:11" ht="15.5" x14ac:dyDescent="0.35">
      <c r="A253" s="18" t="s">
        <v>111</v>
      </c>
      <c r="B253" s="67">
        <v>60000</v>
      </c>
    </row>
    <row r="254" spans="1:11" ht="15.5" x14ac:dyDescent="0.35">
      <c r="A254" s="18" t="s">
        <v>196</v>
      </c>
      <c r="B254" s="67">
        <v>60000</v>
      </c>
    </row>
    <row r="255" spans="1:11" ht="15.5" x14ac:dyDescent="0.35">
      <c r="A255" s="24" t="s">
        <v>4</v>
      </c>
      <c r="B255" s="75">
        <f>SUM(B251:B254)</f>
        <v>240000</v>
      </c>
    </row>
    <row r="258" spans="1:11" ht="18.5" x14ac:dyDescent="0.45">
      <c r="A258" s="150" t="s">
        <v>1</v>
      </c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</row>
    <row r="259" spans="1:11" ht="18.5" x14ac:dyDescent="0.45">
      <c r="A259" s="150" t="s">
        <v>74</v>
      </c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</row>
    <row r="260" spans="1:11" ht="18.5" x14ac:dyDescent="0.45">
      <c r="A260" s="149">
        <v>46062</v>
      </c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</row>
    <row r="261" spans="1:11" ht="18.5" x14ac:dyDescent="0.45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</row>
    <row r="262" spans="1:11" ht="18.5" x14ac:dyDescent="0.45">
      <c r="A262" s="2" t="s">
        <v>75</v>
      </c>
      <c r="B262" s="2" t="s">
        <v>3</v>
      </c>
      <c r="C262" s="2" t="s">
        <v>100</v>
      </c>
      <c r="D262" s="2" t="s">
        <v>90</v>
      </c>
      <c r="E262" s="2" t="s">
        <v>91</v>
      </c>
      <c r="F262" s="2" t="s">
        <v>4</v>
      </c>
      <c r="G262" s="2" t="s">
        <v>101</v>
      </c>
      <c r="H262" s="2" t="s">
        <v>104</v>
      </c>
      <c r="I262" s="2"/>
      <c r="J262" s="2" t="s">
        <v>105</v>
      </c>
      <c r="K262" s="2" t="s">
        <v>106</v>
      </c>
    </row>
    <row r="263" spans="1:11" ht="15.5" x14ac:dyDescent="0.35">
      <c r="A263" s="3" t="s">
        <v>76</v>
      </c>
      <c r="B263" s="1">
        <v>111</v>
      </c>
      <c r="C263" s="20">
        <v>17500</v>
      </c>
      <c r="D263" s="1">
        <v>41</v>
      </c>
      <c r="E263" s="1">
        <v>70</v>
      </c>
      <c r="F263" s="20">
        <f>C263*B263</f>
        <v>1942500</v>
      </c>
      <c r="G263" s="20">
        <f>D263*C263</f>
        <v>717500</v>
      </c>
      <c r="H263" s="20">
        <f>E263*C263</f>
        <v>1225000</v>
      </c>
      <c r="I263" s="20" t="b">
        <f>D263+E263=B263</f>
        <v>1</v>
      </c>
      <c r="J263" s="20">
        <f>B298</f>
        <v>435000</v>
      </c>
      <c r="K263" s="20" t="s">
        <v>117</v>
      </c>
    </row>
    <row r="264" spans="1:11" ht="15.5" x14ac:dyDescent="0.35">
      <c r="A264" s="3" t="s">
        <v>77</v>
      </c>
      <c r="B264" s="1">
        <v>14</v>
      </c>
      <c r="C264" s="20">
        <v>16000</v>
      </c>
      <c r="D264" s="1">
        <v>2</v>
      </c>
      <c r="E264" s="1">
        <v>12</v>
      </c>
      <c r="F264" s="20">
        <f t="shared" ref="F264:F275" si="40">C264*B264</f>
        <v>224000</v>
      </c>
      <c r="G264" s="20">
        <f t="shared" ref="G264:G275" si="41">D264*C264</f>
        <v>32000</v>
      </c>
      <c r="H264" s="20">
        <f t="shared" ref="H264:H279" si="42">E264*C264</f>
        <v>192000</v>
      </c>
      <c r="I264" s="20" t="b">
        <f t="shared" ref="I264:I279" si="43">D264+E264=B264</f>
        <v>1</v>
      </c>
      <c r="J264" s="20">
        <v>15000</v>
      </c>
      <c r="K264" s="20" t="s">
        <v>191</v>
      </c>
    </row>
    <row r="265" spans="1:11" ht="15.5" x14ac:dyDescent="0.35">
      <c r="A265" s="3" t="s">
        <v>78</v>
      </c>
      <c r="B265" s="1">
        <v>58</v>
      </c>
      <c r="C265" s="20">
        <v>17500</v>
      </c>
      <c r="D265" s="1">
        <v>22</v>
      </c>
      <c r="E265" s="1">
        <v>36</v>
      </c>
      <c r="F265" s="20">
        <f t="shared" si="40"/>
        <v>1015000</v>
      </c>
      <c r="G265" s="20">
        <f t="shared" si="41"/>
        <v>385000</v>
      </c>
      <c r="H265" s="20">
        <f t="shared" si="42"/>
        <v>630000</v>
      </c>
      <c r="I265" s="20" t="b">
        <f t="shared" si="43"/>
        <v>1</v>
      </c>
      <c r="J265" s="20">
        <v>6400</v>
      </c>
      <c r="K265" s="20" t="s">
        <v>200</v>
      </c>
    </row>
    <row r="266" spans="1:11" ht="15.5" x14ac:dyDescent="0.35">
      <c r="A266" s="3" t="s">
        <v>79</v>
      </c>
      <c r="B266" s="1">
        <v>33</v>
      </c>
      <c r="C266" s="20">
        <v>18500</v>
      </c>
      <c r="D266" s="1">
        <v>9</v>
      </c>
      <c r="E266" s="1">
        <v>24</v>
      </c>
      <c r="F266" s="20">
        <f t="shared" si="40"/>
        <v>610500</v>
      </c>
      <c r="G266" s="20">
        <f t="shared" si="41"/>
        <v>166500</v>
      </c>
      <c r="H266" s="20">
        <f t="shared" si="42"/>
        <v>444000</v>
      </c>
      <c r="I266" s="20" t="b">
        <f t="shared" si="43"/>
        <v>1</v>
      </c>
      <c r="J266" s="20">
        <v>30000</v>
      </c>
      <c r="K266" s="20" t="s">
        <v>285</v>
      </c>
    </row>
    <row r="267" spans="1:11" ht="15.5" x14ac:dyDescent="0.35">
      <c r="A267" s="3" t="s">
        <v>80</v>
      </c>
      <c r="B267" s="1"/>
      <c r="C267" s="20">
        <v>18500</v>
      </c>
      <c r="D267" s="1"/>
      <c r="E267" s="1"/>
      <c r="F267" s="20">
        <f t="shared" si="40"/>
        <v>0</v>
      </c>
      <c r="G267" s="20">
        <f t="shared" si="41"/>
        <v>0</v>
      </c>
      <c r="H267" s="20">
        <f t="shared" si="42"/>
        <v>0</v>
      </c>
      <c r="I267" s="20" t="b">
        <f t="shared" si="43"/>
        <v>1</v>
      </c>
      <c r="J267" s="20">
        <v>7600</v>
      </c>
      <c r="K267" s="20" t="s">
        <v>301</v>
      </c>
    </row>
    <row r="268" spans="1:11" ht="15.5" x14ac:dyDescent="0.35">
      <c r="A268" s="3" t="s">
        <v>81</v>
      </c>
      <c r="B268" s="1"/>
      <c r="C268" s="20">
        <v>23000</v>
      </c>
      <c r="D268" s="1"/>
      <c r="E268" s="1"/>
      <c r="F268" s="20">
        <f t="shared" si="40"/>
        <v>0</v>
      </c>
      <c r="G268" s="20">
        <f t="shared" si="41"/>
        <v>0</v>
      </c>
      <c r="H268" s="20">
        <f t="shared" si="42"/>
        <v>0</v>
      </c>
      <c r="I268" s="20" t="b">
        <f t="shared" si="43"/>
        <v>1</v>
      </c>
      <c r="J268" s="20">
        <v>430000</v>
      </c>
      <c r="K268" s="20" t="s">
        <v>107</v>
      </c>
    </row>
    <row r="269" spans="1:11" ht="15.5" x14ac:dyDescent="0.35">
      <c r="A269" s="3" t="s">
        <v>82</v>
      </c>
      <c r="B269" s="1">
        <v>33</v>
      </c>
      <c r="C269" s="20">
        <v>18000</v>
      </c>
      <c r="D269" s="1">
        <v>11</v>
      </c>
      <c r="E269" s="1">
        <v>22</v>
      </c>
      <c r="F269" s="20">
        <f t="shared" si="40"/>
        <v>594000</v>
      </c>
      <c r="G269" s="20">
        <f t="shared" si="41"/>
        <v>198000</v>
      </c>
      <c r="H269" s="20">
        <f t="shared" si="42"/>
        <v>396000</v>
      </c>
      <c r="I269" s="20" t="b">
        <f t="shared" si="43"/>
        <v>1</v>
      </c>
      <c r="J269" s="20"/>
      <c r="K269" s="20"/>
    </row>
    <row r="270" spans="1:11" ht="15.5" x14ac:dyDescent="0.35">
      <c r="A270" s="3" t="s">
        <v>83</v>
      </c>
      <c r="B270" s="1"/>
      <c r="C270" s="20">
        <v>18000</v>
      </c>
      <c r="D270" s="1"/>
      <c r="E270" s="1"/>
      <c r="F270" s="20">
        <f t="shared" si="40"/>
        <v>0</v>
      </c>
      <c r="G270" s="20">
        <f t="shared" si="41"/>
        <v>0</v>
      </c>
      <c r="H270" s="20">
        <f t="shared" si="42"/>
        <v>0</v>
      </c>
      <c r="I270" s="20" t="b">
        <f t="shared" si="43"/>
        <v>1</v>
      </c>
      <c r="J270" s="20"/>
      <c r="K270" s="20"/>
    </row>
    <row r="271" spans="1:11" ht="15.5" x14ac:dyDescent="0.35">
      <c r="A271" s="3" t="s">
        <v>84</v>
      </c>
      <c r="B271" s="1"/>
      <c r="C271" s="20">
        <v>18500</v>
      </c>
      <c r="D271" s="1"/>
      <c r="E271" s="1"/>
      <c r="F271" s="20">
        <f t="shared" si="40"/>
        <v>0</v>
      </c>
      <c r="G271" s="20">
        <f t="shared" si="41"/>
        <v>0</v>
      </c>
      <c r="H271" s="20">
        <f t="shared" si="42"/>
        <v>0</v>
      </c>
      <c r="I271" s="20" t="b">
        <f t="shared" si="43"/>
        <v>1</v>
      </c>
      <c r="J271" s="20"/>
      <c r="K271" s="20"/>
    </row>
    <row r="272" spans="1:11" ht="15.5" x14ac:dyDescent="0.35">
      <c r="A272" s="3" t="s">
        <v>85</v>
      </c>
      <c r="B272" s="1"/>
      <c r="C272" s="20">
        <v>18500</v>
      </c>
      <c r="D272" s="1"/>
      <c r="E272" s="1"/>
      <c r="F272" s="20">
        <f t="shared" si="40"/>
        <v>0</v>
      </c>
      <c r="G272" s="20">
        <f t="shared" si="41"/>
        <v>0</v>
      </c>
      <c r="H272" s="20">
        <f t="shared" si="42"/>
        <v>0</v>
      </c>
      <c r="I272" s="20" t="b">
        <f t="shared" si="43"/>
        <v>1</v>
      </c>
      <c r="J272" s="20"/>
      <c r="K272" s="20"/>
    </row>
    <row r="273" spans="1:11" ht="15.5" x14ac:dyDescent="0.35">
      <c r="A273" s="3" t="s">
        <v>86</v>
      </c>
      <c r="B273" s="1">
        <v>7</v>
      </c>
      <c r="C273" s="20">
        <v>18500</v>
      </c>
      <c r="D273" s="1">
        <v>3</v>
      </c>
      <c r="E273" s="1">
        <v>7</v>
      </c>
      <c r="F273" s="20">
        <f t="shared" si="40"/>
        <v>129500</v>
      </c>
      <c r="G273" s="20">
        <f t="shared" si="41"/>
        <v>55500</v>
      </c>
      <c r="H273" s="20">
        <f t="shared" si="42"/>
        <v>129500</v>
      </c>
      <c r="I273" s="20" t="b">
        <f t="shared" si="43"/>
        <v>0</v>
      </c>
      <c r="J273" s="20"/>
      <c r="K273" s="20"/>
    </row>
    <row r="274" spans="1:11" ht="15.5" x14ac:dyDescent="0.35">
      <c r="A274" s="3" t="s">
        <v>87</v>
      </c>
      <c r="B274" s="1"/>
      <c r="C274" s="20">
        <v>18500</v>
      </c>
      <c r="D274" s="1"/>
      <c r="E274" s="1"/>
      <c r="F274" s="20">
        <f t="shared" si="40"/>
        <v>0</v>
      </c>
      <c r="G274" s="20">
        <f t="shared" si="41"/>
        <v>0</v>
      </c>
      <c r="H274" s="20">
        <f t="shared" si="42"/>
        <v>0</v>
      </c>
      <c r="I274" s="20" t="b">
        <f t="shared" si="43"/>
        <v>1</v>
      </c>
      <c r="J274" s="20"/>
      <c r="K274" s="20"/>
    </row>
    <row r="275" spans="1:11" ht="15.5" x14ac:dyDescent="0.35">
      <c r="A275" s="3" t="s">
        <v>88</v>
      </c>
      <c r="B275" s="1">
        <v>13</v>
      </c>
      <c r="C275" s="20">
        <v>18500</v>
      </c>
      <c r="D275" s="1">
        <v>6</v>
      </c>
      <c r="E275" s="1">
        <v>7</v>
      </c>
      <c r="F275" s="20">
        <f t="shared" si="40"/>
        <v>240500</v>
      </c>
      <c r="G275" s="20">
        <f t="shared" si="41"/>
        <v>111000</v>
      </c>
      <c r="H275" s="20">
        <f t="shared" si="42"/>
        <v>129500</v>
      </c>
      <c r="I275" s="20" t="b">
        <f t="shared" si="43"/>
        <v>1</v>
      </c>
      <c r="J275" s="20"/>
      <c r="K275" s="20"/>
    </row>
    <row r="276" spans="1:11" ht="15.5" x14ac:dyDescent="0.35">
      <c r="A276" s="19" t="s">
        <v>89</v>
      </c>
      <c r="B276" s="1"/>
      <c r="C276" s="20"/>
      <c r="D276" s="1"/>
      <c r="E276" s="1"/>
      <c r="F276" s="20"/>
      <c r="G276" s="20"/>
      <c r="H276" s="20">
        <f t="shared" si="42"/>
        <v>0</v>
      </c>
      <c r="I276" s="20" t="b">
        <f t="shared" si="43"/>
        <v>1</v>
      </c>
      <c r="J276" s="20"/>
      <c r="K276" s="20"/>
    </row>
    <row r="277" spans="1:11" ht="15.5" x14ac:dyDescent="0.35">
      <c r="A277" s="3" t="s">
        <v>92</v>
      </c>
      <c r="B277" s="1">
        <v>32</v>
      </c>
      <c r="C277" s="20">
        <v>21500</v>
      </c>
      <c r="D277" s="1">
        <v>10</v>
      </c>
      <c r="E277" s="1">
        <v>22</v>
      </c>
      <c r="F277" s="20">
        <f t="shared" ref="F277:F279" si="44">C277*B277</f>
        <v>688000</v>
      </c>
      <c r="G277" s="20">
        <f t="shared" ref="G277:G279" si="45">D277*C277</f>
        <v>215000</v>
      </c>
      <c r="H277" s="20">
        <f t="shared" si="42"/>
        <v>473000</v>
      </c>
      <c r="I277" s="20" t="b">
        <f t="shared" si="43"/>
        <v>1</v>
      </c>
      <c r="J277" s="20"/>
      <c r="K277" s="20"/>
    </row>
    <row r="278" spans="1:11" ht="15.5" x14ac:dyDescent="0.35">
      <c r="A278" s="3" t="s">
        <v>93</v>
      </c>
      <c r="B278" s="1"/>
      <c r="C278" s="20">
        <v>21500</v>
      </c>
      <c r="D278" s="1"/>
      <c r="E278" s="1"/>
      <c r="F278" s="20">
        <f t="shared" si="44"/>
        <v>0</v>
      </c>
      <c r="G278" s="20">
        <f t="shared" si="45"/>
        <v>0</v>
      </c>
      <c r="H278" s="20">
        <f t="shared" si="42"/>
        <v>0</v>
      </c>
      <c r="I278" s="20" t="b">
        <f t="shared" si="43"/>
        <v>1</v>
      </c>
      <c r="J278" s="20"/>
      <c r="K278" s="20"/>
    </row>
    <row r="279" spans="1:11" ht="15.5" x14ac:dyDescent="0.35">
      <c r="A279" s="3" t="s">
        <v>94</v>
      </c>
      <c r="B279" s="1">
        <v>27</v>
      </c>
      <c r="C279" s="20">
        <v>21500</v>
      </c>
      <c r="D279" s="1">
        <v>8</v>
      </c>
      <c r="E279" s="1">
        <v>19</v>
      </c>
      <c r="F279" s="20">
        <f t="shared" si="44"/>
        <v>580500</v>
      </c>
      <c r="G279" s="20">
        <f t="shared" si="45"/>
        <v>172000</v>
      </c>
      <c r="H279" s="20">
        <f t="shared" si="42"/>
        <v>408500</v>
      </c>
      <c r="I279" s="20" t="b">
        <f t="shared" si="43"/>
        <v>1</v>
      </c>
      <c r="J279" s="20"/>
      <c r="K279" s="20"/>
    </row>
    <row r="280" spans="1:11" ht="15.5" x14ac:dyDescent="0.35">
      <c r="A280" s="19"/>
      <c r="B280" s="22">
        <f>SUM(B263:B279)</f>
        <v>328</v>
      </c>
      <c r="C280" s="20"/>
      <c r="D280" s="1"/>
      <c r="E280" s="1"/>
      <c r="F280" s="23">
        <f>SUM(F263:F279)</f>
        <v>6024500</v>
      </c>
      <c r="G280" s="23">
        <f>SUM(G263:G279)</f>
        <v>2052500</v>
      </c>
      <c r="H280" s="23">
        <f>SUM(H263:H279)</f>
        <v>4027500</v>
      </c>
      <c r="I280" s="23"/>
      <c r="J280" s="23">
        <f>SUM(J263:J279)</f>
        <v>924000</v>
      </c>
      <c r="K280" s="23">
        <f>H280-J280</f>
        <v>3103500</v>
      </c>
    </row>
    <row r="281" spans="1:11" ht="15.5" x14ac:dyDescent="0.35">
      <c r="A281" s="19" t="s">
        <v>95</v>
      </c>
      <c r="B281" s="1"/>
      <c r="C281" s="20"/>
      <c r="D281" s="1"/>
      <c r="E281" s="1"/>
      <c r="F281" s="20"/>
      <c r="G281" s="20"/>
      <c r="H281" s="20" t="s">
        <v>192</v>
      </c>
      <c r="I281" s="20"/>
      <c r="J281" s="20"/>
      <c r="K281" s="20"/>
    </row>
    <row r="282" spans="1:11" ht="15.5" x14ac:dyDescent="0.35">
      <c r="A282" s="3" t="s">
        <v>96</v>
      </c>
      <c r="B282" s="1"/>
      <c r="C282" s="20">
        <v>3000</v>
      </c>
      <c r="D282" s="1"/>
      <c r="E282" s="20"/>
      <c r="F282" s="20">
        <f t="shared" ref="F282:F285" si="46">C282*B282</f>
        <v>0</v>
      </c>
      <c r="G282" s="20"/>
      <c r="H282" s="20"/>
      <c r="I282" s="20"/>
      <c r="J282" s="20"/>
      <c r="K282" s="20"/>
    </row>
    <row r="283" spans="1:11" ht="15.5" x14ac:dyDescent="0.35">
      <c r="A283" s="3" t="s">
        <v>97</v>
      </c>
      <c r="B283" s="1"/>
      <c r="C283" s="20">
        <v>2500</v>
      </c>
      <c r="D283" s="1"/>
      <c r="E283" s="1"/>
      <c r="F283" s="20">
        <f t="shared" si="46"/>
        <v>0</v>
      </c>
      <c r="G283" s="20"/>
      <c r="H283" s="20"/>
      <c r="I283" s="20"/>
      <c r="J283" s="20"/>
      <c r="K283" s="20"/>
    </row>
    <row r="284" spans="1:11" ht="15.5" x14ac:dyDescent="0.35">
      <c r="A284" s="3" t="s">
        <v>98</v>
      </c>
      <c r="B284" s="1"/>
      <c r="C284" s="20">
        <v>1800</v>
      </c>
      <c r="D284" s="1"/>
      <c r="E284" s="1"/>
      <c r="F284" s="20">
        <f t="shared" si="46"/>
        <v>0</v>
      </c>
      <c r="G284" s="20"/>
      <c r="H284" s="20"/>
      <c r="I284" s="20"/>
      <c r="J284" s="20"/>
      <c r="K284" s="20"/>
    </row>
    <row r="285" spans="1:11" ht="15.5" x14ac:dyDescent="0.35">
      <c r="A285" s="3" t="s">
        <v>99</v>
      </c>
      <c r="B285" s="1"/>
      <c r="C285" s="20">
        <v>3500</v>
      </c>
      <c r="D285" s="1"/>
      <c r="E285" s="1"/>
      <c r="F285" s="20">
        <f t="shared" si="46"/>
        <v>0</v>
      </c>
      <c r="G285" s="20"/>
      <c r="H285" s="20"/>
      <c r="I285" s="20"/>
      <c r="J285" s="20"/>
      <c r="K285" s="20"/>
    </row>
    <row r="286" spans="1:11" ht="15.5" x14ac:dyDescent="0.35">
      <c r="A286" s="18"/>
      <c r="F286" s="21"/>
    </row>
    <row r="287" spans="1:11" ht="15.5" x14ac:dyDescent="0.35">
      <c r="A287" s="24" t="s">
        <v>108</v>
      </c>
      <c r="K287" s="21"/>
    </row>
    <row r="288" spans="1:11" ht="15.5" x14ac:dyDescent="0.35">
      <c r="A288" s="18" t="s">
        <v>114</v>
      </c>
      <c r="B288" s="67">
        <v>45000</v>
      </c>
    </row>
    <row r="289" spans="1:11" ht="15.5" x14ac:dyDescent="0.35">
      <c r="A289" s="18" t="s">
        <v>112</v>
      </c>
      <c r="B289" s="67">
        <v>45000</v>
      </c>
    </row>
    <row r="290" spans="1:11" ht="15.5" x14ac:dyDescent="0.35">
      <c r="A290" s="18" t="s">
        <v>309</v>
      </c>
      <c r="B290" s="67">
        <v>60000</v>
      </c>
    </row>
    <row r="291" spans="1:11" ht="15.5" x14ac:dyDescent="0.35">
      <c r="A291" s="18" t="s">
        <v>110</v>
      </c>
      <c r="B291" s="67">
        <v>45000</v>
      </c>
    </row>
    <row r="292" spans="1:11" ht="15.5" x14ac:dyDescent="0.35">
      <c r="A292" s="18" t="s">
        <v>111</v>
      </c>
      <c r="B292" s="67"/>
      <c r="C292" t="s">
        <v>255</v>
      </c>
    </row>
    <row r="293" spans="1:11" ht="15.5" x14ac:dyDescent="0.35">
      <c r="A293" s="18" t="s">
        <v>196</v>
      </c>
      <c r="B293" s="67">
        <v>45000</v>
      </c>
    </row>
    <row r="294" spans="1:11" ht="15.5" x14ac:dyDescent="0.35">
      <c r="A294" s="18" t="s">
        <v>113</v>
      </c>
      <c r="B294" s="67">
        <v>45000</v>
      </c>
    </row>
    <row r="295" spans="1:11" ht="15.5" x14ac:dyDescent="0.35">
      <c r="A295" s="18" t="s">
        <v>209</v>
      </c>
      <c r="B295" s="67">
        <v>45000</v>
      </c>
    </row>
    <row r="296" spans="1:11" ht="15.5" x14ac:dyDescent="0.35">
      <c r="A296" s="18" t="s">
        <v>115</v>
      </c>
      <c r="B296" s="67">
        <v>60000</v>
      </c>
    </row>
    <row r="297" spans="1:11" ht="15.5" x14ac:dyDescent="0.35">
      <c r="A297" s="18" t="s">
        <v>109</v>
      </c>
      <c r="B297" s="67">
        <v>45000</v>
      </c>
    </row>
    <row r="298" spans="1:11" ht="15.5" x14ac:dyDescent="0.35">
      <c r="A298" s="24" t="s">
        <v>4</v>
      </c>
      <c r="B298" s="75">
        <f>SUM(B288:B297)</f>
        <v>435000</v>
      </c>
    </row>
    <row r="301" spans="1:11" ht="18.5" x14ac:dyDescent="0.45">
      <c r="A301" s="150" t="s">
        <v>1</v>
      </c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</row>
    <row r="302" spans="1:11" ht="18.5" x14ac:dyDescent="0.45">
      <c r="A302" s="150" t="s">
        <v>74</v>
      </c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</row>
    <row r="303" spans="1:11" ht="18.5" x14ac:dyDescent="0.45">
      <c r="A303" s="149">
        <v>46063</v>
      </c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</row>
    <row r="304" spans="1:11" ht="18.5" x14ac:dyDescent="0.45">
      <c r="A304" s="150"/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</row>
    <row r="305" spans="1:11" ht="18.5" x14ac:dyDescent="0.45">
      <c r="A305" s="2" t="s">
        <v>75</v>
      </c>
      <c r="B305" s="2" t="s">
        <v>3</v>
      </c>
      <c r="C305" s="2" t="s">
        <v>100</v>
      </c>
      <c r="D305" s="2" t="s">
        <v>90</v>
      </c>
      <c r="E305" s="2" t="s">
        <v>91</v>
      </c>
      <c r="F305" s="2" t="s">
        <v>4</v>
      </c>
      <c r="G305" s="2" t="s">
        <v>101</v>
      </c>
      <c r="H305" s="2" t="s">
        <v>104</v>
      </c>
      <c r="I305" s="2"/>
      <c r="J305" s="2" t="s">
        <v>105</v>
      </c>
      <c r="K305" s="2" t="s">
        <v>106</v>
      </c>
    </row>
    <row r="306" spans="1:11" ht="15.5" x14ac:dyDescent="0.35">
      <c r="A306" s="3" t="s">
        <v>76</v>
      </c>
      <c r="B306" s="1">
        <v>120</v>
      </c>
      <c r="C306" s="20">
        <v>17500</v>
      </c>
      <c r="D306" s="1">
        <v>60</v>
      </c>
      <c r="E306" s="1">
        <v>60</v>
      </c>
      <c r="F306" s="20">
        <f>C306*B306</f>
        <v>2100000</v>
      </c>
      <c r="G306" s="20">
        <f>D306*C306</f>
        <v>1050000</v>
      </c>
      <c r="H306" s="20">
        <f>E306*C306</f>
        <v>1050000</v>
      </c>
      <c r="I306" s="20" t="b">
        <f>D306+E306=B306</f>
        <v>1</v>
      </c>
      <c r="J306" s="20">
        <f>B341</f>
        <v>435000</v>
      </c>
      <c r="K306" s="20" t="s">
        <v>117</v>
      </c>
    </row>
    <row r="307" spans="1:11" ht="15.5" x14ac:dyDescent="0.35">
      <c r="A307" s="3" t="s">
        <v>77</v>
      </c>
      <c r="B307" s="1">
        <v>18</v>
      </c>
      <c r="C307" s="20">
        <v>16000</v>
      </c>
      <c r="D307" s="1">
        <v>9</v>
      </c>
      <c r="E307" s="1">
        <v>9</v>
      </c>
      <c r="F307" s="20">
        <f t="shared" ref="F307:F318" si="47">C307*B307</f>
        <v>288000</v>
      </c>
      <c r="G307" s="20">
        <f t="shared" ref="G307:G318" si="48">D307*C307</f>
        <v>144000</v>
      </c>
      <c r="H307" s="20">
        <f t="shared" ref="H307:H322" si="49">E307*C307</f>
        <v>144000</v>
      </c>
      <c r="I307" s="20" t="b">
        <f t="shared" ref="I307:I322" si="50">D307+E307=B307</f>
        <v>1</v>
      </c>
      <c r="J307" s="20">
        <v>15000</v>
      </c>
      <c r="K307" s="20" t="s">
        <v>191</v>
      </c>
    </row>
    <row r="308" spans="1:11" ht="15.5" x14ac:dyDescent="0.35">
      <c r="A308" s="3" t="s">
        <v>78</v>
      </c>
      <c r="B308" s="1">
        <v>53</v>
      </c>
      <c r="C308" s="20">
        <v>17500</v>
      </c>
      <c r="D308" s="1">
        <v>27</v>
      </c>
      <c r="E308" s="1">
        <v>26</v>
      </c>
      <c r="F308" s="20">
        <f t="shared" si="47"/>
        <v>927500</v>
      </c>
      <c r="G308" s="20">
        <f t="shared" si="48"/>
        <v>472500</v>
      </c>
      <c r="H308" s="20">
        <f t="shared" si="49"/>
        <v>455000</v>
      </c>
      <c r="I308" s="20" t="b">
        <f t="shared" si="50"/>
        <v>1</v>
      </c>
      <c r="J308" s="20">
        <v>430000</v>
      </c>
      <c r="K308" s="20" t="s">
        <v>107</v>
      </c>
    </row>
    <row r="309" spans="1:11" ht="15.5" x14ac:dyDescent="0.35">
      <c r="A309" s="3" t="s">
        <v>79</v>
      </c>
      <c r="B309" s="1">
        <v>42</v>
      </c>
      <c r="C309" s="20">
        <v>18500</v>
      </c>
      <c r="D309" s="1">
        <v>21</v>
      </c>
      <c r="E309" s="1">
        <v>21</v>
      </c>
      <c r="F309" s="20">
        <f t="shared" si="47"/>
        <v>777000</v>
      </c>
      <c r="G309" s="20">
        <f t="shared" si="48"/>
        <v>388500</v>
      </c>
      <c r="H309" s="20">
        <f t="shared" si="49"/>
        <v>388500</v>
      </c>
      <c r="I309" s="20" t="b">
        <f t="shared" si="50"/>
        <v>1</v>
      </c>
      <c r="J309" s="20">
        <v>240000</v>
      </c>
      <c r="K309" s="20" t="s">
        <v>308</v>
      </c>
    </row>
    <row r="310" spans="1:11" ht="15.5" x14ac:dyDescent="0.35">
      <c r="A310" s="3" t="s">
        <v>80</v>
      </c>
      <c r="B310" s="1"/>
      <c r="C310" s="20">
        <v>18500</v>
      </c>
      <c r="D310" s="1"/>
      <c r="E310" s="1"/>
      <c r="F310" s="20">
        <f t="shared" si="47"/>
        <v>0</v>
      </c>
      <c r="G310" s="20">
        <f t="shared" si="48"/>
        <v>0</v>
      </c>
      <c r="H310" s="20">
        <f t="shared" si="49"/>
        <v>0</v>
      </c>
      <c r="I310" s="20" t="b">
        <f t="shared" si="50"/>
        <v>1</v>
      </c>
      <c r="J310" s="20"/>
      <c r="K310" s="20"/>
    </row>
    <row r="311" spans="1:11" ht="15.5" x14ac:dyDescent="0.35">
      <c r="A311" s="3" t="s">
        <v>81</v>
      </c>
      <c r="B311" s="1"/>
      <c r="C311" s="20">
        <v>23000</v>
      </c>
      <c r="D311" s="1"/>
      <c r="E311" s="1"/>
      <c r="F311" s="20">
        <f t="shared" si="47"/>
        <v>0</v>
      </c>
      <c r="G311" s="20">
        <f t="shared" si="48"/>
        <v>0</v>
      </c>
      <c r="H311" s="20">
        <f t="shared" si="49"/>
        <v>0</v>
      </c>
      <c r="I311" s="20" t="b">
        <f t="shared" si="50"/>
        <v>1</v>
      </c>
      <c r="J311" s="20"/>
      <c r="K311" s="20"/>
    </row>
    <row r="312" spans="1:11" ht="15.5" x14ac:dyDescent="0.35">
      <c r="A312" s="3" t="s">
        <v>82</v>
      </c>
      <c r="B312" s="1"/>
      <c r="C312" s="20">
        <v>18000</v>
      </c>
      <c r="D312" s="1"/>
      <c r="E312" s="1"/>
      <c r="F312" s="20">
        <f t="shared" si="47"/>
        <v>0</v>
      </c>
      <c r="G312" s="20">
        <f t="shared" si="48"/>
        <v>0</v>
      </c>
      <c r="H312" s="20">
        <f t="shared" si="49"/>
        <v>0</v>
      </c>
      <c r="I312" s="20" t="b">
        <f t="shared" si="50"/>
        <v>1</v>
      </c>
      <c r="J312" s="20"/>
      <c r="K312" s="20"/>
    </row>
    <row r="313" spans="1:11" ht="15.5" x14ac:dyDescent="0.35">
      <c r="A313" s="3" t="s">
        <v>83</v>
      </c>
      <c r="B313" s="1"/>
      <c r="C313" s="20">
        <v>18000</v>
      </c>
      <c r="D313" s="1"/>
      <c r="E313" s="1"/>
      <c r="F313" s="20">
        <f t="shared" si="47"/>
        <v>0</v>
      </c>
      <c r="G313" s="20">
        <f t="shared" si="48"/>
        <v>0</v>
      </c>
      <c r="H313" s="20">
        <f t="shared" si="49"/>
        <v>0</v>
      </c>
      <c r="I313" s="20" t="b">
        <f t="shared" si="50"/>
        <v>1</v>
      </c>
      <c r="J313" s="20"/>
      <c r="K313" s="20"/>
    </row>
    <row r="314" spans="1:11" ht="15.5" x14ac:dyDescent="0.35">
      <c r="A314" s="3" t="s">
        <v>84</v>
      </c>
      <c r="B314" s="1"/>
      <c r="C314" s="20">
        <v>18500</v>
      </c>
      <c r="D314" s="1"/>
      <c r="E314" s="1"/>
      <c r="F314" s="20">
        <f t="shared" si="47"/>
        <v>0</v>
      </c>
      <c r="G314" s="20">
        <f t="shared" si="48"/>
        <v>0</v>
      </c>
      <c r="H314" s="20">
        <f t="shared" si="49"/>
        <v>0</v>
      </c>
      <c r="I314" s="20" t="b">
        <f t="shared" si="50"/>
        <v>1</v>
      </c>
      <c r="J314" s="20"/>
      <c r="K314" s="20"/>
    </row>
    <row r="315" spans="1:11" ht="15.5" x14ac:dyDescent="0.35">
      <c r="A315" s="3" t="s">
        <v>85</v>
      </c>
      <c r="B315" s="1">
        <v>50</v>
      </c>
      <c r="C315" s="20">
        <v>18500</v>
      </c>
      <c r="D315" s="1">
        <v>25</v>
      </c>
      <c r="E315" s="1">
        <v>25</v>
      </c>
      <c r="F315" s="20">
        <f t="shared" si="47"/>
        <v>925000</v>
      </c>
      <c r="G315" s="20">
        <f t="shared" si="48"/>
        <v>462500</v>
      </c>
      <c r="H315" s="20">
        <f t="shared" si="49"/>
        <v>462500</v>
      </c>
      <c r="I315" s="20" t="b">
        <f t="shared" si="50"/>
        <v>1</v>
      </c>
      <c r="J315" s="20"/>
      <c r="K315" s="20"/>
    </row>
    <row r="316" spans="1:11" ht="15.5" x14ac:dyDescent="0.35">
      <c r="A316" s="3" t="s">
        <v>86</v>
      </c>
      <c r="B316" s="1"/>
      <c r="C316" s="20">
        <v>18500</v>
      </c>
      <c r="D316" s="1"/>
      <c r="E316" s="1"/>
      <c r="F316" s="20">
        <f t="shared" si="47"/>
        <v>0</v>
      </c>
      <c r="G316" s="20">
        <f t="shared" si="48"/>
        <v>0</v>
      </c>
      <c r="H316" s="20">
        <f t="shared" si="49"/>
        <v>0</v>
      </c>
      <c r="I316" s="20" t="b">
        <f t="shared" si="50"/>
        <v>1</v>
      </c>
      <c r="J316" s="20"/>
      <c r="K316" s="20"/>
    </row>
    <row r="317" spans="1:11" ht="15.5" x14ac:dyDescent="0.35">
      <c r="A317" s="3" t="s">
        <v>87</v>
      </c>
      <c r="B317" s="1">
        <v>11</v>
      </c>
      <c r="C317" s="20">
        <v>18500</v>
      </c>
      <c r="D317" s="1">
        <v>5</v>
      </c>
      <c r="E317" s="1">
        <v>6</v>
      </c>
      <c r="F317" s="20">
        <f t="shared" si="47"/>
        <v>203500</v>
      </c>
      <c r="G317" s="20">
        <f t="shared" si="48"/>
        <v>92500</v>
      </c>
      <c r="H317" s="20">
        <f t="shared" si="49"/>
        <v>111000</v>
      </c>
      <c r="I317" s="20" t="b">
        <f t="shared" si="50"/>
        <v>1</v>
      </c>
      <c r="J317" s="20"/>
      <c r="K317" s="20"/>
    </row>
    <row r="318" spans="1:11" ht="15.5" x14ac:dyDescent="0.35">
      <c r="A318" s="3" t="s">
        <v>88</v>
      </c>
      <c r="B318" s="1">
        <v>8</v>
      </c>
      <c r="C318" s="20">
        <v>18500</v>
      </c>
      <c r="D318" s="1">
        <v>3</v>
      </c>
      <c r="E318" s="1">
        <v>5</v>
      </c>
      <c r="F318" s="20">
        <f t="shared" si="47"/>
        <v>148000</v>
      </c>
      <c r="G318" s="20">
        <f t="shared" si="48"/>
        <v>55500</v>
      </c>
      <c r="H318" s="20">
        <f t="shared" si="49"/>
        <v>92500</v>
      </c>
      <c r="I318" s="20" t="b">
        <f t="shared" si="50"/>
        <v>1</v>
      </c>
      <c r="J318" s="20"/>
      <c r="K318" s="20"/>
    </row>
    <row r="319" spans="1:11" ht="15.5" x14ac:dyDescent="0.35">
      <c r="A319" s="19" t="s">
        <v>89</v>
      </c>
      <c r="B319" s="1"/>
      <c r="C319" s="20"/>
      <c r="D319" s="1"/>
      <c r="E319" s="1"/>
      <c r="F319" s="20"/>
      <c r="G319" s="20"/>
      <c r="H319" s="20">
        <f t="shared" si="49"/>
        <v>0</v>
      </c>
      <c r="I319" s="20" t="b">
        <f t="shared" si="50"/>
        <v>1</v>
      </c>
      <c r="J319" s="20"/>
      <c r="K319" s="20"/>
    </row>
    <row r="320" spans="1:11" ht="15.5" x14ac:dyDescent="0.35">
      <c r="A320" s="3" t="s">
        <v>92</v>
      </c>
      <c r="B320" s="1"/>
      <c r="C320" s="20">
        <v>21500</v>
      </c>
      <c r="D320" s="1"/>
      <c r="E320" s="1"/>
      <c r="F320" s="20">
        <f t="shared" ref="F320:F322" si="51">C320*B320</f>
        <v>0</v>
      </c>
      <c r="G320" s="20">
        <f t="shared" ref="G320:G322" si="52">D320*C320</f>
        <v>0</v>
      </c>
      <c r="H320" s="20">
        <f t="shared" si="49"/>
        <v>0</v>
      </c>
      <c r="I320" s="20" t="b">
        <f t="shared" si="50"/>
        <v>1</v>
      </c>
      <c r="J320" s="20"/>
      <c r="K320" s="20"/>
    </row>
    <row r="321" spans="1:11" ht="15.5" x14ac:dyDescent="0.35">
      <c r="A321" s="3" t="s">
        <v>93</v>
      </c>
      <c r="B321" s="1">
        <v>23</v>
      </c>
      <c r="C321" s="20">
        <v>21500</v>
      </c>
      <c r="D321" s="1">
        <v>11</v>
      </c>
      <c r="E321" s="1">
        <v>12</v>
      </c>
      <c r="F321" s="20">
        <f t="shared" si="51"/>
        <v>494500</v>
      </c>
      <c r="G321" s="20">
        <f t="shared" si="52"/>
        <v>236500</v>
      </c>
      <c r="H321" s="20">
        <f t="shared" si="49"/>
        <v>258000</v>
      </c>
      <c r="I321" s="20" t="b">
        <f t="shared" si="50"/>
        <v>1</v>
      </c>
      <c r="J321" s="20"/>
      <c r="K321" s="20"/>
    </row>
    <row r="322" spans="1:11" ht="15.5" x14ac:dyDescent="0.35">
      <c r="A322" s="3" t="s">
        <v>94</v>
      </c>
      <c r="B322" s="1">
        <v>36</v>
      </c>
      <c r="C322" s="20">
        <v>21500</v>
      </c>
      <c r="D322" s="1">
        <v>19</v>
      </c>
      <c r="E322" s="1">
        <v>17</v>
      </c>
      <c r="F322" s="20">
        <f t="shared" si="51"/>
        <v>774000</v>
      </c>
      <c r="G322" s="20">
        <f t="shared" si="52"/>
        <v>408500</v>
      </c>
      <c r="H322" s="20">
        <f t="shared" si="49"/>
        <v>365500</v>
      </c>
      <c r="I322" s="20" t="b">
        <f t="shared" si="50"/>
        <v>1</v>
      </c>
      <c r="J322" s="20"/>
      <c r="K322" s="20"/>
    </row>
    <row r="323" spans="1:11" ht="15.5" x14ac:dyDescent="0.35">
      <c r="A323" s="19"/>
      <c r="B323" s="22">
        <f>SUM(B306:B322)</f>
        <v>361</v>
      </c>
      <c r="C323" s="20"/>
      <c r="D323" s="1"/>
      <c r="E323" s="1"/>
      <c r="F323" s="23">
        <f>SUM(F306:F322)</f>
        <v>6637500</v>
      </c>
      <c r="G323" s="23">
        <f>SUM(G306:G322)</f>
        <v>3310500</v>
      </c>
      <c r="H323" s="23">
        <f>SUM(H306:H322)</f>
        <v>3327000</v>
      </c>
      <c r="I323" s="23"/>
      <c r="J323" s="23">
        <f>SUM(J306:J322)</f>
        <v>1120000</v>
      </c>
      <c r="K323" s="23">
        <f>H323-J323</f>
        <v>2207000</v>
      </c>
    </row>
    <row r="324" spans="1:11" ht="15.5" x14ac:dyDescent="0.35">
      <c r="A324" s="19" t="s">
        <v>95</v>
      </c>
      <c r="B324" s="1"/>
      <c r="C324" s="20"/>
      <c r="D324" s="1"/>
      <c r="E324" s="1"/>
      <c r="F324" s="20"/>
      <c r="G324" s="20"/>
      <c r="H324" s="20" t="s">
        <v>192</v>
      </c>
      <c r="I324" s="20"/>
      <c r="J324" s="20"/>
      <c r="K324" s="20"/>
    </row>
    <row r="325" spans="1:11" ht="15.5" x14ac:dyDescent="0.35">
      <c r="A325" s="3" t="s">
        <v>96</v>
      </c>
      <c r="B325" s="1"/>
      <c r="C325" s="20">
        <v>3000</v>
      </c>
      <c r="D325" s="1"/>
      <c r="E325" s="20"/>
      <c r="F325" s="20">
        <f t="shared" ref="F325:F328" si="53">C325*B325</f>
        <v>0</v>
      </c>
      <c r="G325" s="20"/>
      <c r="H325" s="20"/>
      <c r="I325" s="20"/>
      <c r="J325" s="20"/>
      <c r="K325" s="20"/>
    </row>
    <row r="326" spans="1:11" ht="15.5" x14ac:dyDescent="0.35">
      <c r="A326" s="3" t="s">
        <v>97</v>
      </c>
      <c r="B326" s="1"/>
      <c r="C326" s="20">
        <v>2500</v>
      </c>
      <c r="D326" s="1"/>
      <c r="E326" s="1"/>
      <c r="F326" s="20">
        <f t="shared" si="53"/>
        <v>0</v>
      </c>
      <c r="G326" s="20"/>
      <c r="H326" s="20"/>
      <c r="I326" s="20"/>
      <c r="J326" s="20"/>
      <c r="K326" s="20"/>
    </row>
    <row r="327" spans="1:11" ht="15.5" x14ac:dyDescent="0.35">
      <c r="A327" s="3" t="s">
        <v>98</v>
      </c>
      <c r="B327" s="1"/>
      <c r="C327" s="20">
        <v>1800</v>
      </c>
      <c r="D327" s="1"/>
      <c r="E327" s="1"/>
      <c r="F327" s="20">
        <f t="shared" si="53"/>
        <v>0</v>
      </c>
      <c r="G327" s="20"/>
      <c r="H327" s="20"/>
      <c r="I327" s="20"/>
      <c r="J327" s="20"/>
      <c r="K327" s="20"/>
    </row>
    <row r="328" spans="1:11" ht="15.5" x14ac:dyDescent="0.35">
      <c r="A328" s="3" t="s">
        <v>99</v>
      </c>
      <c r="B328" s="1"/>
      <c r="C328" s="20">
        <v>3500</v>
      </c>
      <c r="D328" s="1"/>
      <c r="E328" s="1"/>
      <c r="F328" s="20">
        <f t="shared" si="53"/>
        <v>0</v>
      </c>
      <c r="G328" s="20"/>
      <c r="H328" s="20"/>
      <c r="I328" s="20"/>
      <c r="J328" s="20"/>
      <c r="K328" s="20"/>
    </row>
    <row r="329" spans="1:11" ht="15.5" x14ac:dyDescent="0.35">
      <c r="A329" s="18"/>
      <c r="F329" s="21"/>
    </row>
    <row r="330" spans="1:11" ht="15.5" x14ac:dyDescent="0.35">
      <c r="A330" s="24" t="s">
        <v>108</v>
      </c>
      <c r="K330" s="21"/>
    </row>
    <row r="331" spans="1:11" ht="15.5" x14ac:dyDescent="0.35">
      <c r="A331" s="18" t="s">
        <v>114</v>
      </c>
      <c r="B331" s="67">
        <v>45000</v>
      </c>
    </row>
    <row r="332" spans="1:11" ht="15.5" x14ac:dyDescent="0.35">
      <c r="A332" s="18" t="s">
        <v>112</v>
      </c>
      <c r="B332" s="67">
        <v>45000</v>
      </c>
    </row>
    <row r="333" spans="1:11" ht="15.5" x14ac:dyDescent="0.35">
      <c r="A333" s="18" t="s">
        <v>309</v>
      </c>
      <c r="B333" s="67">
        <v>60000</v>
      </c>
    </row>
    <row r="334" spans="1:11" ht="15.5" x14ac:dyDescent="0.35">
      <c r="A334" s="18" t="s">
        <v>110</v>
      </c>
      <c r="B334" s="67">
        <v>45000</v>
      </c>
    </row>
    <row r="335" spans="1:11" ht="15.5" x14ac:dyDescent="0.35">
      <c r="A335" s="18" t="s">
        <v>111</v>
      </c>
      <c r="B335" s="67"/>
      <c r="C335" t="s">
        <v>255</v>
      </c>
    </row>
    <row r="336" spans="1:11" ht="15.5" x14ac:dyDescent="0.35">
      <c r="A336" s="18" t="s">
        <v>196</v>
      </c>
      <c r="B336" s="67">
        <v>45000</v>
      </c>
    </row>
    <row r="337" spans="1:11" ht="15.5" x14ac:dyDescent="0.35">
      <c r="A337" s="18" t="s">
        <v>113</v>
      </c>
      <c r="B337" s="67">
        <v>45000</v>
      </c>
    </row>
    <row r="338" spans="1:11" ht="15.5" x14ac:dyDescent="0.35">
      <c r="A338" s="18" t="s">
        <v>209</v>
      </c>
      <c r="B338" s="67">
        <v>45000</v>
      </c>
    </row>
    <row r="339" spans="1:11" ht="15.5" x14ac:dyDescent="0.35">
      <c r="A339" s="18" t="s">
        <v>115</v>
      </c>
      <c r="B339" s="67">
        <v>60000</v>
      </c>
    </row>
    <row r="340" spans="1:11" ht="15.5" x14ac:dyDescent="0.35">
      <c r="A340" s="18" t="s">
        <v>109</v>
      </c>
      <c r="B340" s="67">
        <v>45000</v>
      </c>
    </row>
    <row r="341" spans="1:11" ht="15.5" x14ac:dyDescent="0.35">
      <c r="A341" s="24" t="s">
        <v>4</v>
      </c>
      <c r="B341" s="75">
        <f>SUM(B331:B340)</f>
        <v>435000</v>
      </c>
    </row>
    <row r="344" spans="1:11" ht="18.5" x14ac:dyDescent="0.45">
      <c r="A344" s="150" t="s">
        <v>1</v>
      </c>
      <c r="B344" s="150"/>
      <c r="C344" s="150"/>
      <c r="D344" s="150"/>
      <c r="E344" s="150"/>
      <c r="F344" s="150"/>
      <c r="G344" s="150"/>
      <c r="H344" s="150"/>
      <c r="I344" s="150"/>
      <c r="J344" s="150"/>
      <c r="K344" s="150"/>
    </row>
    <row r="345" spans="1:11" ht="18.5" x14ac:dyDescent="0.45">
      <c r="A345" s="150" t="s">
        <v>74</v>
      </c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</row>
    <row r="346" spans="1:11" ht="18.5" x14ac:dyDescent="0.45">
      <c r="A346" s="149">
        <v>46064</v>
      </c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</row>
    <row r="347" spans="1:11" ht="18.5" x14ac:dyDescent="0.45">
      <c r="A347" s="150"/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</row>
    <row r="348" spans="1:11" ht="18.5" x14ac:dyDescent="0.45">
      <c r="A348" s="2" t="s">
        <v>75</v>
      </c>
      <c r="B348" s="2" t="s">
        <v>3</v>
      </c>
      <c r="C348" s="2" t="s">
        <v>100</v>
      </c>
      <c r="D348" s="2" t="s">
        <v>90</v>
      </c>
      <c r="E348" s="2" t="s">
        <v>91</v>
      </c>
      <c r="F348" s="2" t="s">
        <v>4</v>
      </c>
      <c r="G348" s="2" t="s">
        <v>101</v>
      </c>
      <c r="H348" s="2" t="s">
        <v>104</v>
      </c>
      <c r="I348" s="2"/>
      <c r="J348" s="2" t="s">
        <v>105</v>
      </c>
      <c r="K348" s="2" t="s">
        <v>106</v>
      </c>
    </row>
    <row r="349" spans="1:11" ht="15.5" x14ac:dyDescent="0.35">
      <c r="A349" s="3" t="s">
        <v>76</v>
      </c>
      <c r="B349" s="1">
        <v>99</v>
      </c>
      <c r="C349" s="20">
        <v>17500</v>
      </c>
      <c r="D349" s="1">
        <v>35</v>
      </c>
      <c r="E349" s="1">
        <v>64</v>
      </c>
      <c r="F349" s="20">
        <f>C349*B349</f>
        <v>1732500</v>
      </c>
      <c r="G349" s="20">
        <f>D349*C349</f>
        <v>612500</v>
      </c>
      <c r="H349" s="20">
        <f>E349*C349</f>
        <v>1120000</v>
      </c>
      <c r="I349" s="20" t="b">
        <f>D349+E349=B349</f>
        <v>1</v>
      </c>
      <c r="J349" s="20">
        <f>B384</f>
        <v>435000</v>
      </c>
      <c r="K349" s="20" t="s">
        <v>117</v>
      </c>
    </row>
    <row r="350" spans="1:11" ht="15.5" x14ac:dyDescent="0.35">
      <c r="A350" s="3" t="s">
        <v>77</v>
      </c>
      <c r="B350" s="1">
        <v>11</v>
      </c>
      <c r="C350" s="20">
        <v>16000</v>
      </c>
      <c r="D350" s="1">
        <v>5</v>
      </c>
      <c r="E350" s="1">
        <v>6</v>
      </c>
      <c r="F350" s="20">
        <f t="shared" ref="F350:F361" si="54">C350*B350</f>
        <v>176000</v>
      </c>
      <c r="G350" s="20">
        <f t="shared" ref="G350:G361" si="55">D350*C350</f>
        <v>80000</v>
      </c>
      <c r="H350" s="20">
        <f t="shared" ref="H350:H365" si="56">E350*C350</f>
        <v>96000</v>
      </c>
      <c r="I350" s="20" t="b">
        <f t="shared" ref="I350:I365" si="57">D350+E350=B350</f>
        <v>1</v>
      </c>
      <c r="J350" s="20">
        <v>15000</v>
      </c>
      <c r="K350" s="20" t="s">
        <v>191</v>
      </c>
    </row>
    <row r="351" spans="1:11" ht="15.5" x14ac:dyDescent="0.35">
      <c r="A351" s="3" t="s">
        <v>78</v>
      </c>
      <c r="B351" s="1">
        <v>42</v>
      </c>
      <c r="C351" s="20">
        <v>17500</v>
      </c>
      <c r="D351" s="1">
        <v>20</v>
      </c>
      <c r="E351" s="1">
        <v>22</v>
      </c>
      <c r="F351" s="20">
        <f t="shared" si="54"/>
        <v>735000</v>
      </c>
      <c r="G351" s="20">
        <f t="shared" si="55"/>
        <v>350000</v>
      </c>
      <c r="H351" s="20">
        <f t="shared" si="56"/>
        <v>385000</v>
      </c>
      <c r="I351" s="20" t="b">
        <f t="shared" si="57"/>
        <v>1</v>
      </c>
      <c r="J351" s="20">
        <v>360000</v>
      </c>
      <c r="K351" s="20" t="s">
        <v>107</v>
      </c>
    </row>
    <row r="352" spans="1:11" ht="15.5" x14ac:dyDescent="0.35">
      <c r="A352" s="3" t="s">
        <v>79</v>
      </c>
      <c r="B352" s="1"/>
      <c r="C352" s="20">
        <v>18500</v>
      </c>
      <c r="D352" s="1"/>
      <c r="E352" s="1"/>
      <c r="F352" s="20">
        <f t="shared" si="54"/>
        <v>0</v>
      </c>
      <c r="G352" s="20">
        <f t="shared" si="55"/>
        <v>0</v>
      </c>
      <c r="H352" s="20">
        <f t="shared" si="56"/>
        <v>0</v>
      </c>
      <c r="I352" s="20" t="b">
        <f t="shared" si="57"/>
        <v>1</v>
      </c>
      <c r="J352" s="20">
        <v>30000</v>
      </c>
      <c r="K352" s="20" t="s">
        <v>302</v>
      </c>
    </row>
    <row r="353" spans="1:11" ht="15.5" x14ac:dyDescent="0.35">
      <c r="A353" s="3" t="s">
        <v>80</v>
      </c>
      <c r="B353" s="1">
        <v>41</v>
      </c>
      <c r="C353" s="20">
        <v>18500</v>
      </c>
      <c r="D353" s="1">
        <v>17</v>
      </c>
      <c r="E353" s="1">
        <v>24</v>
      </c>
      <c r="F353" s="20">
        <f t="shared" si="54"/>
        <v>758500</v>
      </c>
      <c r="G353" s="20">
        <f t="shared" si="55"/>
        <v>314500</v>
      </c>
      <c r="H353" s="20">
        <f t="shared" si="56"/>
        <v>444000</v>
      </c>
      <c r="I353" s="20" t="b">
        <f t="shared" si="57"/>
        <v>1</v>
      </c>
      <c r="J353" s="20"/>
      <c r="K353" s="20"/>
    </row>
    <row r="354" spans="1:11" ht="15.5" x14ac:dyDescent="0.35">
      <c r="A354" s="3" t="s">
        <v>81</v>
      </c>
      <c r="B354" s="1"/>
      <c r="C354" s="20">
        <v>23000</v>
      </c>
      <c r="D354" s="1"/>
      <c r="E354" s="1"/>
      <c r="F354" s="20">
        <f t="shared" si="54"/>
        <v>0</v>
      </c>
      <c r="G354" s="20">
        <f t="shared" si="55"/>
        <v>0</v>
      </c>
      <c r="H354" s="20">
        <f t="shared" si="56"/>
        <v>0</v>
      </c>
      <c r="I354" s="20" t="b">
        <f t="shared" si="57"/>
        <v>1</v>
      </c>
      <c r="J354" s="20"/>
      <c r="K354" s="20"/>
    </row>
    <row r="355" spans="1:11" ht="15.5" x14ac:dyDescent="0.35">
      <c r="A355" s="3" t="s">
        <v>82</v>
      </c>
      <c r="B355" s="1"/>
      <c r="C355" s="20">
        <v>18000</v>
      </c>
      <c r="D355" s="1"/>
      <c r="E355" s="1"/>
      <c r="F355" s="20">
        <f t="shared" si="54"/>
        <v>0</v>
      </c>
      <c r="G355" s="20">
        <f t="shared" si="55"/>
        <v>0</v>
      </c>
      <c r="H355" s="20">
        <f t="shared" si="56"/>
        <v>0</v>
      </c>
      <c r="I355" s="20" t="b">
        <f t="shared" si="57"/>
        <v>1</v>
      </c>
      <c r="J355" s="20"/>
      <c r="K355" s="20"/>
    </row>
    <row r="356" spans="1:11" ht="15.5" x14ac:dyDescent="0.35">
      <c r="A356" s="3" t="s">
        <v>83</v>
      </c>
      <c r="B356" s="1">
        <v>22</v>
      </c>
      <c r="C356" s="20">
        <v>18000</v>
      </c>
      <c r="D356" s="1">
        <v>10</v>
      </c>
      <c r="E356" s="1">
        <v>12</v>
      </c>
      <c r="F356" s="20">
        <f t="shared" si="54"/>
        <v>396000</v>
      </c>
      <c r="G356" s="20">
        <f t="shared" si="55"/>
        <v>180000</v>
      </c>
      <c r="H356" s="20">
        <f t="shared" si="56"/>
        <v>216000</v>
      </c>
      <c r="I356" s="20" t="b">
        <f t="shared" si="57"/>
        <v>1</v>
      </c>
      <c r="J356" s="20"/>
      <c r="K356" s="20"/>
    </row>
    <row r="357" spans="1:11" ht="15.5" x14ac:dyDescent="0.35">
      <c r="A357" s="3" t="s">
        <v>84</v>
      </c>
      <c r="B357" s="1"/>
      <c r="C357" s="20">
        <v>18500</v>
      </c>
      <c r="D357" s="1"/>
      <c r="E357" s="1"/>
      <c r="F357" s="20">
        <f t="shared" si="54"/>
        <v>0</v>
      </c>
      <c r="G357" s="20">
        <f t="shared" si="55"/>
        <v>0</v>
      </c>
      <c r="H357" s="20">
        <f t="shared" si="56"/>
        <v>0</v>
      </c>
      <c r="I357" s="20" t="b">
        <f t="shared" si="57"/>
        <v>1</v>
      </c>
      <c r="J357" s="20"/>
      <c r="K357" s="20"/>
    </row>
    <row r="358" spans="1:11" ht="15.5" x14ac:dyDescent="0.35">
      <c r="A358" s="3" t="s">
        <v>85</v>
      </c>
      <c r="B358" s="1"/>
      <c r="C358" s="20">
        <v>18500</v>
      </c>
      <c r="D358" s="1"/>
      <c r="E358" s="1"/>
      <c r="F358" s="20">
        <f t="shared" si="54"/>
        <v>0</v>
      </c>
      <c r="G358" s="20">
        <f t="shared" si="55"/>
        <v>0</v>
      </c>
      <c r="H358" s="20">
        <f t="shared" si="56"/>
        <v>0</v>
      </c>
      <c r="I358" s="20" t="b">
        <f t="shared" si="57"/>
        <v>1</v>
      </c>
      <c r="J358" s="20"/>
      <c r="K358" s="20"/>
    </row>
    <row r="359" spans="1:11" ht="15.5" x14ac:dyDescent="0.35">
      <c r="A359" s="3" t="s">
        <v>86</v>
      </c>
      <c r="B359" s="1">
        <v>7</v>
      </c>
      <c r="C359" s="20">
        <v>18500</v>
      </c>
      <c r="D359" s="1">
        <v>4</v>
      </c>
      <c r="E359" s="1">
        <v>3</v>
      </c>
      <c r="F359" s="20">
        <f t="shared" si="54"/>
        <v>129500</v>
      </c>
      <c r="G359" s="20">
        <f t="shared" si="55"/>
        <v>74000</v>
      </c>
      <c r="H359" s="20">
        <f t="shared" si="56"/>
        <v>55500</v>
      </c>
      <c r="I359" s="20" t="b">
        <f t="shared" si="57"/>
        <v>1</v>
      </c>
      <c r="J359" s="20"/>
      <c r="K359" s="20"/>
    </row>
    <row r="360" spans="1:11" ht="15.5" x14ac:dyDescent="0.35">
      <c r="A360" s="3" t="s">
        <v>87</v>
      </c>
      <c r="B360" s="1"/>
      <c r="C360" s="20">
        <v>18500</v>
      </c>
      <c r="D360" s="1"/>
      <c r="E360" s="1"/>
      <c r="F360" s="20">
        <f t="shared" si="54"/>
        <v>0</v>
      </c>
      <c r="G360" s="20">
        <f t="shared" si="55"/>
        <v>0</v>
      </c>
      <c r="H360" s="20">
        <f t="shared" si="56"/>
        <v>0</v>
      </c>
      <c r="I360" s="20" t="b">
        <f t="shared" si="57"/>
        <v>1</v>
      </c>
      <c r="J360" s="20"/>
      <c r="K360" s="20"/>
    </row>
    <row r="361" spans="1:11" ht="15.5" x14ac:dyDescent="0.35">
      <c r="A361" s="3" t="s">
        <v>88</v>
      </c>
      <c r="B361" s="1">
        <v>5</v>
      </c>
      <c r="C361" s="20">
        <v>18500</v>
      </c>
      <c r="D361" s="1">
        <v>2</v>
      </c>
      <c r="E361" s="1">
        <v>3</v>
      </c>
      <c r="F361" s="20">
        <f t="shared" si="54"/>
        <v>92500</v>
      </c>
      <c r="G361" s="20">
        <f t="shared" si="55"/>
        <v>37000</v>
      </c>
      <c r="H361" s="20">
        <f t="shared" si="56"/>
        <v>55500</v>
      </c>
      <c r="I361" s="20" t="b">
        <f t="shared" si="57"/>
        <v>1</v>
      </c>
      <c r="J361" s="20"/>
      <c r="K361" s="20"/>
    </row>
    <row r="362" spans="1:11" ht="15.5" x14ac:dyDescent="0.35">
      <c r="A362" s="19" t="s">
        <v>89</v>
      </c>
      <c r="B362" s="1"/>
      <c r="C362" s="20"/>
      <c r="D362" s="1"/>
      <c r="E362" s="1"/>
      <c r="F362" s="20"/>
      <c r="G362" s="20"/>
      <c r="H362" s="20">
        <f t="shared" si="56"/>
        <v>0</v>
      </c>
      <c r="I362" s="20" t="b">
        <f t="shared" si="57"/>
        <v>1</v>
      </c>
      <c r="J362" s="20"/>
      <c r="K362" s="20"/>
    </row>
    <row r="363" spans="1:11" ht="15.5" x14ac:dyDescent="0.35">
      <c r="A363" s="3" t="s">
        <v>92</v>
      </c>
      <c r="B363" s="1">
        <v>27</v>
      </c>
      <c r="C363" s="20">
        <v>21500</v>
      </c>
      <c r="D363" s="1">
        <v>5</v>
      </c>
      <c r="E363" s="1">
        <v>22</v>
      </c>
      <c r="F363" s="20">
        <f t="shared" ref="F363:F365" si="58">C363*B363</f>
        <v>580500</v>
      </c>
      <c r="G363" s="20">
        <f t="shared" ref="G363:G365" si="59">D363*C363</f>
        <v>107500</v>
      </c>
      <c r="H363" s="20">
        <f t="shared" si="56"/>
        <v>473000</v>
      </c>
      <c r="I363" s="20" t="b">
        <f t="shared" si="57"/>
        <v>1</v>
      </c>
      <c r="J363" s="20"/>
      <c r="K363" s="20"/>
    </row>
    <row r="364" spans="1:11" ht="15.5" x14ac:dyDescent="0.35">
      <c r="A364" s="3" t="s">
        <v>93</v>
      </c>
      <c r="B364" s="1">
        <v>7</v>
      </c>
      <c r="C364" s="20">
        <v>21500</v>
      </c>
      <c r="D364" s="1">
        <v>3</v>
      </c>
      <c r="E364" s="1">
        <v>4</v>
      </c>
      <c r="F364" s="20">
        <f t="shared" si="58"/>
        <v>150500</v>
      </c>
      <c r="G364" s="20">
        <f t="shared" si="59"/>
        <v>64500</v>
      </c>
      <c r="H364" s="20">
        <f t="shared" si="56"/>
        <v>86000</v>
      </c>
      <c r="I364" s="20" t="b">
        <f t="shared" si="57"/>
        <v>1</v>
      </c>
      <c r="J364" s="20"/>
      <c r="K364" s="20"/>
    </row>
    <row r="365" spans="1:11" ht="15.5" x14ac:dyDescent="0.35">
      <c r="A365" s="3" t="s">
        <v>94</v>
      </c>
      <c r="B365" s="1">
        <v>41</v>
      </c>
      <c r="C365" s="20">
        <v>21500</v>
      </c>
      <c r="D365" s="1">
        <v>17</v>
      </c>
      <c r="E365" s="1">
        <v>24</v>
      </c>
      <c r="F365" s="20">
        <f t="shared" si="58"/>
        <v>881500</v>
      </c>
      <c r="G365" s="20">
        <f t="shared" si="59"/>
        <v>365500</v>
      </c>
      <c r="H365" s="20">
        <f t="shared" si="56"/>
        <v>516000</v>
      </c>
      <c r="I365" s="20" t="b">
        <f t="shared" si="57"/>
        <v>1</v>
      </c>
      <c r="J365" s="20"/>
      <c r="K365" s="20"/>
    </row>
    <row r="366" spans="1:11" ht="15.5" x14ac:dyDescent="0.35">
      <c r="A366" s="19"/>
      <c r="B366" s="22">
        <f>SUM(B349:B365)</f>
        <v>302</v>
      </c>
      <c r="C366" s="20"/>
      <c r="D366" s="1"/>
      <c r="E366" s="1"/>
      <c r="F366" s="23">
        <f>SUM(F349:F365)</f>
        <v>5632500</v>
      </c>
      <c r="G366" s="23">
        <f>SUM(G349:G365)</f>
        <v>2185500</v>
      </c>
      <c r="H366" s="23">
        <f>SUM(H349:H365)</f>
        <v>3447000</v>
      </c>
      <c r="I366" s="23"/>
      <c r="J366" s="23">
        <f>SUM(J349:J365)</f>
        <v>840000</v>
      </c>
      <c r="K366" s="23">
        <f>H366-J366</f>
        <v>2607000</v>
      </c>
    </row>
    <row r="367" spans="1:11" ht="15.5" x14ac:dyDescent="0.35">
      <c r="A367" s="19" t="s">
        <v>95</v>
      </c>
      <c r="B367" s="1"/>
      <c r="C367" s="20"/>
      <c r="D367" s="1"/>
      <c r="E367" s="1"/>
      <c r="F367" s="20"/>
      <c r="G367" s="20"/>
      <c r="H367" s="20" t="s">
        <v>192</v>
      </c>
      <c r="I367" s="20"/>
      <c r="J367" s="20"/>
      <c r="K367" s="20"/>
    </row>
    <row r="368" spans="1:11" ht="15.5" x14ac:dyDescent="0.35">
      <c r="A368" s="3" t="s">
        <v>96</v>
      </c>
      <c r="B368" s="1"/>
      <c r="C368" s="20">
        <v>3000</v>
      </c>
      <c r="D368" s="1"/>
      <c r="E368" s="20"/>
      <c r="F368" s="20">
        <f t="shared" ref="F368:F371" si="60">C368*B368</f>
        <v>0</v>
      </c>
      <c r="G368" s="20"/>
      <c r="H368" s="20"/>
      <c r="I368" s="20"/>
      <c r="J368" s="20"/>
      <c r="K368" s="20"/>
    </row>
    <row r="369" spans="1:11" ht="15.5" x14ac:dyDescent="0.35">
      <c r="A369" s="3" t="s">
        <v>97</v>
      </c>
      <c r="B369" s="1"/>
      <c r="C369" s="20">
        <v>2500</v>
      </c>
      <c r="D369" s="1"/>
      <c r="E369" s="1"/>
      <c r="F369" s="20">
        <f t="shared" si="60"/>
        <v>0</v>
      </c>
      <c r="G369" s="20"/>
      <c r="H369" s="20"/>
      <c r="I369" s="20"/>
      <c r="J369" s="20"/>
      <c r="K369" s="20"/>
    </row>
    <row r="370" spans="1:11" ht="15.5" x14ac:dyDescent="0.35">
      <c r="A370" s="3" t="s">
        <v>98</v>
      </c>
      <c r="B370" s="1"/>
      <c r="C370" s="20">
        <v>1800</v>
      </c>
      <c r="D370" s="1"/>
      <c r="E370" s="1"/>
      <c r="F370" s="20">
        <f t="shared" si="60"/>
        <v>0</v>
      </c>
      <c r="G370" s="20"/>
      <c r="H370" s="20"/>
      <c r="I370" s="20"/>
      <c r="J370" s="20"/>
      <c r="K370" s="20"/>
    </row>
    <row r="371" spans="1:11" ht="15.5" x14ac:dyDescent="0.35">
      <c r="A371" s="3" t="s">
        <v>99</v>
      </c>
      <c r="B371" s="1"/>
      <c r="C371" s="20">
        <v>3500</v>
      </c>
      <c r="D371" s="1"/>
      <c r="E371" s="1"/>
      <c r="F371" s="20">
        <f t="shared" si="60"/>
        <v>0</v>
      </c>
      <c r="G371" s="20"/>
      <c r="H371" s="20"/>
      <c r="I371" s="20"/>
      <c r="J371" s="20"/>
      <c r="K371" s="20"/>
    </row>
    <row r="372" spans="1:11" ht="15.5" x14ac:dyDescent="0.35">
      <c r="A372" s="18"/>
      <c r="F372" s="21"/>
    </row>
    <row r="373" spans="1:11" ht="15.5" x14ac:dyDescent="0.35">
      <c r="A373" s="24" t="s">
        <v>108</v>
      </c>
      <c r="K373" s="21"/>
    </row>
    <row r="374" spans="1:11" ht="15.5" x14ac:dyDescent="0.35">
      <c r="A374" s="18" t="s">
        <v>114</v>
      </c>
      <c r="B374" s="67">
        <v>45000</v>
      </c>
    </row>
    <row r="375" spans="1:11" ht="15.5" x14ac:dyDescent="0.35">
      <c r="A375" s="18" t="s">
        <v>112</v>
      </c>
      <c r="B375" s="67"/>
      <c r="C375" t="s">
        <v>307</v>
      </c>
    </row>
    <row r="376" spans="1:11" ht="15.5" x14ac:dyDescent="0.35">
      <c r="A376" s="18" t="s">
        <v>309</v>
      </c>
      <c r="B376" s="67">
        <v>60000</v>
      </c>
    </row>
    <row r="377" spans="1:11" ht="15.5" x14ac:dyDescent="0.35">
      <c r="A377" s="18" t="s">
        <v>110</v>
      </c>
      <c r="B377" s="67">
        <v>45000</v>
      </c>
    </row>
    <row r="378" spans="1:11" ht="15.5" x14ac:dyDescent="0.35">
      <c r="A378" s="18" t="s">
        <v>111</v>
      </c>
      <c r="B378" s="67">
        <v>45000</v>
      </c>
    </row>
    <row r="379" spans="1:11" ht="15.5" x14ac:dyDescent="0.35">
      <c r="A379" s="18" t="s">
        <v>196</v>
      </c>
      <c r="B379" s="67">
        <v>45000</v>
      </c>
    </row>
    <row r="380" spans="1:11" ht="15.5" x14ac:dyDescent="0.35">
      <c r="A380" s="18" t="s">
        <v>113</v>
      </c>
      <c r="B380" s="67">
        <v>45000</v>
      </c>
    </row>
    <row r="381" spans="1:11" ht="15.5" x14ac:dyDescent="0.35">
      <c r="A381" s="18" t="s">
        <v>209</v>
      </c>
      <c r="B381" s="67">
        <v>45000</v>
      </c>
    </row>
    <row r="382" spans="1:11" ht="15.5" x14ac:dyDescent="0.35">
      <c r="A382" s="18" t="s">
        <v>115</v>
      </c>
      <c r="B382" s="67">
        <v>60000</v>
      </c>
    </row>
    <row r="383" spans="1:11" ht="15.5" x14ac:dyDescent="0.35">
      <c r="A383" s="18" t="s">
        <v>109</v>
      </c>
      <c r="B383" s="67">
        <v>45000</v>
      </c>
    </row>
    <row r="384" spans="1:11" ht="15.5" x14ac:dyDescent="0.35">
      <c r="A384" s="24" t="s">
        <v>4</v>
      </c>
      <c r="B384" s="75">
        <f>SUM(B374:B383)</f>
        <v>435000</v>
      </c>
    </row>
    <row r="388" spans="1:11" ht="18.5" x14ac:dyDescent="0.45">
      <c r="A388" s="150" t="s">
        <v>1</v>
      </c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</row>
    <row r="389" spans="1:11" ht="18.5" x14ac:dyDescent="0.45">
      <c r="A389" s="150" t="s">
        <v>74</v>
      </c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</row>
    <row r="390" spans="1:11" ht="18.5" x14ac:dyDescent="0.45">
      <c r="A390" s="149">
        <v>46065</v>
      </c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</row>
    <row r="391" spans="1:11" ht="18.5" x14ac:dyDescent="0.45">
      <c r="A391" s="150"/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</row>
    <row r="392" spans="1:11" ht="18.5" x14ac:dyDescent="0.45">
      <c r="A392" s="2" t="s">
        <v>75</v>
      </c>
      <c r="B392" s="2" t="s">
        <v>3</v>
      </c>
      <c r="C392" s="2" t="s">
        <v>100</v>
      </c>
      <c r="D392" s="2" t="s">
        <v>90</v>
      </c>
      <c r="E392" s="2" t="s">
        <v>91</v>
      </c>
      <c r="F392" s="2" t="s">
        <v>4</v>
      </c>
      <c r="G392" s="2" t="s">
        <v>101</v>
      </c>
      <c r="H392" s="2" t="s">
        <v>104</v>
      </c>
      <c r="I392" s="2"/>
      <c r="J392" s="2" t="s">
        <v>105</v>
      </c>
      <c r="K392" s="2" t="s">
        <v>106</v>
      </c>
    </row>
    <row r="393" spans="1:11" ht="15.5" x14ac:dyDescent="0.35">
      <c r="A393" s="3" t="s">
        <v>76</v>
      </c>
      <c r="B393" s="1">
        <v>115</v>
      </c>
      <c r="C393" s="20">
        <v>17500</v>
      </c>
      <c r="D393" s="1">
        <v>54</v>
      </c>
      <c r="E393" s="1">
        <v>61</v>
      </c>
      <c r="F393" s="20">
        <f>C393*B393</f>
        <v>2012500</v>
      </c>
      <c r="G393" s="20">
        <f>D393*C393</f>
        <v>945000</v>
      </c>
      <c r="H393" s="20">
        <f>E393*C393</f>
        <v>1067500</v>
      </c>
      <c r="I393" s="20" t="b">
        <f>D393+E393=B393</f>
        <v>1</v>
      </c>
      <c r="J393" s="20">
        <f>B428</f>
        <v>480000</v>
      </c>
      <c r="K393" s="20" t="s">
        <v>117</v>
      </c>
    </row>
    <row r="394" spans="1:11" ht="15.5" x14ac:dyDescent="0.35">
      <c r="A394" s="3" t="s">
        <v>77</v>
      </c>
      <c r="B394" s="1">
        <v>14</v>
      </c>
      <c r="C394" s="20">
        <v>16000</v>
      </c>
      <c r="D394" s="1">
        <v>9</v>
      </c>
      <c r="E394" s="1">
        <v>5</v>
      </c>
      <c r="F394" s="20">
        <f t="shared" ref="F394:F405" si="61">C394*B394</f>
        <v>224000</v>
      </c>
      <c r="G394" s="20">
        <f t="shared" ref="G394:G405" si="62">D394*C394</f>
        <v>144000</v>
      </c>
      <c r="H394" s="20">
        <f t="shared" ref="H394:H409" si="63">E394*C394</f>
        <v>80000</v>
      </c>
      <c r="I394" s="20" t="b">
        <f t="shared" ref="I394:I409" si="64">D394+E394=B394</f>
        <v>1</v>
      </c>
      <c r="J394" s="20">
        <v>15000</v>
      </c>
      <c r="K394" s="20" t="s">
        <v>191</v>
      </c>
    </row>
    <row r="395" spans="1:11" ht="15.5" x14ac:dyDescent="0.35">
      <c r="A395" s="3" t="s">
        <v>78</v>
      </c>
      <c r="B395" s="1">
        <v>61</v>
      </c>
      <c r="C395" s="20">
        <v>17500</v>
      </c>
      <c r="D395" s="1">
        <v>18</v>
      </c>
      <c r="E395" s="1">
        <v>43</v>
      </c>
      <c r="F395" s="20">
        <f t="shared" si="61"/>
        <v>1067500</v>
      </c>
      <c r="G395" s="20">
        <f t="shared" si="62"/>
        <v>315000</v>
      </c>
      <c r="H395" s="20">
        <f t="shared" si="63"/>
        <v>752500</v>
      </c>
      <c r="I395" s="20" t="b">
        <f t="shared" si="64"/>
        <v>1</v>
      </c>
      <c r="J395" s="20">
        <v>350000</v>
      </c>
      <c r="K395" s="20" t="s">
        <v>107</v>
      </c>
    </row>
    <row r="396" spans="1:11" ht="15.5" x14ac:dyDescent="0.35">
      <c r="A396" s="3" t="s">
        <v>79</v>
      </c>
      <c r="B396" s="1">
        <v>25</v>
      </c>
      <c r="C396" s="20">
        <v>18500</v>
      </c>
      <c r="D396" s="1">
        <v>10</v>
      </c>
      <c r="E396" s="1">
        <v>15</v>
      </c>
      <c r="F396" s="20">
        <f t="shared" si="61"/>
        <v>462500</v>
      </c>
      <c r="G396" s="20">
        <f t="shared" si="62"/>
        <v>185000</v>
      </c>
      <c r="H396" s="20">
        <f t="shared" si="63"/>
        <v>277500</v>
      </c>
      <c r="I396" s="20" t="b">
        <f t="shared" si="64"/>
        <v>1</v>
      </c>
      <c r="J396" s="20"/>
      <c r="K396" s="20"/>
    </row>
    <row r="397" spans="1:11" ht="15.5" x14ac:dyDescent="0.35">
      <c r="A397" s="3" t="s">
        <v>80</v>
      </c>
      <c r="B397" s="1"/>
      <c r="C397" s="20">
        <v>18500</v>
      </c>
      <c r="D397" s="1"/>
      <c r="E397" s="1"/>
      <c r="F397" s="20">
        <f t="shared" si="61"/>
        <v>0</v>
      </c>
      <c r="G397" s="20">
        <f t="shared" si="62"/>
        <v>0</v>
      </c>
      <c r="H397" s="20">
        <f t="shared" si="63"/>
        <v>0</v>
      </c>
      <c r="I397" s="20" t="b">
        <f t="shared" si="64"/>
        <v>1</v>
      </c>
      <c r="J397" s="20"/>
      <c r="K397" s="20"/>
    </row>
    <row r="398" spans="1:11" ht="15.5" x14ac:dyDescent="0.35">
      <c r="A398" s="3" t="s">
        <v>81</v>
      </c>
      <c r="B398" s="1"/>
      <c r="C398" s="20">
        <v>23000</v>
      </c>
      <c r="D398" s="1"/>
      <c r="E398" s="1"/>
      <c r="F398" s="20">
        <f t="shared" si="61"/>
        <v>0</v>
      </c>
      <c r="G398" s="20">
        <f t="shared" si="62"/>
        <v>0</v>
      </c>
      <c r="H398" s="20">
        <f t="shared" si="63"/>
        <v>0</v>
      </c>
      <c r="I398" s="20" t="b">
        <f t="shared" si="64"/>
        <v>1</v>
      </c>
      <c r="J398" s="20"/>
      <c r="K398" s="20"/>
    </row>
    <row r="399" spans="1:11" ht="15.5" x14ac:dyDescent="0.35">
      <c r="A399" s="3" t="s">
        <v>82</v>
      </c>
      <c r="B399" s="1"/>
      <c r="C399" s="20">
        <v>18000</v>
      </c>
      <c r="D399" s="1"/>
      <c r="E399" s="1"/>
      <c r="F399" s="20">
        <f t="shared" si="61"/>
        <v>0</v>
      </c>
      <c r="G399" s="20">
        <f t="shared" si="62"/>
        <v>0</v>
      </c>
      <c r="H399" s="20">
        <f t="shared" si="63"/>
        <v>0</v>
      </c>
      <c r="I399" s="20" t="b">
        <f t="shared" si="64"/>
        <v>1</v>
      </c>
      <c r="J399" s="20"/>
      <c r="K399" s="20"/>
    </row>
    <row r="400" spans="1:11" ht="15.5" x14ac:dyDescent="0.35">
      <c r="A400" s="3" t="s">
        <v>83</v>
      </c>
      <c r="B400" s="1"/>
      <c r="C400" s="20">
        <v>18000</v>
      </c>
      <c r="D400" s="1"/>
      <c r="E400" s="1"/>
      <c r="F400" s="20">
        <f t="shared" si="61"/>
        <v>0</v>
      </c>
      <c r="G400" s="20">
        <f t="shared" si="62"/>
        <v>0</v>
      </c>
      <c r="H400" s="20">
        <f t="shared" si="63"/>
        <v>0</v>
      </c>
      <c r="I400" s="20" t="b">
        <f t="shared" si="64"/>
        <v>1</v>
      </c>
      <c r="J400" s="20"/>
      <c r="K400" s="20"/>
    </row>
    <row r="401" spans="1:11" ht="15.5" x14ac:dyDescent="0.35">
      <c r="A401" s="3" t="s">
        <v>84</v>
      </c>
      <c r="B401" s="1">
        <v>49</v>
      </c>
      <c r="C401" s="20">
        <v>18500</v>
      </c>
      <c r="D401" s="1">
        <v>12</v>
      </c>
      <c r="E401" s="1">
        <v>37</v>
      </c>
      <c r="F401" s="20">
        <f t="shared" si="61"/>
        <v>906500</v>
      </c>
      <c r="G401" s="20">
        <f t="shared" si="62"/>
        <v>222000</v>
      </c>
      <c r="H401" s="20">
        <f t="shared" si="63"/>
        <v>684500</v>
      </c>
      <c r="I401" s="20" t="b">
        <f t="shared" si="64"/>
        <v>1</v>
      </c>
      <c r="J401" s="20"/>
      <c r="K401" s="20"/>
    </row>
    <row r="402" spans="1:11" ht="15.5" x14ac:dyDescent="0.35">
      <c r="A402" s="3" t="s">
        <v>85</v>
      </c>
      <c r="B402" s="1"/>
      <c r="C402" s="20">
        <v>18500</v>
      </c>
      <c r="D402" s="1"/>
      <c r="E402" s="1"/>
      <c r="F402" s="20">
        <f t="shared" si="61"/>
        <v>0</v>
      </c>
      <c r="G402" s="20">
        <f t="shared" si="62"/>
        <v>0</v>
      </c>
      <c r="H402" s="20">
        <f t="shared" si="63"/>
        <v>0</v>
      </c>
      <c r="I402" s="20" t="b">
        <f t="shared" si="64"/>
        <v>1</v>
      </c>
      <c r="J402" s="20"/>
      <c r="K402" s="20"/>
    </row>
    <row r="403" spans="1:11" ht="15.5" x14ac:dyDescent="0.35">
      <c r="A403" s="3" t="s">
        <v>86</v>
      </c>
      <c r="B403" s="1"/>
      <c r="C403" s="20">
        <v>18500</v>
      </c>
      <c r="D403" s="1"/>
      <c r="E403" s="1"/>
      <c r="F403" s="20">
        <f t="shared" si="61"/>
        <v>0</v>
      </c>
      <c r="G403" s="20">
        <f t="shared" si="62"/>
        <v>0</v>
      </c>
      <c r="H403" s="20">
        <f t="shared" si="63"/>
        <v>0</v>
      </c>
      <c r="I403" s="20" t="b">
        <f t="shared" si="64"/>
        <v>1</v>
      </c>
      <c r="J403" s="20"/>
      <c r="K403" s="20"/>
    </row>
    <row r="404" spans="1:11" ht="15.5" x14ac:dyDescent="0.35">
      <c r="A404" s="3" t="s">
        <v>87</v>
      </c>
      <c r="B404" s="1">
        <v>5</v>
      </c>
      <c r="C404" s="20">
        <v>18500</v>
      </c>
      <c r="D404" s="1">
        <v>2</v>
      </c>
      <c r="E404" s="1">
        <v>3</v>
      </c>
      <c r="F404" s="20">
        <f t="shared" si="61"/>
        <v>92500</v>
      </c>
      <c r="G404" s="20">
        <f t="shared" si="62"/>
        <v>37000</v>
      </c>
      <c r="H404" s="20">
        <f t="shared" si="63"/>
        <v>55500</v>
      </c>
      <c r="I404" s="20" t="b">
        <f t="shared" si="64"/>
        <v>1</v>
      </c>
      <c r="J404" s="20"/>
      <c r="K404" s="20"/>
    </row>
    <row r="405" spans="1:11" ht="15.5" x14ac:dyDescent="0.35">
      <c r="A405" s="3" t="s">
        <v>88</v>
      </c>
      <c r="B405" s="1">
        <v>7</v>
      </c>
      <c r="C405" s="20">
        <v>18500</v>
      </c>
      <c r="D405" s="1">
        <v>4</v>
      </c>
      <c r="E405" s="1">
        <v>3</v>
      </c>
      <c r="F405" s="20">
        <f t="shared" si="61"/>
        <v>129500</v>
      </c>
      <c r="G405" s="20">
        <f t="shared" si="62"/>
        <v>74000</v>
      </c>
      <c r="H405" s="20">
        <f t="shared" si="63"/>
        <v>55500</v>
      </c>
      <c r="I405" s="20" t="b">
        <f t="shared" si="64"/>
        <v>1</v>
      </c>
      <c r="J405" s="20"/>
      <c r="K405" s="20"/>
    </row>
    <row r="406" spans="1:11" ht="15.5" x14ac:dyDescent="0.35">
      <c r="A406" s="19" t="s">
        <v>89</v>
      </c>
      <c r="B406" s="1"/>
      <c r="C406" s="20"/>
      <c r="D406" s="1"/>
      <c r="E406" s="1"/>
      <c r="F406" s="20"/>
      <c r="G406" s="20"/>
      <c r="H406" s="20">
        <f t="shared" si="63"/>
        <v>0</v>
      </c>
      <c r="I406" s="20" t="b">
        <f t="shared" si="64"/>
        <v>1</v>
      </c>
      <c r="J406" s="20"/>
      <c r="K406" s="20"/>
    </row>
    <row r="407" spans="1:11" ht="15.5" x14ac:dyDescent="0.35">
      <c r="A407" s="3" t="s">
        <v>92</v>
      </c>
      <c r="B407" s="1"/>
      <c r="C407" s="20">
        <v>21500</v>
      </c>
      <c r="D407" s="1"/>
      <c r="E407" s="1"/>
      <c r="F407" s="20">
        <f t="shared" ref="F407:F409" si="65">C407*B407</f>
        <v>0</v>
      </c>
      <c r="G407" s="20">
        <f t="shared" ref="G407:G409" si="66">D407*C407</f>
        <v>0</v>
      </c>
      <c r="H407" s="20">
        <f t="shared" si="63"/>
        <v>0</v>
      </c>
      <c r="I407" s="20" t="b">
        <f t="shared" si="64"/>
        <v>1</v>
      </c>
      <c r="J407" s="20"/>
      <c r="K407" s="20"/>
    </row>
    <row r="408" spans="1:11" ht="15.5" x14ac:dyDescent="0.35">
      <c r="A408" s="3" t="s">
        <v>93</v>
      </c>
      <c r="B408" s="1">
        <v>29</v>
      </c>
      <c r="C408" s="20">
        <v>21500</v>
      </c>
      <c r="D408" s="1">
        <v>18</v>
      </c>
      <c r="E408" s="1">
        <v>11</v>
      </c>
      <c r="F408" s="20">
        <f t="shared" si="65"/>
        <v>623500</v>
      </c>
      <c r="G408" s="20">
        <f t="shared" si="66"/>
        <v>387000</v>
      </c>
      <c r="H408" s="20">
        <f t="shared" si="63"/>
        <v>236500</v>
      </c>
      <c r="I408" s="20" t="b">
        <f t="shared" si="64"/>
        <v>1</v>
      </c>
      <c r="J408" s="20"/>
      <c r="K408" s="20"/>
    </row>
    <row r="409" spans="1:11" ht="15.5" x14ac:dyDescent="0.35">
      <c r="A409" s="3" t="s">
        <v>94</v>
      </c>
      <c r="B409" s="1">
        <v>28</v>
      </c>
      <c r="C409" s="20">
        <v>21500</v>
      </c>
      <c r="D409" s="1">
        <v>15</v>
      </c>
      <c r="E409" s="1">
        <v>13</v>
      </c>
      <c r="F409" s="20">
        <f t="shared" si="65"/>
        <v>602000</v>
      </c>
      <c r="G409" s="20">
        <f t="shared" si="66"/>
        <v>322500</v>
      </c>
      <c r="H409" s="20">
        <f t="shared" si="63"/>
        <v>279500</v>
      </c>
      <c r="I409" s="20" t="b">
        <f t="shared" si="64"/>
        <v>1</v>
      </c>
      <c r="J409" s="20"/>
      <c r="K409" s="20"/>
    </row>
    <row r="410" spans="1:11" ht="15.5" x14ac:dyDescent="0.35">
      <c r="A410" s="19"/>
      <c r="B410" s="22">
        <f>SUM(B393:B409)</f>
        <v>333</v>
      </c>
      <c r="C410" s="20"/>
      <c r="D410" s="1"/>
      <c r="E410" s="1"/>
      <c r="F410" s="23">
        <f>SUM(F393:F409)</f>
        <v>6120500</v>
      </c>
      <c r="G410" s="23">
        <f>SUM(G393:G409)</f>
        <v>2631500</v>
      </c>
      <c r="H410" s="23">
        <f>SUM(H393:H409)</f>
        <v>3489000</v>
      </c>
      <c r="I410" s="23"/>
      <c r="J410" s="23">
        <f>SUM(J393:J409)</f>
        <v>845000</v>
      </c>
      <c r="K410" s="23">
        <f>H410-J410</f>
        <v>2644000</v>
      </c>
    </row>
    <row r="411" spans="1:11" ht="15.5" x14ac:dyDescent="0.35">
      <c r="A411" s="19" t="s">
        <v>95</v>
      </c>
      <c r="B411" s="1"/>
      <c r="C411" s="20"/>
      <c r="D411" s="1"/>
      <c r="E411" s="1"/>
      <c r="F411" s="20"/>
      <c r="G411" s="20"/>
      <c r="H411" s="20" t="s">
        <v>192</v>
      </c>
      <c r="I411" s="20"/>
      <c r="J411" s="20"/>
      <c r="K411" s="20"/>
    </row>
    <row r="412" spans="1:11" ht="15.5" x14ac:dyDescent="0.35">
      <c r="A412" s="3" t="s">
        <v>96</v>
      </c>
      <c r="B412" s="1"/>
      <c r="C412" s="20">
        <v>3000</v>
      </c>
      <c r="D412" s="1"/>
      <c r="E412" s="20"/>
      <c r="F412" s="20">
        <f t="shared" ref="F412:F415" si="67">C412*B412</f>
        <v>0</v>
      </c>
      <c r="G412" s="20"/>
      <c r="H412" s="20"/>
      <c r="I412" s="20"/>
      <c r="J412" s="20"/>
      <c r="K412" s="20"/>
    </row>
    <row r="413" spans="1:11" ht="15.5" x14ac:dyDescent="0.35">
      <c r="A413" s="3" t="s">
        <v>97</v>
      </c>
      <c r="B413" s="1"/>
      <c r="C413" s="20">
        <v>2500</v>
      </c>
      <c r="D413" s="1"/>
      <c r="E413" s="1"/>
      <c r="F413" s="20">
        <f t="shared" si="67"/>
        <v>0</v>
      </c>
      <c r="G413" s="20"/>
      <c r="H413" s="20"/>
      <c r="I413" s="20"/>
      <c r="J413" s="20"/>
      <c r="K413" s="20"/>
    </row>
    <row r="414" spans="1:11" ht="15.5" x14ac:dyDescent="0.35">
      <c r="A414" s="3" t="s">
        <v>98</v>
      </c>
      <c r="B414" s="1"/>
      <c r="C414" s="20">
        <v>1800</v>
      </c>
      <c r="D414" s="1"/>
      <c r="E414" s="1"/>
      <c r="F414" s="20">
        <f t="shared" si="67"/>
        <v>0</v>
      </c>
      <c r="G414" s="20"/>
      <c r="H414" s="20"/>
      <c r="I414" s="20"/>
      <c r="J414" s="20"/>
      <c r="K414" s="20"/>
    </row>
    <row r="415" spans="1:11" ht="15.5" x14ac:dyDescent="0.35">
      <c r="A415" s="3" t="s">
        <v>99</v>
      </c>
      <c r="B415" s="1"/>
      <c r="C415" s="20">
        <v>3500</v>
      </c>
      <c r="D415" s="1"/>
      <c r="E415" s="1"/>
      <c r="F415" s="20">
        <f t="shared" si="67"/>
        <v>0</v>
      </c>
      <c r="G415" s="20"/>
      <c r="H415" s="20"/>
      <c r="I415" s="20"/>
      <c r="J415" s="20"/>
      <c r="K415" s="20"/>
    </row>
    <row r="416" spans="1:11" ht="15.5" x14ac:dyDescent="0.35">
      <c r="A416" s="18"/>
      <c r="F416" s="21"/>
    </row>
    <row r="417" spans="1:11" ht="15.5" x14ac:dyDescent="0.35">
      <c r="A417" s="24" t="s">
        <v>108</v>
      </c>
      <c r="K417" s="21"/>
    </row>
    <row r="418" spans="1:11" ht="15.5" x14ac:dyDescent="0.35">
      <c r="A418" s="18" t="s">
        <v>114</v>
      </c>
      <c r="B418" s="67">
        <v>45000</v>
      </c>
    </row>
    <row r="419" spans="1:11" ht="15.5" x14ac:dyDescent="0.35">
      <c r="A419" s="18" t="s">
        <v>112</v>
      </c>
      <c r="B419" s="67">
        <v>45000</v>
      </c>
    </row>
    <row r="420" spans="1:11" ht="15.5" x14ac:dyDescent="0.35">
      <c r="A420" s="18" t="s">
        <v>309</v>
      </c>
      <c r="B420" s="67">
        <v>60000</v>
      </c>
    </row>
    <row r="421" spans="1:11" ht="15.5" x14ac:dyDescent="0.35">
      <c r="A421" s="18" t="s">
        <v>110</v>
      </c>
      <c r="B421" s="67">
        <v>45000</v>
      </c>
    </row>
    <row r="422" spans="1:11" ht="15.5" x14ac:dyDescent="0.35">
      <c r="A422" s="18" t="s">
        <v>111</v>
      </c>
      <c r="B422" s="67">
        <v>45000</v>
      </c>
    </row>
    <row r="423" spans="1:11" ht="15.5" x14ac:dyDescent="0.35">
      <c r="A423" s="18" t="s">
        <v>196</v>
      </c>
      <c r="B423" s="67">
        <v>45000</v>
      </c>
    </row>
    <row r="424" spans="1:11" ht="15.5" x14ac:dyDescent="0.35">
      <c r="A424" s="18" t="s">
        <v>113</v>
      </c>
      <c r="B424" s="67">
        <v>45000</v>
      </c>
    </row>
    <row r="425" spans="1:11" ht="15.5" x14ac:dyDescent="0.35">
      <c r="A425" s="18" t="s">
        <v>209</v>
      </c>
      <c r="B425" s="67">
        <v>45000</v>
      </c>
    </row>
    <row r="426" spans="1:11" ht="15.5" x14ac:dyDescent="0.35">
      <c r="A426" s="18" t="s">
        <v>115</v>
      </c>
      <c r="B426" s="67">
        <v>60000</v>
      </c>
    </row>
    <row r="427" spans="1:11" ht="15.5" x14ac:dyDescent="0.35">
      <c r="A427" s="18" t="s">
        <v>109</v>
      </c>
      <c r="B427" s="67">
        <v>45000</v>
      </c>
    </row>
    <row r="428" spans="1:11" ht="15.5" x14ac:dyDescent="0.35">
      <c r="A428" s="24" t="s">
        <v>4</v>
      </c>
      <c r="B428" s="75">
        <f>SUM(B418:B427)</f>
        <v>480000</v>
      </c>
    </row>
    <row r="431" spans="1:11" ht="18.5" x14ac:dyDescent="0.45">
      <c r="A431" s="150" t="s">
        <v>1</v>
      </c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</row>
    <row r="432" spans="1:11" ht="18.5" x14ac:dyDescent="0.45">
      <c r="A432" s="150" t="s">
        <v>74</v>
      </c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</row>
    <row r="433" spans="1:11" ht="18.5" x14ac:dyDescent="0.45">
      <c r="A433" s="149">
        <v>46066</v>
      </c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</row>
    <row r="434" spans="1:11" ht="18.5" x14ac:dyDescent="0.45">
      <c r="A434" s="150"/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</row>
    <row r="435" spans="1:11" ht="18.5" x14ac:dyDescent="0.45">
      <c r="A435" s="2" t="s">
        <v>75</v>
      </c>
      <c r="B435" s="2" t="s">
        <v>3</v>
      </c>
      <c r="C435" s="2" t="s">
        <v>100</v>
      </c>
      <c r="D435" s="2" t="s">
        <v>90</v>
      </c>
      <c r="E435" s="2" t="s">
        <v>91</v>
      </c>
      <c r="F435" s="2" t="s">
        <v>4</v>
      </c>
      <c r="G435" s="2" t="s">
        <v>101</v>
      </c>
      <c r="H435" s="2" t="s">
        <v>104</v>
      </c>
      <c r="I435" s="2"/>
      <c r="J435" s="2" t="s">
        <v>105</v>
      </c>
      <c r="K435" s="2" t="s">
        <v>106</v>
      </c>
    </row>
    <row r="436" spans="1:11" ht="15.5" x14ac:dyDescent="0.35">
      <c r="A436" s="3" t="s">
        <v>76</v>
      </c>
      <c r="B436" s="1">
        <v>120</v>
      </c>
      <c r="C436" s="20">
        <v>17500</v>
      </c>
      <c r="D436" s="1">
        <v>55</v>
      </c>
      <c r="E436" s="1">
        <v>65</v>
      </c>
      <c r="F436" s="20">
        <f>C436*B436</f>
        <v>2100000</v>
      </c>
      <c r="G436" s="20">
        <f>D436*C436</f>
        <v>962500</v>
      </c>
      <c r="H436" s="20">
        <f>E436*C436</f>
        <v>1137500</v>
      </c>
      <c r="I436" s="20" t="b">
        <f>D436+E436=B436</f>
        <v>1</v>
      </c>
      <c r="J436" s="20">
        <f>B471</f>
        <v>480000</v>
      </c>
      <c r="K436" s="20" t="s">
        <v>117</v>
      </c>
    </row>
    <row r="437" spans="1:11" ht="15.5" x14ac:dyDescent="0.35">
      <c r="A437" s="3" t="s">
        <v>77</v>
      </c>
      <c r="B437" s="1">
        <v>16</v>
      </c>
      <c r="C437" s="20">
        <v>16000</v>
      </c>
      <c r="D437" s="1">
        <v>7</v>
      </c>
      <c r="E437" s="1">
        <v>9</v>
      </c>
      <c r="F437" s="20">
        <f t="shared" ref="F437:F448" si="68">C437*B437</f>
        <v>256000</v>
      </c>
      <c r="G437" s="20">
        <f t="shared" ref="G437:G448" si="69">D437*C437</f>
        <v>112000</v>
      </c>
      <c r="H437" s="20">
        <f t="shared" ref="H437:H452" si="70">E437*C437</f>
        <v>144000</v>
      </c>
      <c r="I437" s="20" t="b">
        <f t="shared" ref="I437:I452" si="71">D437+E437=B437</f>
        <v>1</v>
      </c>
      <c r="J437" s="20">
        <v>15000</v>
      </c>
      <c r="K437" s="20" t="s">
        <v>191</v>
      </c>
    </row>
    <row r="438" spans="1:11" ht="15.5" x14ac:dyDescent="0.35">
      <c r="A438" s="3" t="s">
        <v>78</v>
      </c>
      <c r="B438" s="1">
        <v>45</v>
      </c>
      <c r="C438" s="20">
        <v>17500</v>
      </c>
      <c r="D438" s="1">
        <v>17</v>
      </c>
      <c r="E438" s="1">
        <v>28</v>
      </c>
      <c r="F438" s="20">
        <f t="shared" si="68"/>
        <v>787500</v>
      </c>
      <c r="G438" s="20">
        <f t="shared" si="69"/>
        <v>297500</v>
      </c>
      <c r="H438" s="20">
        <f t="shared" si="70"/>
        <v>490000</v>
      </c>
      <c r="I438" s="20" t="b">
        <f t="shared" si="71"/>
        <v>1</v>
      </c>
      <c r="J438" s="20">
        <v>380000</v>
      </c>
      <c r="K438" s="20" t="s">
        <v>107</v>
      </c>
    </row>
    <row r="439" spans="1:11" ht="15.5" x14ac:dyDescent="0.35">
      <c r="A439" s="3" t="s">
        <v>79</v>
      </c>
      <c r="B439" s="1">
        <v>32</v>
      </c>
      <c r="C439" s="20">
        <v>18500</v>
      </c>
      <c r="D439" s="1">
        <v>13</v>
      </c>
      <c r="E439" s="1">
        <v>19</v>
      </c>
      <c r="F439" s="20">
        <f t="shared" si="68"/>
        <v>592000</v>
      </c>
      <c r="G439" s="20">
        <f t="shared" si="69"/>
        <v>240500</v>
      </c>
      <c r="H439" s="20">
        <f t="shared" si="70"/>
        <v>351500</v>
      </c>
      <c r="I439" s="20" t="b">
        <f t="shared" si="71"/>
        <v>1</v>
      </c>
      <c r="J439" s="20">
        <v>217000</v>
      </c>
      <c r="K439" s="20" t="s">
        <v>199</v>
      </c>
    </row>
    <row r="440" spans="1:11" ht="15.5" x14ac:dyDescent="0.35">
      <c r="A440" s="3" t="s">
        <v>80</v>
      </c>
      <c r="B440" s="1"/>
      <c r="C440" s="20">
        <v>18500</v>
      </c>
      <c r="D440" s="1"/>
      <c r="E440" s="1"/>
      <c r="F440" s="20">
        <f t="shared" si="68"/>
        <v>0</v>
      </c>
      <c r="G440" s="20">
        <f t="shared" si="69"/>
        <v>0</v>
      </c>
      <c r="H440" s="20">
        <f t="shared" si="70"/>
        <v>0</v>
      </c>
      <c r="I440" s="20" t="b">
        <f t="shared" si="71"/>
        <v>1</v>
      </c>
      <c r="J440" s="20"/>
      <c r="K440" s="20"/>
    </row>
    <row r="441" spans="1:11" ht="15.5" x14ac:dyDescent="0.35">
      <c r="A441" s="3" t="s">
        <v>81</v>
      </c>
      <c r="B441" s="1"/>
      <c r="C441" s="20">
        <v>23000</v>
      </c>
      <c r="D441" s="1"/>
      <c r="E441" s="1"/>
      <c r="F441" s="20">
        <f t="shared" si="68"/>
        <v>0</v>
      </c>
      <c r="G441" s="20">
        <f t="shared" si="69"/>
        <v>0</v>
      </c>
      <c r="H441" s="20">
        <f t="shared" si="70"/>
        <v>0</v>
      </c>
      <c r="I441" s="20" t="b">
        <f t="shared" si="71"/>
        <v>1</v>
      </c>
      <c r="J441" s="20"/>
      <c r="K441" s="20"/>
    </row>
    <row r="442" spans="1:11" ht="15.5" x14ac:dyDescent="0.35">
      <c r="A442" s="3" t="s">
        <v>82</v>
      </c>
      <c r="B442" s="1"/>
      <c r="C442" s="20">
        <v>18000</v>
      </c>
      <c r="D442" s="1"/>
      <c r="E442" s="1"/>
      <c r="F442" s="20">
        <f t="shared" si="68"/>
        <v>0</v>
      </c>
      <c r="G442" s="20">
        <f t="shared" si="69"/>
        <v>0</v>
      </c>
      <c r="H442" s="20">
        <f t="shared" si="70"/>
        <v>0</v>
      </c>
      <c r="I442" s="20" t="b">
        <f t="shared" si="71"/>
        <v>1</v>
      </c>
      <c r="J442" s="20"/>
      <c r="K442" s="20"/>
    </row>
    <row r="443" spans="1:11" ht="15.5" x14ac:dyDescent="0.35">
      <c r="A443" s="3" t="s">
        <v>83</v>
      </c>
      <c r="B443" s="1"/>
      <c r="C443" s="20">
        <v>18000</v>
      </c>
      <c r="D443" s="1"/>
      <c r="E443" s="1"/>
      <c r="F443" s="20">
        <f t="shared" si="68"/>
        <v>0</v>
      </c>
      <c r="G443" s="20">
        <f t="shared" si="69"/>
        <v>0</v>
      </c>
      <c r="H443" s="20">
        <f t="shared" si="70"/>
        <v>0</v>
      </c>
      <c r="I443" s="20" t="b">
        <f t="shared" si="71"/>
        <v>1</v>
      </c>
      <c r="J443" s="20"/>
      <c r="K443" s="20"/>
    </row>
    <row r="444" spans="1:11" ht="15.5" x14ac:dyDescent="0.35">
      <c r="A444" s="3" t="s">
        <v>84</v>
      </c>
      <c r="B444" s="1"/>
      <c r="C444" s="20">
        <v>18500</v>
      </c>
      <c r="D444" s="1"/>
      <c r="E444" s="1"/>
      <c r="F444" s="20">
        <f t="shared" si="68"/>
        <v>0</v>
      </c>
      <c r="G444" s="20">
        <f t="shared" si="69"/>
        <v>0</v>
      </c>
      <c r="H444" s="20">
        <f t="shared" si="70"/>
        <v>0</v>
      </c>
      <c r="I444" s="20" t="b">
        <f t="shared" si="71"/>
        <v>1</v>
      </c>
      <c r="J444" s="20"/>
      <c r="K444" s="20"/>
    </row>
    <row r="445" spans="1:11" ht="15.5" x14ac:dyDescent="0.35">
      <c r="A445" s="3" t="s">
        <v>85</v>
      </c>
      <c r="B445" s="1">
        <v>45</v>
      </c>
      <c r="C445" s="20">
        <v>18500</v>
      </c>
      <c r="D445" s="1">
        <v>19</v>
      </c>
      <c r="E445" s="1">
        <v>26</v>
      </c>
      <c r="F445" s="20">
        <f t="shared" si="68"/>
        <v>832500</v>
      </c>
      <c r="G445" s="20">
        <f t="shared" si="69"/>
        <v>351500</v>
      </c>
      <c r="H445" s="20">
        <f t="shared" si="70"/>
        <v>481000</v>
      </c>
      <c r="I445" s="20" t="b">
        <f t="shared" si="71"/>
        <v>1</v>
      </c>
      <c r="J445" s="20"/>
      <c r="K445" s="20"/>
    </row>
    <row r="446" spans="1:11" ht="15.5" x14ac:dyDescent="0.35">
      <c r="A446" s="3" t="s">
        <v>86</v>
      </c>
      <c r="B446" s="1">
        <v>5</v>
      </c>
      <c r="C446" s="20">
        <v>18500</v>
      </c>
      <c r="D446" s="1">
        <v>2</v>
      </c>
      <c r="E446" s="1">
        <v>3</v>
      </c>
      <c r="F446" s="20">
        <f t="shared" si="68"/>
        <v>92500</v>
      </c>
      <c r="G446" s="20">
        <f t="shared" si="69"/>
        <v>37000</v>
      </c>
      <c r="H446" s="20">
        <f t="shared" si="70"/>
        <v>55500</v>
      </c>
      <c r="I446" s="20" t="b">
        <f t="shared" si="71"/>
        <v>1</v>
      </c>
      <c r="J446" s="20"/>
      <c r="K446" s="20"/>
    </row>
    <row r="447" spans="1:11" ht="15.5" x14ac:dyDescent="0.35">
      <c r="A447" s="3" t="s">
        <v>87</v>
      </c>
      <c r="B447" s="1"/>
      <c r="C447" s="20">
        <v>18500</v>
      </c>
      <c r="D447" s="1"/>
      <c r="E447" s="1"/>
      <c r="F447" s="20">
        <f t="shared" si="68"/>
        <v>0</v>
      </c>
      <c r="G447" s="20">
        <f t="shared" si="69"/>
        <v>0</v>
      </c>
      <c r="H447" s="20">
        <f t="shared" si="70"/>
        <v>0</v>
      </c>
      <c r="I447" s="20" t="b">
        <f t="shared" si="71"/>
        <v>1</v>
      </c>
      <c r="J447" s="20"/>
      <c r="K447" s="20"/>
    </row>
    <row r="448" spans="1:11" ht="15.5" x14ac:dyDescent="0.35">
      <c r="A448" s="3" t="s">
        <v>88</v>
      </c>
      <c r="B448" s="1">
        <v>13</v>
      </c>
      <c r="C448" s="20">
        <v>18500</v>
      </c>
      <c r="D448" s="1">
        <v>7</v>
      </c>
      <c r="E448" s="1">
        <v>6</v>
      </c>
      <c r="F448" s="20">
        <f t="shared" si="68"/>
        <v>240500</v>
      </c>
      <c r="G448" s="20">
        <f t="shared" si="69"/>
        <v>129500</v>
      </c>
      <c r="H448" s="20">
        <f t="shared" si="70"/>
        <v>111000</v>
      </c>
      <c r="I448" s="20" t="b">
        <f t="shared" si="71"/>
        <v>1</v>
      </c>
      <c r="J448" s="20"/>
      <c r="K448" s="20"/>
    </row>
    <row r="449" spans="1:11" ht="15.5" x14ac:dyDescent="0.35">
      <c r="A449" s="19" t="s">
        <v>89</v>
      </c>
      <c r="B449" s="1"/>
      <c r="C449" s="20"/>
      <c r="D449" s="1"/>
      <c r="E449" s="1"/>
      <c r="F449" s="20"/>
      <c r="G449" s="20"/>
      <c r="H449" s="20">
        <f t="shared" si="70"/>
        <v>0</v>
      </c>
      <c r="I449" s="20" t="b">
        <f t="shared" si="71"/>
        <v>1</v>
      </c>
      <c r="J449" s="20"/>
      <c r="K449" s="20"/>
    </row>
    <row r="450" spans="1:11" ht="15.5" x14ac:dyDescent="0.35">
      <c r="A450" s="3" t="s">
        <v>92</v>
      </c>
      <c r="B450" s="1">
        <v>37</v>
      </c>
      <c r="C450" s="20">
        <v>21500</v>
      </c>
      <c r="D450" s="1">
        <v>9</v>
      </c>
      <c r="E450" s="1">
        <v>28</v>
      </c>
      <c r="F450" s="20">
        <f t="shared" ref="F450:F452" si="72">C450*B450</f>
        <v>795500</v>
      </c>
      <c r="G450" s="20">
        <f t="shared" ref="G450:G452" si="73">D450*C450</f>
        <v>193500</v>
      </c>
      <c r="H450" s="20">
        <f t="shared" si="70"/>
        <v>602000</v>
      </c>
      <c r="I450" s="20" t="b">
        <f t="shared" si="71"/>
        <v>1</v>
      </c>
      <c r="J450" s="20"/>
      <c r="K450" s="20"/>
    </row>
    <row r="451" spans="1:11" ht="15.5" x14ac:dyDescent="0.35">
      <c r="A451" s="3" t="s">
        <v>93</v>
      </c>
      <c r="B451" s="1"/>
      <c r="C451" s="20">
        <v>21500</v>
      </c>
      <c r="D451" s="1"/>
      <c r="E451" s="1"/>
      <c r="F451" s="20">
        <f t="shared" si="72"/>
        <v>0</v>
      </c>
      <c r="G451" s="20">
        <f t="shared" si="73"/>
        <v>0</v>
      </c>
      <c r="H451" s="20">
        <f t="shared" si="70"/>
        <v>0</v>
      </c>
      <c r="I451" s="20" t="b">
        <f t="shared" si="71"/>
        <v>1</v>
      </c>
      <c r="J451" s="20"/>
      <c r="K451" s="20"/>
    </row>
    <row r="452" spans="1:11" ht="15.5" x14ac:dyDescent="0.35">
      <c r="A452" s="3" t="s">
        <v>94</v>
      </c>
      <c r="B452" s="1">
        <v>25</v>
      </c>
      <c r="C452" s="20">
        <v>21500</v>
      </c>
      <c r="D452" s="1">
        <v>16</v>
      </c>
      <c r="E452" s="1">
        <v>9</v>
      </c>
      <c r="F452" s="20">
        <f t="shared" si="72"/>
        <v>537500</v>
      </c>
      <c r="G452" s="20">
        <f t="shared" si="73"/>
        <v>344000</v>
      </c>
      <c r="H452" s="20">
        <f t="shared" si="70"/>
        <v>193500</v>
      </c>
      <c r="I452" s="20" t="b">
        <f t="shared" si="71"/>
        <v>1</v>
      </c>
      <c r="J452" s="20"/>
      <c r="K452" s="20"/>
    </row>
    <row r="453" spans="1:11" ht="15.5" x14ac:dyDescent="0.35">
      <c r="A453" s="19"/>
      <c r="B453" s="22">
        <f>SUM(B436:B452)</f>
        <v>338</v>
      </c>
      <c r="C453" s="20"/>
      <c r="D453" s="1"/>
      <c r="E453" s="1"/>
      <c r="F453" s="23">
        <f>SUM(F436:F452)</f>
        <v>6234000</v>
      </c>
      <c r="G453" s="23">
        <f>SUM(G436:G452)</f>
        <v>2668000</v>
      </c>
      <c r="H453" s="23">
        <f>SUM(H436:H452)</f>
        <v>3566000</v>
      </c>
      <c r="I453" s="23"/>
      <c r="J453" s="23">
        <f>SUM(J436:J452)</f>
        <v>1092000</v>
      </c>
      <c r="K453" s="23">
        <f>H453-J453</f>
        <v>2474000</v>
      </c>
    </row>
    <row r="454" spans="1:11" ht="15.5" x14ac:dyDescent="0.35">
      <c r="A454" s="19" t="s">
        <v>95</v>
      </c>
      <c r="B454" s="1"/>
      <c r="C454" s="20"/>
      <c r="D454" s="1"/>
      <c r="E454" s="1"/>
      <c r="F454" s="20"/>
      <c r="G454" s="20"/>
      <c r="H454" s="20" t="s">
        <v>192</v>
      </c>
      <c r="I454" s="20"/>
      <c r="J454" s="20"/>
      <c r="K454" s="20"/>
    </row>
    <row r="455" spans="1:11" ht="15.5" x14ac:dyDescent="0.35">
      <c r="A455" s="3" t="s">
        <v>96</v>
      </c>
      <c r="B455" s="1"/>
      <c r="C455" s="20">
        <v>3000</v>
      </c>
      <c r="D455" s="1"/>
      <c r="E455" s="20"/>
      <c r="F455" s="20">
        <f t="shared" ref="F455:F458" si="74">C455*B455</f>
        <v>0</v>
      </c>
      <c r="G455" s="20"/>
      <c r="H455" s="20"/>
      <c r="I455" s="20"/>
      <c r="J455" s="20"/>
      <c r="K455" s="20"/>
    </row>
    <row r="456" spans="1:11" ht="15.5" x14ac:dyDescent="0.35">
      <c r="A456" s="3" t="s">
        <v>97</v>
      </c>
      <c r="B456" s="1"/>
      <c r="C456" s="20">
        <v>2500</v>
      </c>
      <c r="D456" s="1"/>
      <c r="E456" s="1"/>
      <c r="F456" s="20">
        <f t="shared" si="74"/>
        <v>0</v>
      </c>
      <c r="G456" s="20"/>
      <c r="H456" s="20"/>
      <c r="I456" s="20"/>
      <c r="J456" s="20"/>
      <c r="K456" s="20"/>
    </row>
    <row r="457" spans="1:11" ht="15.5" x14ac:dyDescent="0.35">
      <c r="A457" s="3" t="s">
        <v>98</v>
      </c>
      <c r="B457" s="1"/>
      <c r="C457" s="20">
        <v>1800</v>
      </c>
      <c r="D457" s="1"/>
      <c r="E457" s="1"/>
      <c r="F457" s="20">
        <f t="shared" si="74"/>
        <v>0</v>
      </c>
      <c r="G457" s="20"/>
      <c r="H457" s="20"/>
      <c r="I457" s="20"/>
      <c r="J457" s="20"/>
      <c r="K457" s="20"/>
    </row>
    <row r="458" spans="1:11" ht="15.5" x14ac:dyDescent="0.35">
      <c r="A458" s="3" t="s">
        <v>99</v>
      </c>
      <c r="B458" s="1">
        <v>5</v>
      </c>
      <c r="C458" s="20">
        <v>3500</v>
      </c>
      <c r="D458" s="1">
        <v>1</v>
      </c>
      <c r="E458" s="1">
        <v>4</v>
      </c>
      <c r="F458" s="20">
        <f t="shared" si="74"/>
        <v>17500</v>
      </c>
      <c r="G458" s="20"/>
      <c r="H458" s="20"/>
      <c r="I458" s="20"/>
      <c r="J458" s="20"/>
      <c r="K458" s="20"/>
    </row>
    <row r="459" spans="1:11" ht="15.5" x14ac:dyDescent="0.35">
      <c r="A459" s="18"/>
      <c r="F459" s="21"/>
    </row>
    <row r="460" spans="1:11" ht="15.5" x14ac:dyDescent="0.35">
      <c r="A460" s="24" t="s">
        <v>108</v>
      </c>
      <c r="K460" s="21"/>
    </row>
    <row r="461" spans="1:11" ht="15.5" x14ac:dyDescent="0.35">
      <c r="A461" s="18" t="s">
        <v>114</v>
      </c>
      <c r="B461" s="67">
        <v>45000</v>
      </c>
    </row>
    <row r="462" spans="1:11" ht="15.5" x14ac:dyDescent="0.35">
      <c r="A462" s="18" t="s">
        <v>112</v>
      </c>
      <c r="B462" s="67">
        <v>45000</v>
      </c>
    </row>
    <row r="463" spans="1:11" ht="15.5" x14ac:dyDescent="0.35">
      <c r="A463" s="18" t="s">
        <v>309</v>
      </c>
      <c r="B463" s="67">
        <v>60000</v>
      </c>
    </row>
    <row r="464" spans="1:11" ht="15.5" x14ac:dyDescent="0.35">
      <c r="A464" s="18" t="s">
        <v>110</v>
      </c>
      <c r="B464" s="67">
        <v>45000</v>
      </c>
    </row>
    <row r="465" spans="1:11" ht="15.5" x14ac:dyDescent="0.35">
      <c r="A465" s="18" t="s">
        <v>111</v>
      </c>
      <c r="B465" s="67">
        <v>45000</v>
      </c>
    </row>
    <row r="466" spans="1:11" ht="15.5" x14ac:dyDescent="0.35">
      <c r="A466" s="18" t="s">
        <v>196</v>
      </c>
      <c r="B466" s="67">
        <v>45000</v>
      </c>
    </row>
    <row r="467" spans="1:11" ht="15.5" x14ac:dyDescent="0.35">
      <c r="A467" s="18" t="s">
        <v>113</v>
      </c>
      <c r="B467" s="67">
        <v>45000</v>
      </c>
    </row>
    <row r="468" spans="1:11" ht="15.5" x14ac:dyDescent="0.35">
      <c r="A468" s="18" t="s">
        <v>209</v>
      </c>
      <c r="B468" s="67">
        <v>45000</v>
      </c>
    </row>
    <row r="469" spans="1:11" ht="15.5" x14ac:dyDescent="0.35">
      <c r="A469" s="18" t="s">
        <v>115</v>
      </c>
      <c r="B469" s="67">
        <v>60000</v>
      </c>
    </row>
    <row r="470" spans="1:11" ht="15.5" x14ac:dyDescent="0.35">
      <c r="A470" s="18" t="s">
        <v>109</v>
      </c>
      <c r="B470" s="67">
        <v>45000</v>
      </c>
    </row>
    <row r="471" spans="1:11" ht="15.5" x14ac:dyDescent="0.35">
      <c r="A471" s="24" t="s">
        <v>4</v>
      </c>
      <c r="B471" s="75">
        <f>SUM(B461:B470)</f>
        <v>480000</v>
      </c>
    </row>
    <row r="474" spans="1:11" ht="18.5" x14ac:dyDescent="0.45">
      <c r="A474" s="150" t="s">
        <v>1</v>
      </c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</row>
    <row r="475" spans="1:11" ht="18.5" x14ac:dyDescent="0.45">
      <c r="A475" s="150" t="s">
        <v>74</v>
      </c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</row>
    <row r="476" spans="1:11" ht="18.5" x14ac:dyDescent="0.45">
      <c r="A476" s="149">
        <v>46067</v>
      </c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</row>
    <row r="477" spans="1:11" ht="18.5" x14ac:dyDescent="0.45">
      <c r="A477" s="150"/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</row>
    <row r="478" spans="1:11" ht="18.5" x14ac:dyDescent="0.45">
      <c r="A478" s="2" t="s">
        <v>75</v>
      </c>
      <c r="B478" s="2" t="s">
        <v>3</v>
      </c>
      <c r="C478" s="2" t="s">
        <v>100</v>
      </c>
      <c r="D478" s="2" t="s">
        <v>90</v>
      </c>
      <c r="E478" s="2" t="s">
        <v>91</v>
      </c>
      <c r="F478" s="2" t="s">
        <v>4</v>
      </c>
      <c r="G478" s="2" t="s">
        <v>101</v>
      </c>
      <c r="H478" s="2" t="s">
        <v>104</v>
      </c>
      <c r="I478" s="2"/>
      <c r="J478" s="2" t="s">
        <v>105</v>
      </c>
      <c r="K478" s="2" t="s">
        <v>106</v>
      </c>
    </row>
    <row r="479" spans="1:11" ht="15.5" x14ac:dyDescent="0.35">
      <c r="A479" s="3" t="s">
        <v>76</v>
      </c>
      <c r="B479" s="1">
        <v>55</v>
      </c>
      <c r="C479" s="20">
        <v>17500</v>
      </c>
      <c r="D479" s="1">
        <v>22</v>
      </c>
      <c r="E479" s="1">
        <v>33</v>
      </c>
      <c r="F479" s="20">
        <f>C479*B479</f>
        <v>962500</v>
      </c>
      <c r="G479" s="20">
        <f>D479*C479</f>
        <v>385000</v>
      </c>
      <c r="H479" s="20">
        <f>E479*C479</f>
        <v>577500</v>
      </c>
      <c r="I479" s="20" t="b">
        <f>D479+E479=B479</f>
        <v>1</v>
      </c>
      <c r="J479" s="20">
        <f>B508</f>
        <v>240000</v>
      </c>
      <c r="K479" s="20" t="s">
        <v>117</v>
      </c>
    </row>
    <row r="480" spans="1:11" ht="15.5" x14ac:dyDescent="0.35">
      <c r="A480" s="3" t="s">
        <v>77</v>
      </c>
      <c r="B480" s="1">
        <v>14</v>
      </c>
      <c r="C480" s="20">
        <v>16000</v>
      </c>
      <c r="D480" s="1">
        <v>9</v>
      </c>
      <c r="E480" s="1">
        <v>5</v>
      </c>
      <c r="F480" s="20">
        <f t="shared" ref="F480:F491" si="75">C480*B480</f>
        <v>224000</v>
      </c>
      <c r="G480" s="20">
        <f t="shared" ref="G480:G491" si="76">D480*C480</f>
        <v>144000</v>
      </c>
      <c r="H480" s="20">
        <f t="shared" ref="H480:H495" si="77">E480*C480</f>
        <v>80000</v>
      </c>
      <c r="I480" s="20" t="b">
        <f t="shared" ref="I480:I495" si="78">D480+E480=B480</f>
        <v>1</v>
      </c>
      <c r="J480" s="20">
        <v>15000</v>
      </c>
      <c r="K480" s="20" t="s">
        <v>191</v>
      </c>
    </row>
    <row r="481" spans="1:11" ht="15.5" x14ac:dyDescent="0.35">
      <c r="A481" s="3" t="s">
        <v>78</v>
      </c>
      <c r="B481" s="1">
        <v>30</v>
      </c>
      <c r="C481" s="20">
        <v>17500</v>
      </c>
      <c r="D481" s="1">
        <v>15</v>
      </c>
      <c r="E481" s="1">
        <v>15</v>
      </c>
      <c r="F481" s="20">
        <f t="shared" si="75"/>
        <v>525000</v>
      </c>
      <c r="G481" s="20">
        <f t="shared" si="76"/>
        <v>262500</v>
      </c>
      <c r="H481" s="20">
        <f t="shared" si="77"/>
        <v>262500</v>
      </c>
      <c r="I481" s="20" t="b">
        <f t="shared" si="78"/>
        <v>1</v>
      </c>
      <c r="J481" s="20">
        <v>240000</v>
      </c>
      <c r="K481" s="20" t="s">
        <v>107</v>
      </c>
    </row>
    <row r="482" spans="1:11" ht="15.5" x14ac:dyDescent="0.35">
      <c r="A482" s="3" t="s">
        <v>79</v>
      </c>
      <c r="B482" s="1">
        <v>14</v>
      </c>
      <c r="C482" s="20">
        <v>18500</v>
      </c>
      <c r="D482" s="1">
        <v>8</v>
      </c>
      <c r="E482" s="1">
        <v>6</v>
      </c>
      <c r="F482" s="20">
        <f t="shared" si="75"/>
        <v>259000</v>
      </c>
      <c r="G482" s="20">
        <f t="shared" si="76"/>
        <v>148000</v>
      </c>
      <c r="H482" s="20">
        <f t="shared" si="77"/>
        <v>111000</v>
      </c>
      <c r="I482" s="20" t="b">
        <f t="shared" si="78"/>
        <v>1</v>
      </c>
      <c r="J482" s="20"/>
      <c r="K482" s="20"/>
    </row>
    <row r="483" spans="1:11" ht="15.5" x14ac:dyDescent="0.35">
      <c r="A483" s="3" t="s">
        <v>80</v>
      </c>
      <c r="B483" s="1">
        <v>20</v>
      </c>
      <c r="C483" s="20">
        <v>18500</v>
      </c>
      <c r="D483" s="1">
        <v>7</v>
      </c>
      <c r="E483" s="1">
        <v>13</v>
      </c>
      <c r="F483" s="20">
        <f t="shared" si="75"/>
        <v>370000</v>
      </c>
      <c r="G483" s="20">
        <f t="shared" si="76"/>
        <v>129500</v>
      </c>
      <c r="H483" s="20">
        <f t="shared" si="77"/>
        <v>240500</v>
      </c>
      <c r="I483" s="20" t="b">
        <f t="shared" si="78"/>
        <v>1</v>
      </c>
      <c r="J483" s="20"/>
      <c r="K483" s="20"/>
    </row>
    <row r="484" spans="1:11" ht="15.5" x14ac:dyDescent="0.35">
      <c r="A484" s="3" t="s">
        <v>81</v>
      </c>
      <c r="B484" s="1">
        <v>10</v>
      </c>
      <c r="C484" s="20">
        <v>23000</v>
      </c>
      <c r="D484" s="1">
        <v>7</v>
      </c>
      <c r="E484" s="1">
        <v>3</v>
      </c>
      <c r="F484" s="20">
        <f t="shared" si="75"/>
        <v>230000</v>
      </c>
      <c r="G484" s="20">
        <f t="shared" si="76"/>
        <v>161000</v>
      </c>
      <c r="H484" s="20">
        <f t="shared" si="77"/>
        <v>69000</v>
      </c>
      <c r="I484" s="20" t="b">
        <f t="shared" si="78"/>
        <v>1</v>
      </c>
      <c r="J484" s="20"/>
      <c r="K484" s="20"/>
    </row>
    <row r="485" spans="1:11" ht="15.5" x14ac:dyDescent="0.35">
      <c r="A485" s="3" t="s">
        <v>82</v>
      </c>
      <c r="B485" s="1"/>
      <c r="C485" s="20">
        <v>18000</v>
      </c>
      <c r="D485" s="1"/>
      <c r="E485" s="1"/>
      <c r="F485" s="20">
        <f t="shared" si="75"/>
        <v>0</v>
      </c>
      <c r="G485" s="20">
        <f t="shared" si="76"/>
        <v>0</v>
      </c>
      <c r="H485" s="20">
        <f t="shared" si="77"/>
        <v>0</v>
      </c>
      <c r="I485" s="20" t="b">
        <f t="shared" si="78"/>
        <v>1</v>
      </c>
      <c r="J485" s="20"/>
      <c r="K485" s="20"/>
    </row>
    <row r="486" spans="1:11" ht="15.5" x14ac:dyDescent="0.35">
      <c r="A486" s="3" t="s">
        <v>83</v>
      </c>
      <c r="B486" s="1"/>
      <c r="C486" s="20">
        <v>18000</v>
      </c>
      <c r="D486" s="1"/>
      <c r="E486" s="1"/>
      <c r="F486" s="20">
        <f t="shared" si="75"/>
        <v>0</v>
      </c>
      <c r="G486" s="20">
        <f t="shared" si="76"/>
        <v>0</v>
      </c>
      <c r="H486" s="20">
        <f t="shared" si="77"/>
        <v>0</v>
      </c>
      <c r="I486" s="20" t="b">
        <f t="shared" si="78"/>
        <v>1</v>
      </c>
      <c r="J486" s="20"/>
      <c r="K486" s="20"/>
    </row>
    <row r="487" spans="1:11" ht="15.5" x14ac:dyDescent="0.35">
      <c r="A487" s="3" t="s">
        <v>84</v>
      </c>
      <c r="B487" s="1"/>
      <c r="C487" s="20">
        <v>18500</v>
      </c>
      <c r="D487" s="1"/>
      <c r="E487" s="1"/>
      <c r="F487" s="20">
        <f t="shared" si="75"/>
        <v>0</v>
      </c>
      <c r="G487" s="20">
        <f t="shared" si="76"/>
        <v>0</v>
      </c>
      <c r="H487" s="20">
        <f t="shared" si="77"/>
        <v>0</v>
      </c>
      <c r="I487" s="20" t="b">
        <f t="shared" si="78"/>
        <v>1</v>
      </c>
      <c r="J487" s="20"/>
      <c r="K487" s="20"/>
    </row>
    <row r="488" spans="1:11" ht="15.5" x14ac:dyDescent="0.35">
      <c r="A488" s="3" t="s">
        <v>85</v>
      </c>
      <c r="B488" s="1">
        <v>16</v>
      </c>
      <c r="C488" s="20">
        <v>18500</v>
      </c>
      <c r="D488" s="1">
        <v>2</v>
      </c>
      <c r="E488" s="1">
        <v>14</v>
      </c>
      <c r="F488" s="20">
        <f t="shared" si="75"/>
        <v>296000</v>
      </c>
      <c r="G488" s="20">
        <f t="shared" si="76"/>
        <v>37000</v>
      </c>
      <c r="H488" s="20">
        <f t="shared" si="77"/>
        <v>259000</v>
      </c>
      <c r="I488" s="20" t="b">
        <f t="shared" si="78"/>
        <v>1</v>
      </c>
      <c r="J488" s="20"/>
      <c r="K488" s="20"/>
    </row>
    <row r="489" spans="1:11" ht="15.5" x14ac:dyDescent="0.35">
      <c r="A489" s="3" t="s">
        <v>86</v>
      </c>
      <c r="B489" s="1">
        <v>6</v>
      </c>
      <c r="C489" s="20">
        <v>18500</v>
      </c>
      <c r="D489" s="1">
        <v>2</v>
      </c>
      <c r="E489" s="1">
        <v>4</v>
      </c>
      <c r="F489" s="20">
        <f t="shared" si="75"/>
        <v>111000</v>
      </c>
      <c r="G489" s="20">
        <f t="shared" si="76"/>
        <v>37000</v>
      </c>
      <c r="H489" s="20">
        <f t="shared" si="77"/>
        <v>74000</v>
      </c>
      <c r="I489" s="20" t="b">
        <f t="shared" si="78"/>
        <v>1</v>
      </c>
      <c r="J489" s="20"/>
      <c r="K489" s="20"/>
    </row>
    <row r="490" spans="1:11" ht="15.5" x14ac:dyDescent="0.35">
      <c r="A490" s="3" t="s">
        <v>87</v>
      </c>
      <c r="B490" s="1"/>
      <c r="C490" s="20">
        <v>18500</v>
      </c>
      <c r="D490" s="1"/>
      <c r="E490" s="1"/>
      <c r="F490" s="20">
        <f t="shared" si="75"/>
        <v>0</v>
      </c>
      <c r="G490" s="20">
        <f t="shared" si="76"/>
        <v>0</v>
      </c>
      <c r="H490" s="20">
        <f t="shared" si="77"/>
        <v>0</v>
      </c>
      <c r="I490" s="20" t="b">
        <f t="shared" si="78"/>
        <v>1</v>
      </c>
      <c r="J490" s="20"/>
      <c r="K490" s="20"/>
    </row>
    <row r="491" spans="1:11" ht="15.5" x14ac:dyDescent="0.35">
      <c r="A491" s="3" t="s">
        <v>88</v>
      </c>
      <c r="B491" s="1"/>
      <c r="C491" s="20">
        <v>18500</v>
      </c>
      <c r="D491" s="1"/>
      <c r="E491" s="1"/>
      <c r="F491" s="20">
        <f t="shared" si="75"/>
        <v>0</v>
      </c>
      <c r="G491" s="20">
        <f t="shared" si="76"/>
        <v>0</v>
      </c>
      <c r="H491" s="20">
        <f t="shared" si="77"/>
        <v>0</v>
      </c>
      <c r="I491" s="20" t="b">
        <f t="shared" si="78"/>
        <v>1</v>
      </c>
      <c r="J491" s="20"/>
      <c r="K491" s="20"/>
    </row>
    <row r="492" spans="1:11" ht="15.5" x14ac:dyDescent="0.35">
      <c r="A492" s="19" t="s">
        <v>89</v>
      </c>
      <c r="B492" s="1"/>
      <c r="C492" s="20"/>
      <c r="D492" s="1"/>
      <c r="E492" s="1"/>
      <c r="F492" s="20"/>
      <c r="G492" s="20"/>
      <c r="H492" s="20">
        <f t="shared" si="77"/>
        <v>0</v>
      </c>
      <c r="I492" s="20" t="b">
        <f t="shared" si="78"/>
        <v>1</v>
      </c>
      <c r="J492" s="20"/>
      <c r="K492" s="20"/>
    </row>
    <row r="493" spans="1:11" ht="15.5" x14ac:dyDescent="0.35">
      <c r="A493" s="3" t="s">
        <v>92</v>
      </c>
      <c r="B493" s="1">
        <v>26</v>
      </c>
      <c r="C493" s="20">
        <v>21500</v>
      </c>
      <c r="D493" s="1">
        <v>17</v>
      </c>
      <c r="E493" s="1">
        <v>9</v>
      </c>
      <c r="F493" s="20">
        <f t="shared" ref="F493:F495" si="79">C493*B493</f>
        <v>559000</v>
      </c>
      <c r="G493" s="20">
        <f t="shared" ref="G493:G495" si="80">D493*C493</f>
        <v>365500</v>
      </c>
      <c r="H493" s="20">
        <f t="shared" si="77"/>
        <v>193500</v>
      </c>
      <c r="I493" s="20" t="b">
        <f t="shared" si="78"/>
        <v>1</v>
      </c>
      <c r="J493" s="20"/>
      <c r="K493" s="20"/>
    </row>
    <row r="494" spans="1:11" ht="15.5" x14ac:dyDescent="0.35">
      <c r="A494" s="3" t="s">
        <v>93</v>
      </c>
      <c r="B494" s="1">
        <v>12</v>
      </c>
      <c r="C494" s="20">
        <v>21500</v>
      </c>
      <c r="D494" s="1">
        <v>7</v>
      </c>
      <c r="E494" s="1">
        <v>5</v>
      </c>
      <c r="F494" s="20">
        <f t="shared" si="79"/>
        <v>258000</v>
      </c>
      <c r="G494" s="20">
        <f t="shared" si="80"/>
        <v>150500</v>
      </c>
      <c r="H494" s="20">
        <f t="shared" si="77"/>
        <v>107500</v>
      </c>
      <c r="I494" s="20" t="b">
        <f t="shared" si="78"/>
        <v>1</v>
      </c>
      <c r="J494" s="20"/>
      <c r="K494" s="20"/>
    </row>
    <row r="495" spans="1:11" ht="15.5" x14ac:dyDescent="0.35">
      <c r="A495" s="3" t="s">
        <v>94</v>
      </c>
      <c r="B495" s="1"/>
      <c r="C495" s="20">
        <v>21500</v>
      </c>
      <c r="D495" s="1"/>
      <c r="E495" s="1"/>
      <c r="F495" s="20">
        <f t="shared" si="79"/>
        <v>0</v>
      </c>
      <c r="G495" s="20">
        <f t="shared" si="80"/>
        <v>0</v>
      </c>
      <c r="H495" s="20">
        <f t="shared" si="77"/>
        <v>0</v>
      </c>
      <c r="I495" s="20" t="b">
        <f t="shared" si="78"/>
        <v>1</v>
      </c>
      <c r="J495" s="20"/>
      <c r="K495" s="20"/>
    </row>
    <row r="496" spans="1:11" ht="15.5" x14ac:dyDescent="0.35">
      <c r="A496" s="19"/>
      <c r="B496" s="22">
        <f>SUM(B479:B495)</f>
        <v>203</v>
      </c>
      <c r="C496" s="20"/>
      <c r="D496" s="1"/>
      <c r="E496" s="1"/>
      <c r="F496" s="23">
        <f>SUM(F479:F495)</f>
        <v>3794500</v>
      </c>
      <c r="G496" s="23">
        <f>SUM(G479:G495)</f>
        <v>1820000</v>
      </c>
      <c r="H496" s="23">
        <f>SUM(H479:H495)</f>
        <v>1974500</v>
      </c>
      <c r="I496" s="23"/>
      <c r="J496" s="23">
        <f>SUM(J479:J495)</f>
        <v>495000</v>
      </c>
      <c r="K496" s="23">
        <f>H496-J496</f>
        <v>1479500</v>
      </c>
    </row>
    <row r="497" spans="1:11" ht="15.5" x14ac:dyDescent="0.35">
      <c r="A497" s="19" t="s">
        <v>95</v>
      </c>
      <c r="B497" s="1"/>
      <c r="C497" s="20"/>
      <c r="D497" s="1"/>
      <c r="E497" s="1"/>
      <c r="F497" s="20"/>
      <c r="G497" s="20"/>
      <c r="H497" s="20" t="s">
        <v>192</v>
      </c>
      <c r="I497" s="20"/>
      <c r="J497" s="20"/>
      <c r="K497" s="20"/>
    </row>
    <row r="498" spans="1:11" ht="15.5" x14ac:dyDescent="0.35">
      <c r="A498" s="3" t="s">
        <v>96</v>
      </c>
      <c r="B498" s="1"/>
      <c r="C498" s="20">
        <v>3000</v>
      </c>
      <c r="D498" s="1"/>
      <c r="E498" s="20"/>
      <c r="F498" s="20">
        <f t="shared" ref="F498:F501" si="81">C498*B498</f>
        <v>0</v>
      </c>
      <c r="G498" s="20"/>
      <c r="H498" s="20"/>
      <c r="I498" s="20"/>
      <c r="J498" s="20"/>
      <c r="K498" s="20"/>
    </row>
    <row r="499" spans="1:11" ht="15.5" x14ac:dyDescent="0.35">
      <c r="A499" s="3" t="s">
        <v>97</v>
      </c>
      <c r="B499" s="1"/>
      <c r="C499" s="20">
        <v>2500</v>
      </c>
      <c r="D499" s="1"/>
      <c r="E499" s="1"/>
      <c r="F499" s="20">
        <f t="shared" si="81"/>
        <v>0</v>
      </c>
      <c r="G499" s="20"/>
      <c r="H499" s="20"/>
      <c r="I499" s="20"/>
      <c r="J499" s="20"/>
      <c r="K499" s="20"/>
    </row>
    <row r="500" spans="1:11" ht="15.5" x14ac:dyDescent="0.35">
      <c r="A500" s="3" t="s">
        <v>98</v>
      </c>
      <c r="B500" s="1"/>
      <c r="C500" s="20">
        <v>1800</v>
      </c>
      <c r="D500" s="1"/>
      <c r="E500" s="1"/>
      <c r="F500" s="20">
        <f t="shared" si="81"/>
        <v>0</v>
      </c>
      <c r="G500" s="20"/>
      <c r="H500" s="20"/>
      <c r="I500" s="20"/>
      <c r="J500" s="20"/>
      <c r="K500" s="20"/>
    </row>
    <row r="501" spans="1:11" ht="15.5" x14ac:dyDescent="0.35">
      <c r="A501" s="3" t="s">
        <v>99</v>
      </c>
      <c r="B501" s="1">
        <v>8</v>
      </c>
      <c r="C501" s="20">
        <v>3500</v>
      </c>
      <c r="D501" s="1">
        <v>3</v>
      </c>
      <c r="E501" s="1">
        <v>5</v>
      </c>
      <c r="F501" s="20">
        <f t="shared" si="81"/>
        <v>28000</v>
      </c>
      <c r="G501" s="20"/>
      <c r="H501" s="20"/>
      <c r="I501" s="20"/>
      <c r="J501" s="20"/>
      <c r="K501" s="20"/>
    </row>
    <row r="502" spans="1:11" ht="15.5" x14ac:dyDescent="0.35">
      <c r="A502" s="18"/>
      <c r="F502" s="21"/>
    </row>
    <row r="503" spans="1:11" ht="15.5" x14ac:dyDescent="0.35">
      <c r="A503" s="24" t="s">
        <v>108</v>
      </c>
      <c r="K503" s="21"/>
    </row>
    <row r="504" spans="1:11" ht="15.5" x14ac:dyDescent="0.35">
      <c r="A504" s="18" t="s">
        <v>114</v>
      </c>
      <c r="B504" s="67">
        <v>60000</v>
      </c>
    </row>
    <row r="505" spans="1:11" ht="15.5" x14ac:dyDescent="0.35">
      <c r="A505" s="18" t="s">
        <v>112</v>
      </c>
      <c r="B505" s="67">
        <v>60000</v>
      </c>
    </row>
    <row r="506" spans="1:11" ht="15.5" x14ac:dyDescent="0.35">
      <c r="A506" s="18" t="s">
        <v>111</v>
      </c>
      <c r="B506" s="67">
        <v>60000</v>
      </c>
    </row>
    <row r="507" spans="1:11" ht="15.5" x14ac:dyDescent="0.35">
      <c r="A507" s="18" t="s">
        <v>196</v>
      </c>
      <c r="B507" s="67">
        <v>60000</v>
      </c>
    </row>
    <row r="508" spans="1:11" ht="15.5" x14ac:dyDescent="0.35">
      <c r="A508" s="24" t="s">
        <v>4</v>
      </c>
      <c r="B508" s="75">
        <f>SUM(B504:B507)</f>
        <v>240000</v>
      </c>
    </row>
    <row r="511" spans="1:11" ht="18.5" x14ac:dyDescent="0.45">
      <c r="A511" s="150" t="s">
        <v>1</v>
      </c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</row>
    <row r="512" spans="1:11" ht="18.5" x14ac:dyDescent="0.45">
      <c r="A512" s="150" t="s">
        <v>74</v>
      </c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</row>
    <row r="513" spans="1:11" ht="18.5" x14ac:dyDescent="0.45">
      <c r="A513" s="149">
        <v>46069</v>
      </c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</row>
    <row r="514" spans="1:11" ht="18.5" x14ac:dyDescent="0.45">
      <c r="A514" s="150"/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</row>
    <row r="515" spans="1:11" ht="18.5" x14ac:dyDescent="0.45">
      <c r="A515" s="2" t="s">
        <v>75</v>
      </c>
      <c r="B515" s="2" t="s">
        <v>3</v>
      </c>
      <c r="C515" s="2" t="s">
        <v>100</v>
      </c>
      <c r="D515" s="2" t="s">
        <v>90</v>
      </c>
      <c r="E515" s="2" t="s">
        <v>91</v>
      </c>
      <c r="F515" s="2" t="s">
        <v>4</v>
      </c>
      <c r="G515" s="2" t="s">
        <v>101</v>
      </c>
      <c r="H515" s="2" t="s">
        <v>104</v>
      </c>
      <c r="I515" s="2"/>
      <c r="J515" s="2" t="s">
        <v>105</v>
      </c>
      <c r="K515" s="2" t="s">
        <v>106</v>
      </c>
    </row>
    <row r="516" spans="1:11" ht="15.5" x14ac:dyDescent="0.35">
      <c r="A516" s="3" t="s">
        <v>76</v>
      </c>
      <c r="B516" s="1">
        <v>102</v>
      </c>
      <c r="C516" s="20">
        <v>17500</v>
      </c>
      <c r="D516" s="1">
        <v>51</v>
      </c>
      <c r="E516" s="1">
        <v>51</v>
      </c>
      <c r="F516" s="20">
        <f>C516*B516</f>
        <v>1785000</v>
      </c>
      <c r="G516" s="20">
        <f>D516*C516</f>
        <v>892500</v>
      </c>
      <c r="H516" s="20">
        <f>E516*C516</f>
        <v>892500</v>
      </c>
      <c r="I516" s="20" t="b">
        <f>D516+E516=B516</f>
        <v>1</v>
      </c>
      <c r="J516" s="20">
        <f>B551</f>
        <v>435000</v>
      </c>
      <c r="K516" s="20" t="s">
        <v>117</v>
      </c>
    </row>
    <row r="517" spans="1:11" ht="15.5" x14ac:dyDescent="0.35">
      <c r="A517" s="3" t="s">
        <v>77</v>
      </c>
      <c r="B517" s="1">
        <v>13</v>
      </c>
      <c r="C517" s="20">
        <v>16000</v>
      </c>
      <c r="D517" s="1">
        <v>7</v>
      </c>
      <c r="E517" s="1">
        <v>6</v>
      </c>
      <c r="F517" s="20">
        <f t="shared" ref="F517:F528" si="82">C517*B517</f>
        <v>208000</v>
      </c>
      <c r="G517" s="20">
        <f t="shared" ref="G517:G528" si="83">D517*C517</f>
        <v>112000</v>
      </c>
      <c r="H517" s="20">
        <f t="shared" ref="H517:H532" si="84">E517*C517</f>
        <v>96000</v>
      </c>
      <c r="I517" s="20" t="b">
        <f t="shared" ref="I517:I532" si="85">D517+E517=B517</f>
        <v>1</v>
      </c>
      <c r="J517" s="20">
        <v>10000</v>
      </c>
      <c r="K517" s="20" t="s">
        <v>191</v>
      </c>
    </row>
    <row r="518" spans="1:11" ht="15.5" x14ac:dyDescent="0.35">
      <c r="A518" s="3" t="s">
        <v>78</v>
      </c>
      <c r="B518" s="1">
        <v>49</v>
      </c>
      <c r="C518" s="20">
        <v>17500</v>
      </c>
      <c r="D518" s="1">
        <v>24</v>
      </c>
      <c r="E518" s="1">
        <v>25</v>
      </c>
      <c r="F518" s="20">
        <f t="shared" si="82"/>
        <v>857500</v>
      </c>
      <c r="G518" s="20">
        <f t="shared" si="83"/>
        <v>420000</v>
      </c>
      <c r="H518" s="20">
        <f t="shared" si="84"/>
        <v>437500</v>
      </c>
      <c r="I518" s="20" t="b">
        <f t="shared" si="85"/>
        <v>1</v>
      </c>
      <c r="J518" s="20">
        <v>420000</v>
      </c>
      <c r="K518" s="20" t="s">
        <v>107</v>
      </c>
    </row>
    <row r="519" spans="1:11" ht="15.5" x14ac:dyDescent="0.35">
      <c r="A519" s="3" t="s">
        <v>79</v>
      </c>
      <c r="B519" s="1">
        <v>26</v>
      </c>
      <c r="C519" s="20">
        <v>18500</v>
      </c>
      <c r="D519" s="1">
        <v>10</v>
      </c>
      <c r="E519" s="1">
        <v>16</v>
      </c>
      <c r="F519" s="20">
        <f t="shared" si="82"/>
        <v>481000</v>
      </c>
      <c r="G519" s="20">
        <f t="shared" si="83"/>
        <v>185000</v>
      </c>
      <c r="H519" s="20">
        <f t="shared" si="84"/>
        <v>296000</v>
      </c>
      <c r="I519" s="20" t="b">
        <f t="shared" si="85"/>
        <v>1</v>
      </c>
      <c r="J519" s="20">
        <v>29400</v>
      </c>
      <c r="K519" s="20" t="s">
        <v>320</v>
      </c>
    </row>
    <row r="520" spans="1:11" ht="15.5" x14ac:dyDescent="0.35">
      <c r="A520" s="3" t="s">
        <v>80</v>
      </c>
      <c r="B520" s="1"/>
      <c r="C520" s="20">
        <v>18500</v>
      </c>
      <c r="D520" s="1"/>
      <c r="E520" s="1"/>
      <c r="F520" s="20">
        <f t="shared" si="82"/>
        <v>0</v>
      </c>
      <c r="G520" s="20">
        <f t="shared" si="83"/>
        <v>0</v>
      </c>
      <c r="H520" s="20">
        <f t="shared" si="84"/>
        <v>0</v>
      </c>
      <c r="I520" s="20" t="b">
        <f t="shared" si="85"/>
        <v>1</v>
      </c>
      <c r="J520" s="20">
        <v>30000</v>
      </c>
      <c r="K520" s="20" t="s">
        <v>201</v>
      </c>
    </row>
    <row r="521" spans="1:11" ht="15.5" x14ac:dyDescent="0.35">
      <c r="A521" s="3" t="s">
        <v>81</v>
      </c>
      <c r="B521" s="1"/>
      <c r="C521" s="20">
        <v>23000</v>
      </c>
      <c r="D521" s="1"/>
      <c r="E521" s="1"/>
      <c r="F521" s="20">
        <f t="shared" si="82"/>
        <v>0</v>
      </c>
      <c r="G521" s="20">
        <f t="shared" si="83"/>
        <v>0</v>
      </c>
      <c r="H521" s="20">
        <f t="shared" si="84"/>
        <v>0</v>
      </c>
      <c r="I521" s="20" t="b">
        <f t="shared" si="85"/>
        <v>1</v>
      </c>
      <c r="J521" s="20"/>
      <c r="K521" s="20"/>
    </row>
    <row r="522" spans="1:11" ht="15.5" x14ac:dyDescent="0.35">
      <c r="A522" s="3" t="s">
        <v>82</v>
      </c>
      <c r="B522" s="1"/>
      <c r="C522" s="20">
        <v>18000</v>
      </c>
      <c r="D522" s="1"/>
      <c r="E522" s="1"/>
      <c r="F522" s="20">
        <f t="shared" si="82"/>
        <v>0</v>
      </c>
      <c r="G522" s="20">
        <f t="shared" si="83"/>
        <v>0</v>
      </c>
      <c r="H522" s="20">
        <f t="shared" si="84"/>
        <v>0</v>
      </c>
      <c r="I522" s="20" t="b">
        <f t="shared" si="85"/>
        <v>1</v>
      </c>
      <c r="J522" s="20"/>
      <c r="K522" s="20"/>
    </row>
    <row r="523" spans="1:11" ht="15.5" x14ac:dyDescent="0.35">
      <c r="A523" s="3" t="s">
        <v>83</v>
      </c>
      <c r="B523" s="1"/>
      <c r="C523" s="20">
        <v>18000</v>
      </c>
      <c r="D523" s="1"/>
      <c r="E523" s="1"/>
      <c r="F523" s="20">
        <f t="shared" si="82"/>
        <v>0</v>
      </c>
      <c r="G523" s="20">
        <f t="shared" si="83"/>
        <v>0</v>
      </c>
      <c r="H523" s="20">
        <f t="shared" si="84"/>
        <v>0</v>
      </c>
      <c r="I523" s="20" t="b">
        <f t="shared" si="85"/>
        <v>1</v>
      </c>
      <c r="J523" s="20"/>
      <c r="K523" s="20"/>
    </row>
    <row r="524" spans="1:11" ht="15.5" x14ac:dyDescent="0.35">
      <c r="A524" s="3" t="s">
        <v>84</v>
      </c>
      <c r="B524" s="1">
        <v>26</v>
      </c>
      <c r="C524" s="20">
        <v>18500</v>
      </c>
      <c r="D524" s="1">
        <v>8</v>
      </c>
      <c r="E524" s="1">
        <v>18</v>
      </c>
      <c r="F524" s="20">
        <f t="shared" si="82"/>
        <v>481000</v>
      </c>
      <c r="G524" s="20">
        <f t="shared" si="83"/>
        <v>148000</v>
      </c>
      <c r="H524" s="20">
        <f t="shared" si="84"/>
        <v>333000</v>
      </c>
      <c r="I524" s="20" t="b">
        <f t="shared" si="85"/>
        <v>1</v>
      </c>
      <c r="J524" s="20"/>
      <c r="K524" s="20"/>
    </row>
    <row r="525" spans="1:11" ht="15.5" x14ac:dyDescent="0.35">
      <c r="A525" s="3" t="s">
        <v>85</v>
      </c>
      <c r="B525" s="1"/>
      <c r="C525" s="20">
        <v>18500</v>
      </c>
      <c r="D525" s="1"/>
      <c r="E525" s="1"/>
      <c r="F525" s="20">
        <f t="shared" si="82"/>
        <v>0</v>
      </c>
      <c r="G525" s="20">
        <f t="shared" si="83"/>
        <v>0</v>
      </c>
      <c r="H525" s="20">
        <f t="shared" si="84"/>
        <v>0</v>
      </c>
      <c r="I525" s="20" t="b">
        <f t="shared" si="85"/>
        <v>1</v>
      </c>
      <c r="J525" s="20"/>
      <c r="K525" s="20"/>
    </row>
    <row r="526" spans="1:11" ht="15.5" x14ac:dyDescent="0.35">
      <c r="A526" s="3" t="s">
        <v>86</v>
      </c>
      <c r="B526" s="1">
        <v>4</v>
      </c>
      <c r="C526" s="20">
        <v>18500</v>
      </c>
      <c r="D526" s="1">
        <v>2</v>
      </c>
      <c r="E526" s="1">
        <v>2</v>
      </c>
      <c r="F526" s="20">
        <f t="shared" si="82"/>
        <v>74000</v>
      </c>
      <c r="G526" s="20">
        <f t="shared" si="83"/>
        <v>37000</v>
      </c>
      <c r="H526" s="20">
        <f t="shared" si="84"/>
        <v>37000</v>
      </c>
      <c r="I526" s="20" t="b">
        <f t="shared" si="85"/>
        <v>1</v>
      </c>
      <c r="J526" s="20"/>
      <c r="K526" s="20"/>
    </row>
    <row r="527" spans="1:11" ht="15.5" x14ac:dyDescent="0.35">
      <c r="A527" s="3" t="s">
        <v>87</v>
      </c>
      <c r="B527" s="1"/>
      <c r="C527" s="20">
        <v>18500</v>
      </c>
      <c r="D527" s="1"/>
      <c r="E527" s="1"/>
      <c r="F527" s="20">
        <f t="shared" si="82"/>
        <v>0</v>
      </c>
      <c r="G527" s="20">
        <f t="shared" si="83"/>
        <v>0</v>
      </c>
      <c r="H527" s="20">
        <f t="shared" si="84"/>
        <v>0</v>
      </c>
      <c r="I527" s="20" t="b">
        <f t="shared" si="85"/>
        <v>1</v>
      </c>
      <c r="J527" s="20"/>
      <c r="K527" s="20"/>
    </row>
    <row r="528" spans="1:11" ht="15.5" x14ac:dyDescent="0.35">
      <c r="A528" s="3" t="s">
        <v>88</v>
      </c>
      <c r="B528" s="1">
        <v>10</v>
      </c>
      <c r="C528" s="20">
        <v>18500</v>
      </c>
      <c r="D528" s="1">
        <v>2</v>
      </c>
      <c r="E528" s="1">
        <v>8</v>
      </c>
      <c r="F528" s="20">
        <f t="shared" si="82"/>
        <v>185000</v>
      </c>
      <c r="G528" s="20">
        <f t="shared" si="83"/>
        <v>37000</v>
      </c>
      <c r="H528" s="20">
        <f t="shared" si="84"/>
        <v>148000</v>
      </c>
      <c r="I528" s="20" t="b">
        <f t="shared" si="85"/>
        <v>1</v>
      </c>
      <c r="J528" s="20"/>
      <c r="K528" s="20"/>
    </row>
    <row r="529" spans="1:11" ht="15.5" x14ac:dyDescent="0.35">
      <c r="A529" s="19" t="s">
        <v>89</v>
      </c>
      <c r="B529" s="1"/>
      <c r="C529" s="20"/>
      <c r="D529" s="1"/>
      <c r="E529" s="1"/>
      <c r="F529" s="20"/>
      <c r="G529" s="20"/>
      <c r="H529" s="20">
        <f t="shared" si="84"/>
        <v>0</v>
      </c>
      <c r="I529" s="20" t="b">
        <f t="shared" si="85"/>
        <v>1</v>
      </c>
      <c r="J529" s="20"/>
      <c r="K529" s="20"/>
    </row>
    <row r="530" spans="1:11" ht="15.5" x14ac:dyDescent="0.35">
      <c r="A530" s="3" t="s">
        <v>92</v>
      </c>
      <c r="B530" s="1">
        <v>37</v>
      </c>
      <c r="C530" s="20">
        <v>21500</v>
      </c>
      <c r="D530" s="1">
        <v>8</v>
      </c>
      <c r="E530" s="1">
        <v>29</v>
      </c>
      <c r="F530" s="20">
        <f t="shared" ref="F530:F532" si="86">C530*B530</f>
        <v>795500</v>
      </c>
      <c r="G530" s="20">
        <f t="shared" ref="G530:G532" si="87">D530*C530</f>
        <v>172000</v>
      </c>
      <c r="H530" s="20">
        <f t="shared" si="84"/>
        <v>623500</v>
      </c>
      <c r="I530" s="20" t="b">
        <f t="shared" si="85"/>
        <v>1</v>
      </c>
      <c r="J530" s="20"/>
      <c r="K530" s="20"/>
    </row>
    <row r="531" spans="1:11" ht="15.5" x14ac:dyDescent="0.35">
      <c r="A531" s="3" t="s">
        <v>93</v>
      </c>
      <c r="B531" s="1"/>
      <c r="C531" s="20">
        <v>21500</v>
      </c>
      <c r="D531" s="1"/>
      <c r="E531" s="1"/>
      <c r="F531" s="20">
        <f t="shared" si="86"/>
        <v>0</v>
      </c>
      <c r="G531" s="20">
        <f t="shared" si="87"/>
        <v>0</v>
      </c>
      <c r="H531" s="20">
        <f t="shared" si="84"/>
        <v>0</v>
      </c>
      <c r="I531" s="20" t="b">
        <f t="shared" si="85"/>
        <v>1</v>
      </c>
      <c r="J531" s="20"/>
      <c r="K531" s="20"/>
    </row>
    <row r="532" spans="1:11" ht="15.5" x14ac:dyDescent="0.35">
      <c r="A532" s="3" t="s">
        <v>94</v>
      </c>
      <c r="B532" s="1">
        <v>27</v>
      </c>
      <c r="C532" s="20">
        <v>21500</v>
      </c>
      <c r="D532" s="1">
        <v>13</v>
      </c>
      <c r="E532" s="1">
        <v>14</v>
      </c>
      <c r="F532" s="20">
        <f t="shared" si="86"/>
        <v>580500</v>
      </c>
      <c r="G532" s="20">
        <f t="shared" si="87"/>
        <v>279500</v>
      </c>
      <c r="H532" s="20">
        <f t="shared" si="84"/>
        <v>301000</v>
      </c>
      <c r="I532" s="20" t="b">
        <f t="shared" si="85"/>
        <v>1</v>
      </c>
      <c r="J532" s="20"/>
      <c r="K532" s="20"/>
    </row>
    <row r="533" spans="1:11" ht="15.5" x14ac:dyDescent="0.35">
      <c r="A533" s="19"/>
      <c r="B533" s="22">
        <f>SUM(B516:B532)</f>
        <v>294</v>
      </c>
      <c r="C533" s="20"/>
      <c r="D533" s="1"/>
      <c r="E533" s="1"/>
      <c r="F533" s="23">
        <f>SUM(F516:F532)</f>
        <v>5447500</v>
      </c>
      <c r="G533" s="23">
        <f>SUM(G516:G532)</f>
        <v>2283000</v>
      </c>
      <c r="H533" s="23">
        <f>SUM(H516:H532)</f>
        <v>3164500</v>
      </c>
      <c r="I533" s="23"/>
      <c r="J533" s="23">
        <f>SUM(J516:J532)</f>
        <v>924400</v>
      </c>
      <c r="K533" s="23">
        <f>H533-J533</f>
        <v>2240100</v>
      </c>
    </row>
    <row r="534" spans="1:11" ht="15.5" x14ac:dyDescent="0.35">
      <c r="A534" s="19" t="s">
        <v>95</v>
      </c>
      <c r="B534" s="1"/>
      <c r="C534" s="20"/>
      <c r="D534" s="1"/>
      <c r="E534" s="1"/>
      <c r="F534" s="20"/>
      <c r="G534" s="20"/>
      <c r="H534" s="20" t="s">
        <v>192</v>
      </c>
      <c r="I534" s="20"/>
      <c r="J534" s="20"/>
      <c r="K534" s="20"/>
    </row>
    <row r="535" spans="1:11" ht="15.5" x14ac:dyDescent="0.35">
      <c r="A535" s="3" t="s">
        <v>96</v>
      </c>
      <c r="B535" s="1"/>
      <c r="C535" s="20">
        <v>3000</v>
      </c>
      <c r="D535" s="1"/>
      <c r="E535" s="20"/>
      <c r="F535" s="20">
        <f t="shared" ref="F535:F538" si="88">C535*B535</f>
        <v>0</v>
      </c>
      <c r="G535" s="20"/>
      <c r="H535" s="20"/>
      <c r="I535" s="20"/>
      <c r="J535" s="20"/>
      <c r="K535" s="20"/>
    </row>
    <row r="536" spans="1:11" ht="15.5" x14ac:dyDescent="0.35">
      <c r="A536" s="3" t="s">
        <v>97</v>
      </c>
      <c r="B536" s="1"/>
      <c r="C536" s="20">
        <v>2500</v>
      </c>
      <c r="D536" s="1"/>
      <c r="E536" s="1"/>
      <c r="F536" s="20">
        <f t="shared" si="88"/>
        <v>0</v>
      </c>
      <c r="G536" s="20"/>
      <c r="H536" s="20"/>
      <c r="I536" s="20"/>
      <c r="J536" s="20"/>
      <c r="K536" s="20"/>
    </row>
    <row r="537" spans="1:11" ht="15.5" x14ac:dyDescent="0.35">
      <c r="A537" s="3" t="s">
        <v>98</v>
      </c>
      <c r="B537" s="1"/>
      <c r="C537" s="20">
        <v>1800</v>
      </c>
      <c r="D537" s="1"/>
      <c r="E537" s="1"/>
      <c r="F537" s="20">
        <f t="shared" si="88"/>
        <v>0</v>
      </c>
      <c r="G537" s="20"/>
      <c r="H537" s="20"/>
      <c r="I537" s="20"/>
      <c r="J537" s="20"/>
      <c r="K537" s="20"/>
    </row>
    <row r="538" spans="1:11" ht="15.5" x14ac:dyDescent="0.35">
      <c r="A538" s="3" t="s">
        <v>99</v>
      </c>
      <c r="B538" s="1">
        <v>5</v>
      </c>
      <c r="C538" s="20">
        <v>3500</v>
      </c>
      <c r="D538" s="1">
        <v>1</v>
      </c>
      <c r="E538" s="1">
        <v>4</v>
      </c>
      <c r="F538" s="20">
        <f t="shared" si="88"/>
        <v>17500</v>
      </c>
      <c r="G538" s="20"/>
      <c r="H538" s="20"/>
      <c r="I538" s="20"/>
      <c r="J538" s="20"/>
      <c r="K538" s="20"/>
    </row>
    <row r="539" spans="1:11" ht="15.5" x14ac:dyDescent="0.35">
      <c r="A539" s="18"/>
      <c r="F539" s="21"/>
    </row>
    <row r="540" spans="1:11" ht="15.5" x14ac:dyDescent="0.35">
      <c r="A540" s="24" t="s">
        <v>108</v>
      </c>
      <c r="K540" s="21"/>
    </row>
    <row r="541" spans="1:11" ht="15.5" x14ac:dyDescent="0.35">
      <c r="A541" s="18" t="s">
        <v>114</v>
      </c>
      <c r="B541" s="67">
        <v>45000</v>
      </c>
    </row>
    <row r="542" spans="1:11" ht="15.5" x14ac:dyDescent="0.35">
      <c r="A542" s="18" t="s">
        <v>112</v>
      </c>
      <c r="B542" s="67">
        <v>45000</v>
      </c>
    </row>
    <row r="543" spans="1:11" ht="15.5" x14ac:dyDescent="0.35">
      <c r="A543" s="18" t="s">
        <v>309</v>
      </c>
      <c r="B543" s="67">
        <v>60000</v>
      </c>
    </row>
    <row r="544" spans="1:11" ht="15.5" x14ac:dyDescent="0.35">
      <c r="A544" s="18" t="s">
        <v>110</v>
      </c>
      <c r="B544" s="67">
        <v>45000</v>
      </c>
    </row>
    <row r="545" spans="1:11" ht="15.5" x14ac:dyDescent="0.35">
      <c r="A545" s="18" t="s">
        <v>111</v>
      </c>
      <c r="B545" s="67">
        <v>45000</v>
      </c>
    </row>
    <row r="546" spans="1:11" ht="15.5" x14ac:dyDescent="0.35">
      <c r="A546" s="18" t="s">
        <v>196</v>
      </c>
      <c r="B546" s="67">
        <v>45000</v>
      </c>
    </row>
    <row r="547" spans="1:11" ht="15.5" x14ac:dyDescent="0.35">
      <c r="A547" s="18" t="s">
        <v>113</v>
      </c>
      <c r="B547" s="67">
        <v>45000</v>
      </c>
    </row>
    <row r="548" spans="1:11" ht="15.5" x14ac:dyDescent="0.35">
      <c r="A548" s="18" t="s">
        <v>209</v>
      </c>
      <c r="B548" s="67"/>
      <c r="C548" t="s">
        <v>261</v>
      </c>
    </row>
    <row r="549" spans="1:11" ht="15.5" x14ac:dyDescent="0.35">
      <c r="A549" s="18" t="s">
        <v>115</v>
      </c>
      <c r="B549" s="67">
        <v>60000</v>
      </c>
    </row>
    <row r="550" spans="1:11" ht="15.5" x14ac:dyDescent="0.35">
      <c r="A550" s="18" t="s">
        <v>109</v>
      </c>
      <c r="B550" s="67">
        <v>45000</v>
      </c>
    </row>
    <row r="551" spans="1:11" ht="15.5" x14ac:dyDescent="0.35">
      <c r="A551" s="24" t="s">
        <v>4</v>
      </c>
      <c r="B551" s="75">
        <f>SUM(B541:B550)</f>
        <v>435000</v>
      </c>
    </row>
    <row r="554" spans="1:11" ht="18.5" x14ac:dyDescent="0.45">
      <c r="A554" s="150" t="s">
        <v>1</v>
      </c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</row>
    <row r="555" spans="1:11" ht="18.5" x14ac:dyDescent="0.45">
      <c r="A555" s="150" t="s">
        <v>74</v>
      </c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</row>
    <row r="556" spans="1:11" ht="18.5" x14ac:dyDescent="0.45">
      <c r="A556" s="149">
        <v>46070</v>
      </c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</row>
    <row r="557" spans="1:11" ht="18.5" x14ac:dyDescent="0.45">
      <c r="A557" s="150"/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</row>
    <row r="558" spans="1:11" ht="18.5" x14ac:dyDescent="0.45">
      <c r="A558" s="2" t="s">
        <v>75</v>
      </c>
      <c r="B558" s="2" t="s">
        <v>3</v>
      </c>
      <c r="C558" s="2" t="s">
        <v>100</v>
      </c>
      <c r="D558" s="2" t="s">
        <v>90</v>
      </c>
      <c r="E558" s="2" t="s">
        <v>91</v>
      </c>
      <c r="F558" s="2" t="s">
        <v>4</v>
      </c>
      <c r="G558" s="2" t="s">
        <v>101</v>
      </c>
      <c r="H558" s="2" t="s">
        <v>104</v>
      </c>
      <c r="I558" s="2"/>
      <c r="J558" s="2" t="s">
        <v>105</v>
      </c>
      <c r="K558" s="2" t="s">
        <v>106</v>
      </c>
    </row>
    <row r="559" spans="1:11" ht="15.5" x14ac:dyDescent="0.35">
      <c r="A559" s="3" t="s">
        <v>76</v>
      </c>
      <c r="B559" s="1">
        <v>94</v>
      </c>
      <c r="C559" s="20">
        <v>17500</v>
      </c>
      <c r="D559" s="1">
        <v>40</v>
      </c>
      <c r="E559" s="1">
        <v>54</v>
      </c>
      <c r="F559" s="20">
        <f>C559*B559</f>
        <v>1645000</v>
      </c>
      <c r="G559" s="20">
        <f>D559*C559</f>
        <v>700000</v>
      </c>
      <c r="H559" s="20">
        <f>E559*C559</f>
        <v>945000</v>
      </c>
      <c r="I559" s="20" t="b">
        <f>D559+E559=B559</f>
        <v>1</v>
      </c>
      <c r="J559" s="20">
        <f>B594</f>
        <v>435000</v>
      </c>
      <c r="K559" s="20" t="s">
        <v>117</v>
      </c>
    </row>
    <row r="560" spans="1:11" ht="15.5" x14ac:dyDescent="0.35">
      <c r="A560" s="3" t="s">
        <v>77</v>
      </c>
      <c r="B560" s="1">
        <v>16</v>
      </c>
      <c r="C560" s="20">
        <v>16000</v>
      </c>
      <c r="D560" s="1">
        <v>7</v>
      </c>
      <c r="E560" s="1">
        <v>9</v>
      </c>
      <c r="F560" s="20">
        <f t="shared" ref="F560:F571" si="89">C560*B560</f>
        <v>256000</v>
      </c>
      <c r="G560" s="20">
        <f t="shared" ref="G560:G571" si="90">D560*C560</f>
        <v>112000</v>
      </c>
      <c r="H560" s="20">
        <f t="shared" ref="H560:H575" si="91">E560*C560</f>
        <v>144000</v>
      </c>
      <c r="I560" s="20" t="b">
        <f t="shared" ref="I560:I575" si="92">D560+E560=B560</f>
        <v>1</v>
      </c>
      <c r="J560" s="20">
        <v>10000</v>
      </c>
      <c r="K560" s="20" t="s">
        <v>191</v>
      </c>
    </row>
    <row r="561" spans="1:11" ht="15.5" x14ac:dyDescent="0.35">
      <c r="A561" s="3" t="s">
        <v>78</v>
      </c>
      <c r="B561" s="1">
        <v>53</v>
      </c>
      <c r="C561" s="20">
        <v>17500</v>
      </c>
      <c r="D561" s="1">
        <v>24</v>
      </c>
      <c r="E561" s="1">
        <v>29</v>
      </c>
      <c r="F561" s="20">
        <f t="shared" si="89"/>
        <v>927500</v>
      </c>
      <c r="G561" s="20">
        <f t="shared" si="90"/>
        <v>420000</v>
      </c>
      <c r="H561" s="20">
        <f t="shared" si="91"/>
        <v>507500</v>
      </c>
      <c r="I561" s="20" t="b">
        <f t="shared" si="92"/>
        <v>1</v>
      </c>
      <c r="J561" s="20">
        <v>400000</v>
      </c>
      <c r="K561" s="20" t="s">
        <v>107</v>
      </c>
    </row>
    <row r="562" spans="1:11" ht="15.5" x14ac:dyDescent="0.35">
      <c r="A562" s="3" t="s">
        <v>79</v>
      </c>
      <c r="B562" s="1"/>
      <c r="C562" s="20">
        <v>18500</v>
      </c>
      <c r="D562" s="1"/>
      <c r="E562" s="1"/>
      <c r="F562" s="20">
        <f t="shared" si="89"/>
        <v>0</v>
      </c>
      <c r="G562" s="20">
        <f t="shared" si="90"/>
        <v>0</v>
      </c>
      <c r="H562" s="20">
        <f t="shared" si="91"/>
        <v>0</v>
      </c>
      <c r="I562" s="20" t="b">
        <f t="shared" si="92"/>
        <v>1</v>
      </c>
      <c r="J562" s="20"/>
      <c r="K562" s="20"/>
    </row>
    <row r="563" spans="1:11" ht="15.5" x14ac:dyDescent="0.35">
      <c r="A563" s="3" t="s">
        <v>80</v>
      </c>
      <c r="B563" s="1"/>
      <c r="C563" s="20">
        <v>18500</v>
      </c>
      <c r="D563" s="1"/>
      <c r="E563" s="1"/>
      <c r="F563" s="20">
        <f t="shared" si="89"/>
        <v>0</v>
      </c>
      <c r="G563" s="20">
        <f t="shared" si="90"/>
        <v>0</v>
      </c>
      <c r="H563" s="20">
        <f t="shared" si="91"/>
        <v>0</v>
      </c>
      <c r="I563" s="20" t="b">
        <f t="shared" si="92"/>
        <v>1</v>
      </c>
      <c r="J563" s="20"/>
      <c r="K563" s="20"/>
    </row>
    <row r="564" spans="1:11" ht="15.5" x14ac:dyDescent="0.35">
      <c r="A564" s="3" t="s">
        <v>81</v>
      </c>
      <c r="B564" s="1"/>
      <c r="C564" s="20">
        <v>23000</v>
      </c>
      <c r="D564" s="1"/>
      <c r="E564" s="1"/>
      <c r="F564" s="20">
        <f t="shared" si="89"/>
        <v>0</v>
      </c>
      <c r="G564" s="20">
        <f t="shared" si="90"/>
        <v>0</v>
      </c>
      <c r="H564" s="20">
        <f t="shared" si="91"/>
        <v>0</v>
      </c>
      <c r="I564" s="20" t="b">
        <f t="shared" si="92"/>
        <v>1</v>
      </c>
      <c r="J564" s="20"/>
      <c r="K564" s="20"/>
    </row>
    <row r="565" spans="1:11" ht="15.5" x14ac:dyDescent="0.35">
      <c r="A565" s="3" t="s">
        <v>82</v>
      </c>
      <c r="B565" s="1"/>
      <c r="C565" s="20">
        <v>18000</v>
      </c>
      <c r="D565" s="1"/>
      <c r="E565" s="1"/>
      <c r="F565" s="20">
        <f t="shared" si="89"/>
        <v>0</v>
      </c>
      <c r="G565" s="20">
        <f t="shared" si="90"/>
        <v>0</v>
      </c>
      <c r="H565" s="20">
        <f t="shared" si="91"/>
        <v>0</v>
      </c>
      <c r="I565" s="20" t="b">
        <f t="shared" si="92"/>
        <v>1</v>
      </c>
      <c r="J565" s="20"/>
      <c r="K565" s="20"/>
    </row>
    <row r="566" spans="1:11" ht="15.5" x14ac:dyDescent="0.35">
      <c r="A566" s="3" t="s">
        <v>83</v>
      </c>
      <c r="B566" s="1"/>
      <c r="C566" s="20">
        <v>18000</v>
      </c>
      <c r="D566" s="1"/>
      <c r="E566" s="1"/>
      <c r="F566" s="20">
        <f t="shared" si="89"/>
        <v>0</v>
      </c>
      <c r="G566" s="20">
        <f t="shared" si="90"/>
        <v>0</v>
      </c>
      <c r="H566" s="20">
        <f t="shared" si="91"/>
        <v>0</v>
      </c>
      <c r="I566" s="20" t="b">
        <f t="shared" si="92"/>
        <v>1</v>
      </c>
      <c r="J566" s="20"/>
      <c r="K566" s="20"/>
    </row>
    <row r="567" spans="1:11" ht="15.5" x14ac:dyDescent="0.35">
      <c r="A567" s="3" t="s">
        <v>84</v>
      </c>
      <c r="B567" s="1"/>
      <c r="C567" s="20">
        <v>18500</v>
      </c>
      <c r="D567" s="1"/>
      <c r="E567" s="1"/>
      <c r="F567" s="20">
        <f t="shared" si="89"/>
        <v>0</v>
      </c>
      <c r="G567" s="20">
        <f t="shared" si="90"/>
        <v>0</v>
      </c>
      <c r="H567" s="20">
        <f t="shared" si="91"/>
        <v>0</v>
      </c>
      <c r="I567" s="20" t="b">
        <f t="shared" si="92"/>
        <v>1</v>
      </c>
      <c r="J567" s="20"/>
      <c r="K567" s="20"/>
    </row>
    <row r="568" spans="1:11" ht="15.5" x14ac:dyDescent="0.35">
      <c r="A568" s="3" t="s">
        <v>85</v>
      </c>
      <c r="B568" s="1">
        <v>46</v>
      </c>
      <c r="C568" s="20">
        <v>18500</v>
      </c>
      <c r="D568" s="1">
        <v>25</v>
      </c>
      <c r="E568" s="1">
        <v>21</v>
      </c>
      <c r="F568" s="20">
        <f t="shared" si="89"/>
        <v>851000</v>
      </c>
      <c r="G568" s="20">
        <f t="shared" si="90"/>
        <v>462500</v>
      </c>
      <c r="H568" s="20">
        <f t="shared" si="91"/>
        <v>388500</v>
      </c>
      <c r="I568" s="20" t="b">
        <f t="shared" si="92"/>
        <v>1</v>
      </c>
      <c r="J568" s="20"/>
      <c r="K568" s="20"/>
    </row>
    <row r="569" spans="1:11" ht="15.5" x14ac:dyDescent="0.35">
      <c r="A569" s="3" t="s">
        <v>86</v>
      </c>
      <c r="B569" s="1"/>
      <c r="C569" s="20">
        <v>18500</v>
      </c>
      <c r="D569" s="1"/>
      <c r="E569" s="1"/>
      <c r="F569" s="20">
        <f t="shared" si="89"/>
        <v>0</v>
      </c>
      <c r="G569" s="20">
        <f t="shared" si="90"/>
        <v>0</v>
      </c>
      <c r="H569" s="20">
        <f t="shared" si="91"/>
        <v>0</v>
      </c>
      <c r="I569" s="20" t="b">
        <f t="shared" si="92"/>
        <v>1</v>
      </c>
      <c r="J569" s="20"/>
      <c r="K569" s="20"/>
    </row>
    <row r="570" spans="1:11" ht="15.5" x14ac:dyDescent="0.35">
      <c r="A570" s="3" t="s">
        <v>87</v>
      </c>
      <c r="B570" s="1">
        <v>3</v>
      </c>
      <c r="C570" s="20">
        <v>18500</v>
      </c>
      <c r="D570" s="1">
        <v>2</v>
      </c>
      <c r="E570" s="1">
        <v>1</v>
      </c>
      <c r="F570" s="20">
        <f t="shared" si="89"/>
        <v>55500</v>
      </c>
      <c r="G570" s="20">
        <f t="shared" si="90"/>
        <v>37000</v>
      </c>
      <c r="H570" s="20">
        <f t="shared" si="91"/>
        <v>18500</v>
      </c>
      <c r="I570" s="20" t="b">
        <f t="shared" si="92"/>
        <v>1</v>
      </c>
      <c r="J570" s="20"/>
      <c r="K570" s="20"/>
    </row>
    <row r="571" spans="1:11" ht="15.5" x14ac:dyDescent="0.35">
      <c r="A571" s="3" t="s">
        <v>88</v>
      </c>
      <c r="B571" s="1"/>
      <c r="C571" s="20">
        <v>18500</v>
      </c>
      <c r="D571" s="1"/>
      <c r="E571" s="1"/>
      <c r="F571" s="20">
        <f t="shared" si="89"/>
        <v>0</v>
      </c>
      <c r="G571" s="20">
        <f t="shared" si="90"/>
        <v>0</v>
      </c>
      <c r="H571" s="20">
        <f t="shared" si="91"/>
        <v>0</v>
      </c>
      <c r="I571" s="20" t="b">
        <f t="shared" si="92"/>
        <v>1</v>
      </c>
      <c r="J571" s="20"/>
      <c r="K571" s="20"/>
    </row>
    <row r="572" spans="1:11" ht="15.5" x14ac:dyDescent="0.35">
      <c r="A572" s="19" t="s">
        <v>89</v>
      </c>
      <c r="B572" s="1"/>
      <c r="C572" s="20"/>
      <c r="D572" s="1"/>
      <c r="E572" s="1"/>
      <c r="F572" s="20"/>
      <c r="G572" s="20"/>
      <c r="H572" s="20">
        <f t="shared" si="91"/>
        <v>0</v>
      </c>
      <c r="I572" s="20" t="b">
        <f t="shared" si="92"/>
        <v>1</v>
      </c>
      <c r="J572" s="20"/>
      <c r="K572" s="20"/>
    </row>
    <row r="573" spans="1:11" ht="15.5" x14ac:dyDescent="0.35">
      <c r="A573" s="3" t="s">
        <v>92</v>
      </c>
      <c r="B573" s="1"/>
      <c r="C573" s="20">
        <v>21500</v>
      </c>
      <c r="D573" s="1"/>
      <c r="E573" s="1"/>
      <c r="F573" s="20">
        <f t="shared" ref="F573:F575" si="93">C573*B573</f>
        <v>0</v>
      </c>
      <c r="G573" s="20">
        <f t="shared" ref="G573:G575" si="94">D573*C573</f>
        <v>0</v>
      </c>
      <c r="H573" s="20">
        <f t="shared" si="91"/>
        <v>0</v>
      </c>
      <c r="I573" s="20" t="b">
        <f t="shared" si="92"/>
        <v>1</v>
      </c>
      <c r="J573" s="20"/>
      <c r="K573" s="20"/>
    </row>
    <row r="574" spans="1:11" ht="15.5" x14ac:dyDescent="0.35">
      <c r="A574" s="3" t="s">
        <v>93</v>
      </c>
      <c r="B574" s="1">
        <v>35</v>
      </c>
      <c r="C574" s="20">
        <v>21500</v>
      </c>
      <c r="D574" s="1">
        <v>18</v>
      </c>
      <c r="E574" s="1">
        <v>17</v>
      </c>
      <c r="F574" s="20">
        <f t="shared" si="93"/>
        <v>752500</v>
      </c>
      <c r="G574" s="20">
        <f t="shared" si="94"/>
        <v>387000</v>
      </c>
      <c r="H574" s="20">
        <f t="shared" si="91"/>
        <v>365500</v>
      </c>
      <c r="I574" s="20" t="b">
        <f t="shared" si="92"/>
        <v>1</v>
      </c>
      <c r="J574" s="20"/>
      <c r="K574" s="20"/>
    </row>
    <row r="575" spans="1:11" ht="15.5" x14ac:dyDescent="0.35">
      <c r="A575" s="3" t="s">
        <v>94</v>
      </c>
      <c r="B575" s="1">
        <v>27</v>
      </c>
      <c r="C575" s="20">
        <v>21500</v>
      </c>
      <c r="D575" s="1">
        <v>13</v>
      </c>
      <c r="E575" s="1">
        <v>14</v>
      </c>
      <c r="F575" s="20">
        <f t="shared" si="93"/>
        <v>580500</v>
      </c>
      <c r="G575" s="20">
        <f t="shared" si="94"/>
        <v>279500</v>
      </c>
      <c r="H575" s="20">
        <f t="shared" si="91"/>
        <v>301000</v>
      </c>
      <c r="I575" s="20" t="b">
        <f t="shared" si="92"/>
        <v>1</v>
      </c>
      <c r="J575" s="20"/>
      <c r="K575" s="20"/>
    </row>
    <row r="576" spans="1:11" ht="15.5" x14ac:dyDescent="0.35">
      <c r="A576" s="19"/>
      <c r="B576" s="22">
        <f>SUM(B559:B575)</f>
        <v>274</v>
      </c>
      <c r="C576" s="20"/>
      <c r="D576" s="1"/>
      <c r="E576" s="1"/>
      <c r="F576" s="23">
        <f>SUM(F559:F575)</f>
        <v>5068000</v>
      </c>
      <c r="G576" s="23">
        <f>SUM(G559:G575)</f>
        <v>2398000</v>
      </c>
      <c r="H576" s="23">
        <f>SUM(H559:H575)</f>
        <v>2670000</v>
      </c>
      <c r="I576" s="23"/>
      <c r="J576" s="23">
        <f>SUM(J559:J575)</f>
        <v>845000</v>
      </c>
      <c r="K576" s="23">
        <f>H576-J576</f>
        <v>1825000</v>
      </c>
    </row>
    <row r="577" spans="1:11" ht="15.5" x14ac:dyDescent="0.35">
      <c r="A577" s="19" t="s">
        <v>95</v>
      </c>
      <c r="B577" s="1"/>
      <c r="C577" s="20"/>
      <c r="D577" s="1"/>
      <c r="E577" s="1"/>
      <c r="F577" s="20"/>
      <c r="G577" s="20"/>
      <c r="H577" s="20" t="s">
        <v>192</v>
      </c>
      <c r="I577" s="20"/>
      <c r="J577" s="20"/>
      <c r="K577" s="20"/>
    </row>
    <row r="578" spans="1:11" ht="15.5" x14ac:dyDescent="0.35">
      <c r="A578" s="3" t="s">
        <v>96</v>
      </c>
      <c r="B578" s="1"/>
      <c r="C578" s="20">
        <v>3000</v>
      </c>
      <c r="D578" s="1"/>
      <c r="E578" s="20"/>
      <c r="F578" s="20">
        <f t="shared" ref="F578:F581" si="95">C578*B578</f>
        <v>0</v>
      </c>
      <c r="G578" s="20"/>
      <c r="H578" s="20"/>
      <c r="I578" s="20"/>
      <c r="J578" s="20"/>
      <c r="K578" s="20"/>
    </row>
    <row r="579" spans="1:11" ht="15.5" x14ac:dyDescent="0.35">
      <c r="A579" s="3" t="s">
        <v>97</v>
      </c>
      <c r="B579" s="1"/>
      <c r="C579" s="20">
        <v>2500</v>
      </c>
      <c r="D579" s="1"/>
      <c r="E579" s="1"/>
      <c r="F579" s="20">
        <f t="shared" si="95"/>
        <v>0</v>
      </c>
      <c r="G579" s="20"/>
      <c r="H579" s="20"/>
      <c r="I579" s="20"/>
      <c r="J579" s="20"/>
      <c r="K579" s="20"/>
    </row>
    <row r="580" spans="1:11" ht="15.5" x14ac:dyDescent="0.35">
      <c r="A580" s="3" t="s">
        <v>98</v>
      </c>
      <c r="B580" s="1"/>
      <c r="C580" s="20">
        <v>1800</v>
      </c>
      <c r="D580" s="1"/>
      <c r="E580" s="1"/>
      <c r="F580" s="20">
        <f t="shared" si="95"/>
        <v>0</v>
      </c>
      <c r="G580" s="20"/>
      <c r="H580" s="20"/>
      <c r="I580" s="20"/>
      <c r="J580" s="20"/>
      <c r="K580" s="20"/>
    </row>
    <row r="581" spans="1:11" ht="15.5" x14ac:dyDescent="0.35">
      <c r="A581" s="3" t="s">
        <v>99</v>
      </c>
      <c r="B581" s="1">
        <v>5</v>
      </c>
      <c r="C581" s="20">
        <v>3500</v>
      </c>
      <c r="D581" s="1">
        <v>4</v>
      </c>
      <c r="E581" s="1">
        <v>1</v>
      </c>
      <c r="F581" s="20">
        <f t="shared" si="95"/>
        <v>17500</v>
      </c>
      <c r="G581" s="20"/>
      <c r="H581" s="20"/>
      <c r="I581" s="20"/>
      <c r="J581" s="20"/>
      <c r="K581" s="20"/>
    </row>
    <row r="582" spans="1:11" ht="15.5" x14ac:dyDescent="0.35">
      <c r="A582" s="18"/>
      <c r="F582" s="21"/>
    </row>
    <row r="583" spans="1:11" ht="15.5" x14ac:dyDescent="0.35">
      <c r="A583" s="24" t="s">
        <v>108</v>
      </c>
      <c r="K583" s="21"/>
    </row>
    <row r="584" spans="1:11" ht="15.5" x14ac:dyDescent="0.35">
      <c r="A584" s="18" t="s">
        <v>114</v>
      </c>
      <c r="B584" s="67">
        <v>45000</v>
      </c>
    </row>
    <row r="585" spans="1:11" ht="15.5" x14ac:dyDescent="0.35">
      <c r="A585" s="18" t="s">
        <v>112</v>
      </c>
      <c r="B585" s="67">
        <v>45000</v>
      </c>
    </row>
    <row r="586" spans="1:11" ht="15.5" x14ac:dyDescent="0.35">
      <c r="A586" s="18" t="s">
        <v>309</v>
      </c>
      <c r="B586" s="67">
        <v>60000</v>
      </c>
    </row>
    <row r="587" spans="1:11" ht="15.5" x14ac:dyDescent="0.35">
      <c r="A587" s="18" t="s">
        <v>110</v>
      </c>
      <c r="B587" s="67">
        <v>45000</v>
      </c>
    </row>
    <row r="588" spans="1:11" ht="15.5" x14ac:dyDescent="0.35">
      <c r="A588" s="18" t="s">
        <v>111</v>
      </c>
      <c r="B588" s="67">
        <v>45000</v>
      </c>
    </row>
    <row r="589" spans="1:11" ht="15.5" x14ac:dyDescent="0.35">
      <c r="A589" s="18" t="s">
        <v>196</v>
      </c>
      <c r="B589" s="67">
        <v>45000</v>
      </c>
    </row>
    <row r="590" spans="1:11" ht="15.5" x14ac:dyDescent="0.35">
      <c r="A590" s="18" t="s">
        <v>113</v>
      </c>
      <c r="B590" s="67">
        <v>45000</v>
      </c>
    </row>
    <row r="591" spans="1:11" ht="15.5" x14ac:dyDescent="0.35">
      <c r="A591" s="18" t="s">
        <v>209</v>
      </c>
      <c r="B591" s="67"/>
      <c r="C591" t="s">
        <v>261</v>
      </c>
    </row>
    <row r="592" spans="1:11" ht="15.5" x14ac:dyDescent="0.35">
      <c r="A592" s="18" t="s">
        <v>115</v>
      </c>
      <c r="B592" s="67">
        <v>60000</v>
      </c>
    </row>
    <row r="593" spans="1:11" ht="15.5" x14ac:dyDescent="0.35">
      <c r="A593" s="18" t="s">
        <v>109</v>
      </c>
      <c r="B593" s="67">
        <v>45000</v>
      </c>
    </row>
    <row r="594" spans="1:11" ht="15.5" x14ac:dyDescent="0.35">
      <c r="A594" s="24" t="s">
        <v>4</v>
      </c>
      <c r="B594" s="75">
        <f>SUM(B584:B593)</f>
        <v>435000</v>
      </c>
    </row>
    <row r="597" spans="1:11" ht="18.5" x14ac:dyDescent="0.45">
      <c r="A597" s="150" t="s">
        <v>1</v>
      </c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</row>
    <row r="598" spans="1:11" ht="18.5" x14ac:dyDescent="0.45">
      <c r="A598" s="150" t="s">
        <v>74</v>
      </c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</row>
    <row r="599" spans="1:11" ht="18.5" x14ac:dyDescent="0.45">
      <c r="A599" s="149">
        <v>46071</v>
      </c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</row>
    <row r="600" spans="1:11" ht="18.5" x14ac:dyDescent="0.45">
      <c r="A600" s="150"/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</row>
    <row r="601" spans="1:11" ht="18.5" x14ac:dyDescent="0.45">
      <c r="A601" s="2" t="s">
        <v>75</v>
      </c>
      <c r="B601" s="2" t="s">
        <v>3</v>
      </c>
      <c r="C601" s="2" t="s">
        <v>100</v>
      </c>
      <c r="D601" s="2" t="s">
        <v>90</v>
      </c>
      <c r="E601" s="2" t="s">
        <v>91</v>
      </c>
      <c r="F601" s="2" t="s">
        <v>4</v>
      </c>
      <c r="G601" s="2" t="s">
        <v>101</v>
      </c>
      <c r="H601" s="2" t="s">
        <v>104</v>
      </c>
      <c r="I601" s="2"/>
      <c r="J601" s="2" t="s">
        <v>105</v>
      </c>
      <c r="K601" s="2" t="s">
        <v>106</v>
      </c>
    </row>
    <row r="602" spans="1:11" ht="15.5" x14ac:dyDescent="0.35">
      <c r="A602" s="3" t="s">
        <v>76</v>
      </c>
      <c r="B602" s="1">
        <v>105</v>
      </c>
      <c r="C602" s="20">
        <v>17500</v>
      </c>
      <c r="D602" s="1">
        <v>49</v>
      </c>
      <c r="E602" s="1">
        <v>56</v>
      </c>
      <c r="F602" s="20">
        <f>C602*B602</f>
        <v>1837500</v>
      </c>
      <c r="G602" s="20">
        <f>D602*C602</f>
        <v>857500</v>
      </c>
      <c r="H602" s="20">
        <f>E602*C602</f>
        <v>980000</v>
      </c>
      <c r="I602" s="20" t="b">
        <f>D602+E602=B602</f>
        <v>1</v>
      </c>
      <c r="J602" s="20">
        <f>B637</f>
        <v>420000</v>
      </c>
      <c r="K602" s="20" t="s">
        <v>117</v>
      </c>
    </row>
    <row r="603" spans="1:11" ht="15.5" x14ac:dyDescent="0.35">
      <c r="A603" s="3" t="s">
        <v>77</v>
      </c>
      <c r="B603" s="1">
        <v>10</v>
      </c>
      <c r="C603" s="20">
        <v>16000</v>
      </c>
      <c r="D603" s="1">
        <v>5</v>
      </c>
      <c r="E603" s="1">
        <v>5</v>
      </c>
      <c r="F603" s="20">
        <f t="shared" ref="F603:F614" si="96">C603*B603</f>
        <v>160000</v>
      </c>
      <c r="G603" s="20">
        <f t="shared" ref="G603:G614" si="97">D603*C603</f>
        <v>80000</v>
      </c>
      <c r="H603" s="20">
        <f t="shared" ref="H603:H618" si="98">E603*C603</f>
        <v>80000</v>
      </c>
      <c r="I603" s="20" t="b">
        <f t="shared" ref="I603:I618" si="99">D603+E603=B603</f>
        <v>1</v>
      </c>
      <c r="J603" s="20">
        <v>10000</v>
      </c>
      <c r="K603" s="20" t="s">
        <v>191</v>
      </c>
    </row>
    <row r="604" spans="1:11" ht="15.5" x14ac:dyDescent="0.35">
      <c r="A604" s="3" t="s">
        <v>78</v>
      </c>
      <c r="B604" s="1">
        <v>42</v>
      </c>
      <c r="C604" s="20">
        <v>17500</v>
      </c>
      <c r="D604" s="1">
        <v>16</v>
      </c>
      <c r="E604" s="1">
        <v>26</v>
      </c>
      <c r="F604" s="20">
        <f t="shared" si="96"/>
        <v>735000</v>
      </c>
      <c r="G604" s="20">
        <f t="shared" si="97"/>
        <v>280000</v>
      </c>
      <c r="H604" s="20">
        <f t="shared" si="98"/>
        <v>455000</v>
      </c>
      <c r="I604" s="20" t="b">
        <f t="shared" si="99"/>
        <v>1</v>
      </c>
      <c r="J604" s="20">
        <v>400000</v>
      </c>
      <c r="K604" s="20" t="s">
        <v>107</v>
      </c>
    </row>
    <row r="605" spans="1:11" ht="15.5" x14ac:dyDescent="0.35">
      <c r="A605" s="3" t="s">
        <v>79</v>
      </c>
      <c r="B605" s="1">
        <v>35</v>
      </c>
      <c r="C605" s="20">
        <v>18500</v>
      </c>
      <c r="D605" s="1">
        <v>15</v>
      </c>
      <c r="E605" s="1">
        <v>20</v>
      </c>
      <c r="F605" s="20">
        <f t="shared" si="96"/>
        <v>647500</v>
      </c>
      <c r="G605" s="20">
        <f t="shared" si="97"/>
        <v>277500</v>
      </c>
      <c r="H605" s="20">
        <f t="shared" si="98"/>
        <v>370000</v>
      </c>
      <c r="I605" s="20" t="b">
        <f t="shared" si="99"/>
        <v>1</v>
      </c>
      <c r="J605" s="20">
        <v>17500</v>
      </c>
      <c r="K605" s="20" t="s">
        <v>127</v>
      </c>
    </row>
    <row r="606" spans="1:11" ht="15.5" x14ac:dyDescent="0.35">
      <c r="A606" s="3" t="s">
        <v>80</v>
      </c>
      <c r="B606" s="1">
        <v>34</v>
      </c>
      <c r="C606" s="20">
        <v>18500</v>
      </c>
      <c r="D606" s="1">
        <v>18</v>
      </c>
      <c r="E606" s="1">
        <v>16</v>
      </c>
      <c r="F606" s="20">
        <f t="shared" si="96"/>
        <v>629000</v>
      </c>
      <c r="G606" s="20">
        <f t="shared" si="97"/>
        <v>333000</v>
      </c>
      <c r="H606" s="20">
        <f t="shared" si="98"/>
        <v>296000</v>
      </c>
      <c r="I606" s="20" t="b">
        <f t="shared" si="99"/>
        <v>1</v>
      </c>
      <c r="J606" s="20">
        <v>300000</v>
      </c>
      <c r="K606" s="20" t="s">
        <v>135</v>
      </c>
    </row>
    <row r="607" spans="1:11" ht="15.5" x14ac:dyDescent="0.35">
      <c r="A607" s="3" t="s">
        <v>81</v>
      </c>
      <c r="B607" s="1"/>
      <c r="C607" s="20">
        <v>23000</v>
      </c>
      <c r="D607" s="1"/>
      <c r="E607" s="1"/>
      <c r="F607" s="20">
        <f t="shared" si="96"/>
        <v>0</v>
      </c>
      <c r="G607" s="20">
        <f t="shared" si="97"/>
        <v>0</v>
      </c>
      <c r="H607" s="20">
        <f t="shared" si="98"/>
        <v>0</v>
      </c>
      <c r="I607" s="20" t="b">
        <f t="shared" si="99"/>
        <v>1</v>
      </c>
      <c r="J607" s="20"/>
      <c r="K607" s="20"/>
    </row>
    <row r="608" spans="1:11" ht="15.5" x14ac:dyDescent="0.35">
      <c r="A608" s="3" t="s">
        <v>82</v>
      </c>
      <c r="B608" s="1"/>
      <c r="C608" s="20">
        <v>18000</v>
      </c>
      <c r="D608" s="1"/>
      <c r="E608" s="1"/>
      <c r="F608" s="20">
        <f t="shared" si="96"/>
        <v>0</v>
      </c>
      <c r="G608" s="20">
        <f t="shared" si="97"/>
        <v>0</v>
      </c>
      <c r="H608" s="20">
        <f t="shared" si="98"/>
        <v>0</v>
      </c>
      <c r="I608" s="20" t="b">
        <f t="shared" si="99"/>
        <v>1</v>
      </c>
      <c r="J608" s="20"/>
      <c r="K608" s="20"/>
    </row>
    <row r="609" spans="1:11" ht="15.5" x14ac:dyDescent="0.35">
      <c r="A609" s="3" t="s">
        <v>83</v>
      </c>
      <c r="B609" s="1"/>
      <c r="C609" s="20">
        <v>18000</v>
      </c>
      <c r="D609" s="1"/>
      <c r="E609" s="1"/>
      <c r="F609" s="20">
        <f t="shared" si="96"/>
        <v>0</v>
      </c>
      <c r="G609" s="20">
        <f t="shared" si="97"/>
        <v>0</v>
      </c>
      <c r="H609" s="20">
        <f t="shared" si="98"/>
        <v>0</v>
      </c>
      <c r="I609" s="20" t="b">
        <f t="shared" si="99"/>
        <v>1</v>
      </c>
      <c r="J609" s="20"/>
      <c r="K609" s="20"/>
    </row>
    <row r="610" spans="1:11" ht="15.5" x14ac:dyDescent="0.35">
      <c r="A610" s="3" t="s">
        <v>84</v>
      </c>
      <c r="B610" s="1"/>
      <c r="C610" s="20">
        <v>18500</v>
      </c>
      <c r="D610" s="1"/>
      <c r="E610" s="1"/>
      <c r="F610" s="20">
        <f t="shared" si="96"/>
        <v>0</v>
      </c>
      <c r="G610" s="20">
        <f t="shared" si="97"/>
        <v>0</v>
      </c>
      <c r="H610" s="20">
        <f t="shared" si="98"/>
        <v>0</v>
      </c>
      <c r="I610" s="20" t="b">
        <f t="shared" si="99"/>
        <v>1</v>
      </c>
      <c r="J610" s="20"/>
      <c r="K610" s="20"/>
    </row>
    <row r="611" spans="1:11" ht="15.5" x14ac:dyDescent="0.35">
      <c r="A611" s="3" t="s">
        <v>85</v>
      </c>
      <c r="B611" s="1"/>
      <c r="C611" s="20">
        <v>18500</v>
      </c>
      <c r="D611" s="1"/>
      <c r="E611" s="1"/>
      <c r="F611" s="20">
        <f t="shared" si="96"/>
        <v>0</v>
      </c>
      <c r="G611" s="20">
        <f t="shared" si="97"/>
        <v>0</v>
      </c>
      <c r="H611" s="20">
        <f t="shared" si="98"/>
        <v>0</v>
      </c>
      <c r="I611" s="20" t="b">
        <f t="shared" si="99"/>
        <v>1</v>
      </c>
      <c r="J611" s="20"/>
      <c r="K611" s="20"/>
    </row>
    <row r="612" spans="1:11" ht="15.5" x14ac:dyDescent="0.35">
      <c r="A612" s="3" t="s">
        <v>86</v>
      </c>
      <c r="B612" s="1">
        <v>5</v>
      </c>
      <c r="C612" s="20">
        <v>18500</v>
      </c>
      <c r="D612" s="1">
        <v>2</v>
      </c>
      <c r="E612" s="1">
        <v>3</v>
      </c>
      <c r="F612" s="20">
        <f t="shared" si="96"/>
        <v>92500</v>
      </c>
      <c r="G612" s="20">
        <f t="shared" si="97"/>
        <v>37000</v>
      </c>
      <c r="H612" s="20">
        <f t="shared" si="98"/>
        <v>55500</v>
      </c>
      <c r="I612" s="20" t="b">
        <f t="shared" si="99"/>
        <v>1</v>
      </c>
      <c r="J612" s="20"/>
      <c r="K612" s="20"/>
    </row>
    <row r="613" spans="1:11" ht="15.5" x14ac:dyDescent="0.35">
      <c r="A613" s="3" t="s">
        <v>87</v>
      </c>
      <c r="B613" s="1">
        <v>2</v>
      </c>
      <c r="C613" s="20">
        <v>18500</v>
      </c>
      <c r="D613" s="1">
        <v>2</v>
      </c>
      <c r="E613" s="1"/>
      <c r="F613" s="20">
        <f t="shared" si="96"/>
        <v>37000</v>
      </c>
      <c r="G613" s="20">
        <f t="shared" si="97"/>
        <v>37000</v>
      </c>
      <c r="H613" s="20">
        <f t="shared" si="98"/>
        <v>0</v>
      </c>
      <c r="I613" s="20" t="b">
        <f t="shared" si="99"/>
        <v>1</v>
      </c>
      <c r="J613" s="20"/>
      <c r="K613" s="20"/>
    </row>
    <row r="614" spans="1:11" ht="15.5" x14ac:dyDescent="0.35">
      <c r="A614" s="3" t="s">
        <v>88</v>
      </c>
      <c r="B614" s="1">
        <v>13</v>
      </c>
      <c r="C614" s="20">
        <v>18500</v>
      </c>
      <c r="D614" s="1">
        <v>7</v>
      </c>
      <c r="E614" s="1">
        <v>6</v>
      </c>
      <c r="F614" s="20">
        <f t="shared" si="96"/>
        <v>240500</v>
      </c>
      <c r="G614" s="20">
        <f t="shared" si="97"/>
        <v>129500</v>
      </c>
      <c r="H614" s="20">
        <f t="shared" si="98"/>
        <v>111000</v>
      </c>
      <c r="I614" s="20" t="b">
        <f t="shared" si="99"/>
        <v>1</v>
      </c>
      <c r="J614" s="20"/>
      <c r="K614" s="20"/>
    </row>
    <row r="615" spans="1:11" ht="15.5" x14ac:dyDescent="0.35">
      <c r="A615" s="19" t="s">
        <v>89</v>
      </c>
      <c r="B615" s="1"/>
      <c r="C615" s="20"/>
      <c r="D615" s="1"/>
      <c r="E615" s="1"/>
      <c r="F615" s="20"/>
      <c r="G615" s="20"/>
      <c r="H615" s="20">
        <f t="shared" si="98"/>
        <v>0</v>
      </c>
      <c r="I615" s="20" t="b">
        <f t="shared" si="99"/>
        <v>1</v>
      </c>
      <c r="J615" s="20"/>
      <c r="K615" s="20"/>
    </row>
    <row r="616" spans="1:11" ht="15.5" x14ac:dyDescent="0.35">
      <c r="A616" s="3" t="s">
        <v>92</v>
      </c>
      <c r="B616" s="1">
        <v>25</v>
      </c>
      <c r="C616" s="20">
        <v>21500</v>
      </c>
      <c r="D616" s="1">
        <v>6</v>
      </c>
      <c r="E616" s="1">
        <v>19</v>
      </c>
      <c r="F616" s="20">
        <f t="shared" ref="F616:F618" si="100">C616*B616</f>
        <v>537500</v>
      </c>
      <c r="G616" s="20">
        <f t="shared" ref="G616:G618" si="101">D616*C616</f>
        <v>129000</v>
      </c>
      <c r="H616" s="20">
        <f t="shared" si="98"/>
        <v>408500</v>
      </c>
      <c r="I616" s="20" t="b">
        <f t="shared" si="99"/>
        <v>1</v>
      </c>
      <c r="J616" s="20"/>
      <c r="K616" s="20"/>
    </row>
    <row r="617" spans="1:11" ht="15.5" x14ac:dyDescent="0.35">
      <c r="A617" s="3" t="s">
        <v>93</v>
      </c>
      <c r="B617" s="1">
        <v>2</v>
      </c>
      <c r="C617" s="20">
        <v>21500</v>
      </c>
      <c r="D617" s="1">
        <v>2</v>
      </c>
      <c r="E617" s="1"/>
      <c r="F617" s="20">
        <f t="shared" si="100"/>
        <v>43000</v>
      </c>
      <c r="G617" s="20">
        <f t="shared" si="101"/>
        <v>43000</v>
      </c>
      <c r="H617" s="20">
        <f t="shared" si="98"/>
        <v>0</v>
      </c>
      <c r="I617" s="20" t="b">
        <f t="shared" si="99"/>
        <v>1</v>
      </c>
      <c r="J617" s="20"/>
      <c r="K617" s="20"/>
    </row>
    <row r="618" spans="1:11" ht="15.5" x14ac:dyDescent="0.35">
      <c r="A618" s="3" t="s">
        <v>94</v>
      </c>
      <c r="B618" s="1">
        <v>22</v>
      </c>
      <c r="C618" s="20">
        <v>21500</v>
      </c>
      <c r="D618" s="1">
        <v>10</v>
      </c>
      <c r="E618" s="1">
        <v>12</v>
      </c>
      <c r="F618" s="20">
        <f t="shared" si="100"/>
        <v>473000</v>
      </c>
      <c r="G618" s="20">
        <f t="shared" si="101"/>
        <v>215000</v>
      </c>
      <c r="H618" s="20">
        <f t="shared" si="98"/>
        <v>258000</v>
      </c>
      <c r="I618" s="20" t="b">
        <f t="shared" si="99"/>
        <v>1</v>
      </c>
      <c r="J618" s="20"/>
      <c r="K618" s="20"/>
    </row>
    <row r="619" spans="1:11" ht="15.5" x14ac:dyDescent="0.35">
      <c r="A619" s="19"/>
      <c r="B619" s="22">
        <f>SUM(B602:B618)</f>
        <v>295</v>
      </c>
      <c r="C619" s="20"/>
      <c r="D619" s="1"/>
      <c r="E619" s="1"/>
      <c r="F619" s="23">
        <f>SUM(F602:F618)</f>
        <v>5432500</v>
      </c>
      <c r="G619" s="23">
        <f>SUM(G602:G618)</f>
        <v>2418500</v>
      </c>
      <c r="H619" s="23">
        <f>SUM(H602:H618)</f>
        <v>3014000</v>
      </c>
      <c r="I619" s="23"/>
      <c r="J619" s="23">
        <f>SUM(J602:J618)</f>
        <v>1147500</v>
      </c>
      <c r="K619" s="23">
        <f>H619-J619</f>
        <v>1866500</v>
      </c>
    </row>
    <row r="620" spans="1:11" ht="15.5" x14ac:dyDescent="0.35">
      <c r="A620" s="19" t="s">
        <v>95</v>
      </c>
      <c r="B620" s="1"/>
      <c r="C620" s="20"/>
      <c r="D620" s="1"/>
      <c r="E620" s="1"/>
      <c r="F620" s="20"/>
      <c r="G620" s="20"/>
      <c r="H620" s="20" t="s">
        <v>192</v>
      </c>
      <c r="I620" s="20"/>
      <c r="J620" s="20"/>
      <c r="K620" s="20"/>
    </row>
    <row r="621" spans="1:11" ht="15.5" x14ac:dyDescent="0.35">
      <c r="A621" s="3" t="s">
        <v>96</v>
      </c>
      <c r="B621" s="1"/>
      <c r="C621" s="20">
        <v>3000</v>
      </c>
      <c r="D621" s="1"/>
      <c r="E621" s="20"/>
      <c r="F621" s="20">
        <f t="shared" ref="F621:F624" si="102">C621*B621</f>
        <v>0</v>
      </c>
      <c r="G621" s="20"/>
      <c r="H621" s="20"/>
      <c r="I621" s="20"/>
      <c r="J621" s="20"/>
      <c r="K621" s="20"/>
    </row>
    <row r="622" spans="1:11" ht="15.5" x14ac:dyDescent="0.35">
      <c r="A622" s="3" t="s">
        <v>97</v>
      </c>
      <c r="B622" s="1"/>
      <c r="C622" s="20">
        <v>2500</v>
      </c>
      <c r="D622" s="1"/>
      <c r="E622" s="1"/>
      <c r="F622" s="20">
        <f t="shared" si="102"/>
        <v>0</v>
      </c>
      <c r="G622" s="20"/>
      <c r="H622" s="20"/>
      <c r="I622" s="20"/>
      <c r="J622" s="20"/>
      <c r="K622" s="20"/>
    </row>
    <row r="623" spans="1:11" ht="15.5" x14ac:dyDescent="0.35">
      <c r="A623" s="3" t="s">
        <v>98</v>
      </c>
      <c r="B623" s="1"/>
      <c r="C623" s="20">
        <v>1800</v>
      </c>
      <c r="D623" s="1"/>
      <c r="E623" s="1"/>
      <c r="F623" s="20">
        <f t="shared" si="102"/>
        <v>0</v>
      </c>
      <c r="G623" s="20"/>
      <c r="H623" s="20"/>
      <c r="I623" s="20"/>
      <c r="J623" s="20"/>
      <c r="K623" s="20"/>
    </row>
    <row r="624" spans="1:11" ht="15.5" x14ac:dyDescent="0.35">
      <c r="A624" s="3" t="s">
        <v>99</v>
      </c>
      <c r="B624" s="1">
        <v>5</v>
      </c>
      <c r="C624" s="20">
        <v>3500</v>
      </c>
      <c r="D624" s="1">
        <v>1</v>
      </c>
      <c r="E624" s="1">
        <v>4</v>
      </c>
      <c r="F624" s="20">
        <f t="shared" si="102"/>
        <v>17500</v>
      </c>
      <c r="G624" s="20"/>
      <c r="H624" s="20"/>
      <c r="I624" s="20"/>
      <c r="J624" s="20"/>
      <c r="K624" s="20"/>
    </row>
    <row r="625" spans="1:11" ht="15.5" x14ac:dyDescent="0.35">
      <c r="A625" s="18"/>
      <c r="F625" s="21"/>
    </row>
    <row r="626" spans="1:11" ht="15.5" x14ac:dyDescent="0.35">
      <c r="A626" s="24" t="s">
        <v>108</v>
      </c>
      <c r="K626" s="21"/>
    </row>
    <row r="627" spans="1:11" ht="15.5" x14ac:dyDescent="0.35">
      <c r="A627" s="18" t="s">
        <v>114</v>
      </c>
      <c r="B627" s="67">
        <v>45000</v>
      </c>
    </row>
    <row r="628" spans="1:11" ht="15.5" x14ac:dyDescent="0.35">
      <c r="A628" s="18" t="s">
        <v>112</v>
      </c>
      <c r="B628" s="67">
        <v>45000</v>
      </c>
    </row>
    <row r="629" spans="1:11" ht="15.5" x14ac:dyDescent="0.35">
      <c r="A629" s="18" t="s">
        <v>309</v>
      </c>
      <c r="B629" s="67"/>
      <c r="C629" t="s">
        <v>331</v>
      </c>
    </row>
    <row r="630" spans="1:11" ht="15.5" x14ac:dyDescent="0.35">
      <c r="A630" s="18" t="s">
        <v>110</v>
      </c>
      <c r="B630" s="67">
        <v>45000</v>
      </c>
    </row>
    <row r="631" spans="1:11" ht="15.5" x14ac:dyDescent="0.35">
      <c r="A631" s="18" t="s">
        <v>111</v>
      </c>
      <c r="B631" s="67">
        <v>45000</v>
      </c>
    </row>
    <row r="632" spans="1:11" ht="15.5" x14ac:dyDescent="0.35">
      <c r="A632" s="18" t="s">
        <v>196</v>
      </c>
      <c r="B632" s="67">
        <v>45000</v>
      </c>
    </row>
    <row r="633" spans="1:11" ht="15.5" x14ac:dyDescent="0.35">
      <c r="A633" s="18" t="s">
        <v>113</v>
      </c>
      <c r="B633" s="67">
        <v>45000</v>
      </c>
    </row>
    <row r="634" spans="1:11" ht="15.5" x14ac:dyDescent="0.35">
      <c r="A634" s="18" t="s">
        <v>209</v>
      </c>
      <c r="B634" s="67">
        <v>45000</v>
      </c>
    </row>
    <row r="635" spans="1:11" ht="15.5" x14ac:dyDescent="0.35">
      <c r="A635" s="18" t="s">
        <v>115</v>
      </c>
      <c r="B635" s="67">
        <v>60000</v>
      </c>
    </row>
    <row r="636" spans="1:11" ht="15.5" x14ac:dyDescent="0.35">
      <c r="A636" s="18" t="s">
        <v>109</v>
      </c>
      <c r="B636" s="67">
        <v>45000</v>
      </c>
    </row>
    <row r="637" spans="1:11" ht="15.5" x14ac:dyDescent="0.35">
      <c r="A637" s="24" t="s">
        <v>4</v>
      </c>
      <c r="B637" s="75">
        <f>SUM(B627:B636)</f>
        <v>420000</v>
      </c>
    </row>
    <row r="640" spans="1:11" ht="18.5" x14ac:dyDescent="0.45">
      <c r="A640" s="150" t="s">
        <v>1</v>
      </c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</row>
    <row r="641" spans="1:11" ht="18.5" x14ac:dyDescent="0.45">
      <c r="A641" s="150" t="s">
        <v>74</v>
      </c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</row>
    <row r="642" spans="1:11" ht="18.5" x14ac:dyDescent="0.45">
      <c r="A642" s="149">
        <v>46072</v>
      </c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</row>
    <row r="643" spans="1:11" ht="18.5" x14ac:dyDescent="0.45">
      <c r="A643" s="150"/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</row>
    <row r="644" spans="1:11" ht="18.5" x14ac:dyDescent="0.45">
      <c r="A644" s="2" t="s">
        <v>75</v>
      </c>
      <c r="B644" s="2" t="s">
        <v>3</v>
      </c>
      <c r="C644" s="2" t="s">
        <v>100</v>
      </c>
      <c r="D644" s="2" t="s">
        <v>90</v>
      </c>
      <c r="E644" s="2" t="s">
        <v>91</v>
      </c>
      <c r="F644" s="2" t="s">
        <v>4</v>
      </c>
      <c r="G644" s="2" t="s">
        <v>101</v>
      </c>
      <c r="H644" s="2" t="s">
        <v>104</v>
      </c>
      <c r="I644" s="2"/>
      <c r="J644" s="2" t="s">
        <v>105</v>
      </c>
      <c r="K644" s="2" t="s">
        <v>106</v>
      </c>
    </row>
    <row r="645" spans="1:11" ht="15.5" x14ac:dyDescent="0.35">
      <c r="A645" s="3" t="s">
        <v>76</v>
      </c>
      <c r="B645" s="1">
        <v>93</v>
      </c>
      <c r="C645" s="20">
        <v>17500</v>
      </c>
      <c r="D645" s="1">
        <v>39</v>
      </c>
      <c r="E645" s="1">
        <v>54</v>
      </c>
      <c r="F645" s="20">
        <f>C645*B645</f>
        <v>1627500</v>
      </c>
      <c r="G645" s="20">
        <f>D645*C645</f>
        <v>682500</v>
      </c>
      <c r="H645" s="20">
        <f>E645*C645</f>
        <v>945000</v>
      </c>
      <c r="I645" s="20" t="b">
        <f>D645+E645=B645</f>
        <v>1</v>
      </c>
      <c r="J645" s="20">
        <f>B680</f>
        <v>315000</v>
      </c>
      <c r="K645" s="20" t="s">
        <v>117</v>
      </c>
    </row>
    <row r="646" spans="1:11" ht="15.5" x14ac:dyDescent="0.35">
      <c r="A646" s="3" t="s">
        <v>77</v>
      </c>
      <c r="B646" s="1">
        <v>16</v>
      </c>
      <c r="C646" s="20">
        <v>16000</v>
      </c>
      <c r="D646" s="1">
        <v>4</v>
      </c>
      <c r="E646" s="1">
        <v>12</v>
      </c>
      <c r="F646" s="20">
        <f t="shared" ref="F646:F657" si="103">C646*B646</f>
        <v>256000</v>
      </c>
      <c r="G646" s="20">
        <f t="shared" ref="G646:G657" si="104">D646*C646</f>
        <v>64000</v>
      </c>
      <c r="H646" s="20">
        <f t="shared" ref="H646:H661" si="105">E646*C646</f>
        <v>192000</v>
      </c>
      <c r="I646" s="20" t="b">
        <f t="shared" ref="I646:I661" si="106">D646+E646=B646</f>
        <v>1</v>
      </c>
      <c r="J646" s="20">
        <v>10000</v>
      </c>
      <c r="K646" s="20" t="s">
        <v>191</v>
      </c>
    </row>
    <row r="647" spans="1:11" ht="15.5" x14ac:dyDescent="0.35">
      <c r="A647" s="3" t="s">
        <v>78</v>
      </c>
      <c r="B647" s="1">
        <v>46</v>
      </c>
      <c r="C647" s="20">
        <v>17500</v>
      </c>
      <c r="D647" s="1">
        <v>15</v>
      </c>
      <c r="E647" s="1">
        <v>31</v>
      </c>
      <c r="F647" s="20">
        <f t="shared" si="103"/>
        <v>805000</v>
      </c>
      <c r="G647" s="20">
        <f t="shared" si="104"/>
        <v>262500</v>
      </c>
      <c r="H647" s="20">
        <f t="shared" si="105"/>
        <v>542500</v>
      </c>
      <c r="I647" s="20" t="b">
        <f t="shared" si="106"/>
        <v>1</v>
      </c>
      <c r="J647" s="20">
        <v>280000</v>
      </c>
      <c r="K647" s="20" t="s">
        <v>107</v>
      </c>
    </row>
    <row r="648" spans="1:11" ht="15.5" x14ac:dyDescent="0.35">
      <c r="A648" s="3" t="s">
        <v>79</v>
      </c>
      <c r="B648" s="1">
        <v>24</v>
      </c>
      <c r="C648" s="20">
        <v>18500</v>
      </c>
      <c r="D648" s="1">
        <v>8</v>
      </c>
      <c r="E648" s="1">
        <v>16</v>
      </c>
      <c r="F648" s="20">
        <f t="shared" si="103"/>
        <v>444000</v>
      </c>
      <c r="G648" s="20">
        <f t="shared" si="104"/>
        <v>148000</v>
      </c>
      <c r="H648" s="20">
        <f t="shared" si="105"/>
        <v>296000</v>
      </c>
      <c r="I648" s="20" t="b">
        <f t="shared" si="106"/>
        <v>1</v>
      </c>
      <c r="J648" s="20"/>
      <c r="K648" s="20"/>
    </row>
    <row r="649" spans="1:11" ht="15.5" x14ac:dyDescent="0.35">
      <c r="A649" s="3" t="s">
        <v>80</v>
      </c>
      <c r="B649" s="1"/>
      <c r="C649" s="20">
        <v>18500</v>
      </c>
      <c r="D649" s="1"/>
      <c r="E649" s="1"/>
      <c r="F649" s="20">
        <f t="shared" si="103"/>
        <v>0</v>
      </c>
      <c r="G649" s="20">
        <f t="shared" si="104"/>
        <v>0</v>
      </c>
      <c r="H649" s="20">
        <f t="shared" si="105"/>
        <v>0</v>
      </c>
      <c r="I649" s="20" t="b">
        <f t="shared" si="106"/>
        <v>1</v>
      </c>
      <c r="J649" s="20"/>
      <c r="K649" s="20"/>
    </row>
    <row r="650" spans="1:11" ht="15.5" x14ac:dyDescent="0.35">
      <c r="A650" s="3" t="s">
        <v>81</v>
      </c>
      <c r="B650" s="1"/>
      <c r="C650" s="20">
        <v>23000</v>
      </c>
      <c r="D650" s="1"/>
      <c r="E650" s="1"/>
      <c r="F650" s="20">
        <f t="shared" si="103"/>
        <v>0</v>
      </c>
      <c r="G650" s="20">
        <f t="shared" si="104"/>
        <v>0</v>
      </c>
      <c r="H650" s="20">
        <f t="shared" si="105"/>
        <v>0</v>
      </c>
      <c r="I650" s="20" t="b">
        <f t="shared" si="106"/>
        <v>1</v>
      </c>
      <c r="J650" s="20"/>
      <c r="K650" s="20"/>
    </row>
    <row r="651" spans="1:11" ht="15.5" x14ac:dyDescent="0.35">
      <c r="A651" s="3" t="s">
        <v>82</v>
      </c>
      <c r="B651" s="1"/>
      <c r="C651" s="20">
        <v>18000</v>
      </c>
      <c r="D651" s="1"/>
      <c r="E651" s="1"/>
      <c r="F651" s="20">
        <f t="shared" si="103"/>
        <v>0</v>
      </c>
      <c r="G651" s="20">
        <f t="shared" si="104"/>
        <v>0</v>
      </c>
      <c r="H651" s="20">
        <f t="shared" si="105"/>
        <v>0</v>
      </c>
      <c r="I651" s="20" t="b">
        <f t="shared" si="106"/>
        <v>1</v>
      </c>
      <c r="J651" s="20"/>
      <c r="K651" s="20"/>
    </row>
    <row r="652" spans="1:11" ht="15.5" x14ac:dyDescent="0.35">
      <c r="A652" s="3" t="s">
        <v>83</v>
      </c>
      <c r="B652" s="1"/>
      <c r="C652" s="20">
        <v>18000</v>
      </c>
      <c r="D652" s="1"/>
      <c r="E652" s="1"/>
      <c r="F652" s="20">
        <f t="shared" si="103"/>
        <v>0</v>
      </c>
      <c r="G652" s="20">
        <f t="shared" si="104"/>
        <v>0</v>
      </c>
      <c r="H652" s="20">
        <f t="shared" si="105"/>
        <v>0</v>
      </c>
      <c r="I652" s="20" t="b">
        <f t="shared" si="106"/>
        <v>1</v>
      </c>
      <c r="J652" s="20"/>
      <c r="K652" s="20"/>
    </row>
    <row r="653" spans="1:11" ht="15.5" x14ac:dyDescent="0.35">
      <c r="A653" s="3" t="s">
        <v>84</v>
      </c>
      <c r="B653" s="1">
        <v>35</v>
      </c>
      <c r="C653" s="20">
        <v>18500</v>
      </c>
      <c r="D653" s="1">
        <v>7</v>
      </c>
      <c r="E653" s="1">
        <v>28</v>
      </c>
      <c r="F653" s="20">
        <f t="shared" si="103"/>
        <v>647500</v>
      </c>
      <c r="G653" s="20">
        <f t="shared" si="104"/>
        <v>129500</v>
      </c>
      <c r="H653" s="20">
        <f t="shared" si="105"/>
        <v>518000</v>
      </c>
      <c r="I653" s="20" t="b">
        <f t="shared" si="106"/>
        <v>1</v>
      </c>
      <c r="J653" s="20"/>
      <c r="K653" s="20"/>
    </row>
    <row r="654" spans="1:11" ht="15.5" x14ac:dyDescent="0.35">
      <c r="A654" s="3" t="s">
        <v>85</v>
      </c>
      <c r="B654" s="1"/>
      <c r="C654" s="20">
        <v>18500</v>
      </c>
      <c r="D654" s="1"/>
      <c r="E654" s="1"/>
      <c r="F654" s="20">
        <f t="shared" si="103"/>
        <v>0</v>
      </c>
      <c r="G654" s="20">
        <f t="shared" si="104"/>
        <v>0</v>
      </c>
      <c r="H654" s="20">
        <f t="shared" si="105"/>
        <v>0</v>
      </c>
      <c r="I654" s="20" t="b">
        <f t="shared" si="106"/>
        <v>1</v>
      </c>
      <c r="J654" s="20"/>
      <c r="K654" s="20"/>
    </row>
    <row r="655" spans="1:11" ht="15.5" x14ac:dyDescent="0.35">
      <c r="A655" s="3" t="s">
        <v>86</v>
      </c>
      <c r="B655" s="1"/>
      <c r="C655" s="20">
        <v>18500</v>
      </c>
      <c r="D655" s="1"/>
      <c r="E655" s="1"/>
      <c r="F655" s="20">
        <f t="shared" si="103"/>
        <v>0</v>
      </c>
      <c r="G655" s="20">
        <f t="shared" si="104"/>
        <v>0</v>
      </c>
      <c r="H655" s="20">
        <f t="shared" si="105"/>
        <v>0</v>
      </c>
      <c r="I655" s="20" t="b">
        <f t="shared" si="106"/>
        <v>1</v>
      </c>
      <c r="J655" s="20"/>
      <c r="K655" s="20"/>
    </row>
    <row r="656" spans="1:11" ht="15.5" x14ac:dyDescent="0.35">
      <c r="A656" s="3" t="s">
        <v>87</v>
      </c>
      <c r="B656" s="1">
        <v>7</v>
      </c>
      <c r="C656" s="20">
        <v>18500</v>
      </c>
      <c r="D656" s="1">
        <v>3</v>
      </c>
      <c r="E656" s="1">
        <v>4</v>
      </c>
      <c r="F656" s="20">
        <f t="shared" si="103"/>
        <v>129500</v>
      </c>
      <c r="G656" s="20">
        <f t="shared" si="104"/>
        <v>55500</v>
      </c>
      <c r="H656" s="20">
        <f t="shared" si="105"/>
        <v>74000</v>
      </c>
      <c r="I656" s="20" t="b">
        <f t="shared" si="106"/>
        <v>1</v>
      </c>
      <c r="J656" s="20"/>
      <c r="K656" s="20"/>
    </row>
    <row r="657" spans="1:11" ht="15.5" x14ac:dyDescent="0.35">
      <c r="A657" s="3" t="s">
        <v>88</v>
      </c>
      <c r="B657" s="1">
        <v>5</v>
      </c>
      <c r="C657" s="20">
        <v>18500</v>
      </c>
      <c r="D657" s="1">
        <v>2</v>
      </c>
      <c r="E657" s="1">
        <v>3</v>
      </c>
      <c r="F657" s="20">
        <f t="shared" si="103"/>
        <v>92500</v>
      </c>
      <c r="G657" s="20">
        <f t="shared" si="104"/>
        <v>37000</v>
      </c>
      <c r="H657" s="20">
        <f t="shared" si="105"/>
        <v>55500</v>
      </c>
      <c r="I657" s="20" t="b">
        <f t="shared" si="106"/>
        <v>1</v>
      </c>
      <c r="J657" s="20"/>
      <c r="K657" s="20"/>
    </row>
    <row r="658" spans="1:11" ht="15.5" x14ac:dyDescent="0.35">
      <c r="A658" s="19" t="s">
        <v>89</v>
      </c>
      <c r="B658" s="1"/>
      <c r="C658" s="20"/>
      <c r="D658" s="1"/>
      <c r="E658" s="1"/>
      <c r="F658" s="20"/>
      <c r="G658" s="20"/>
      <c r="H658" s="20">
        <f t="shared" si="105"/>
        <v>0</v>
      </c>
      <c r="I658" s="20" t="b">
        <f t="shared" si="106"/>
        <v>1</v>
      </c>
      <c r="J658" s="20"/>
      <c r="K658" s="20"/>
    </row>
    <row r="659" spans="1:11" ht="15.5" x14ac:dyDescent="0.35">
      <c r="A659" s="3" t="s">
        <v>92</v>
      </c>
      <c r="B659" s="1"/>
      <c r="C659" s="20">
        <v>21500</v>
      </c>
      <c r="D659" s="1"/>
      <c r="E659" s="1"/>
      <c r="F659" s="20">
        <f t="shared" ref="F659:F661" si="107">C659*B659</f>
        <v>0</v>
      </c>
      <c r="G659" s="20">
        <f t="shared" ref="G659:G661" si="108">D659*C659</f>
        <v>0</v>
      </c>
      <c r="H659" s="20">
        <f t="shared" si="105"/>
        <v>0</v>
      </c>
      <c r="I659" s="20" t="b">
        <f t="shared" si="106"/>
        <v>1</v>
      </c>
      <c r="J659" s="20"/>
      <c r="K659" s="20"/>
    </row>
    <row r="660" spans="1:11" ht="15.5" x14ac:dyDescent="0.35">
      <c r="A660" s="3" t="s">
        <v>93</v>
      </c>
      <c r="B660" s="1">
        <v>37</v>
      </c>
      <c r="C660" s="20">
        <v>21500</v>
      </c>
      <c r="D660" s="1">
        <v>20</v>
      </c>
      <c r="E660" s="1">
        <v>17</v>
      </c>
      <c r="F660" s="20">
        <f t="shared" si="107"/>
        <v>795500</v>
      </c>
      <c r="G660" s="20">
        <f t="shared" si="108"/>
        <v>430000</v>
      </c>
      <c r="H660" s="20">
        <f t="shared" si="105"/>
        <v>365500</v>
      </c>
      <c r="I660" s="20" t="b">
        <f t="shared" si="106"/>
        <v>1</v>
      </c>
      <c r="J660" s="20"/>
      <c r="K660" s="20"/>
    </row>
    <row r="661" spans="1:11" ht="15.5" x14ac:dyDescent="0.35">
      <c r="A661" s="3" t="s">
        <v>94</v>
      </c>
      <c r="B661" s="1">
        <v>32</v>
      </c>
      <c r="C661" s="20">
        <v>21500</v>
      </c>
      <c r="D661" s="1">
        <v>20</v>
      </c>
      <c r="E661" s="1">
        <v>12</v>
      </c>
      <c r="F661" s="20">
        <f t="shared" si="107"/>
        <v>688000</v>
      </c>
      <c r="G661" s="20">
        <f t="shared" si="108"/>
        <v>430000</v>
      </c>
      <c r="H661" s="20">
        <f t="shared" si="105"/>
        <v>258000</v>
      </c>
      <c r="I661" s="20" t="b">
        <f t="shared" si="106"/>
        <v>1</v>
      </c>
      <c r="J661" s="20"/>
      <c r="K661" s="20"/>
    </row>
    <row r="662" spans="1:11" ht="15.5" x14ac:dyDescent="0.35">
      <c r="A662" s="19"/>
      <c r="B662" s="22">
        <f>SUM(B645:B661)</f>
        <v>295</v>
      </c>
      <c r="C662" s="20"/>
      <c r="D662" s="1"/>
      <c r="E662" s="1"/>
      <c r="F662" s="23">
        <f>SUM(F645:F661)</f>
        <v>5485500</v>
      </c>
      <c r="G662" s="23">
        <f>SUM(G645:G661)</f>
        <v>2239000</v>
      </c>
      <c r="H662" s="23">
        <f>SUM(H645:H661)</f>
        <v>3246500</v>
      </c>
      <c r="I662" s="23"/>
      <c r="J662" s="23">
        <f>SUM(J645:J661)</f>
        <v>605000</v>
      </c>
      <c r="K662" s="23">
        <f>H662-J662</f>
        <v>2641500</v>
      </c>
    </row>
    <row r="663" spans="1:11" ht="15.5" x14ac:dyDescent="0.35">
      <c r="A663" s="19" t="s">
        <v>95</v>
      </c>
      <c r="B663" s="1"/>
      <c r="C663" s="20"/>
      <c r="D663" s="1"/>
      <c r="E663" s="1"/>
      <c r="F663" s="20"/>
      <c r="G663" s="20"/>
      <c r="H663" s="20" t="s">
        <v>192</v>
      </c>
      <c r="I663" s="20"/>
      <c r="J663" s="20"/>
      <c r="K663" s="20"/>
    </row>
    <row r="664" spans="1:11" ht="15.5" x14ac:dyDescent="0.35">
      <c r="A664" s="3" t="s">
        <v>96</v>
      </c>
      <c r="B664" s="1"/>
      <c r="C664" s="20">
        <v>3000</v>
      </c>
      <c r="D664" s="1"/>
      <c r="E664" s="20"/>
      <c r="F664" s="20">
        <f t="shared" ref="F664:F667" si="109">C664*B664</f>
        <v>0</v>
      </c>
      <c r="G664" s="20"/>
      <c r="H664" s="20"/>
      <c r="I664" s="20"/>
      <c r="J664" s="20"/>
      <c r="K664" s="20"/>
    </row>
    <row r="665" spans="1:11" ht="15.5" x14ac:dyDescent="0.35">
      <c r="A665" s="3" t="s">
        <v>97</v>
      </c>
      <c r="B665" s="1"/>
      <c r="C665" s="20">
        <v>2500</v>
      </c>
      <c r="D665" s="1"/>
      <c r="E665" s="1"/>
      <c r="F665" s="20">
        <f t="shared" si="109"/>
        <v>0</v>
      </c>
      <c r="G665" s="20"/>
      <c r="H665" s="20"/>
      <c r="I665" s="20"/>
      <c r="J665" s="20"/>
      <c r="K665" s="20"/>
    </row>
    <row r="666" spans="1:11" ht="15.5" x14ac:dyDescent="0.35">
      <c r="A666" s="3" t="s">
        <v>98</v>
      </c>
      <c r="B666" s="1"/>
      <c r="C666" s="20">
        <v>1800</v>
      </c>
      <c r="D666" s="1"/>
      <c r="E666" s="1"/>
      <c r="F666" s="20">
        <f t="shared" si="109"/>
        <v>0</v>
      </c>
      <c r="G666" s="20"/>
      <c r="H666" s="20"/>
      <c r="I666" s="20"/>
      <c r="J666" s="20"/>
      <c r="K666" s="20"/>
    </row>
    <row r="667" spans="1:11" ht="15.5" x14ac:dyDescent="0.35">
      <c r="A667" s="3" t="s">
        <v>99</v>
      </c>
      <c r="B667" s="1">
        <v>2</v>
      </c>
      <c r="C667" s="20">
        <v>3500</v>
      </c>
      <c r="D667" s="1">
        <v>2</v>
      </c>
      <c r="E667" s="1"/>
      <c r="F667" s="20">
        <f t="shared" si="109"/>
        <v>7000</v>
      </c>
      <c r="G667" s="20"/>
      <c r="H667" s="20"/>
      <c r="I667" s="20"/>
      <c r="J667" s="20"/>
      <c r="K667" s="20"/>
    </row>
    <row r="668" spans="1:11" ht="15.5" x14ac:dyDescent="0.35">
      <c r="A668" s="18"/>
      <c r="F668" s="21"/>
    </row>
    <row r="669" spans="1:11" ht="15.5" x14ac:dyDescent="0.35">
      <c r="A669" s="24" t="s">
        <v>108</v>
      </c>
      <c r="K669" s="21"/>
    </row>
    <row r="670" spans="1:11" ht="15.5" x14ac:dyDescent="0.35">
      <c r="A670" s="18" t="s">
        <v>114</v>
      </c>
      <c r="B670" s="67">
        <v>45000</v>
      </c>
    </row>
    <row r="671" spans="1:11" ht="15.5" x14ac:dyDescent="0.35">
      <c r="A671" s="18" t="s">
        <v>112</v>
      </c>
      <c r="B671" s="67">
        <v>45000</v>
      </c>
    </row>
    <row r="672" spans="1:11" ht="15.5" x14ac:dyDescent="0.35">
      <c r="A672" s="18" t="s">
        <v>309</v>
      </c>
      <c r="B672" s="67"/>
      <c r="C672" t="s">
        <v>331</v>
      </c>
    </row>
    <row r="673" spans="1:11" ht="15.5" x14ac:dyDescent="0.35">
      <c r="A673" s="18" t="s">
        <v>110</v>
      </c>
      <c r="B673" s="67">
        <v>45000</v>
      </c>
    </row>
    <row r="674" spans="1:11" ht="15.5" x14ac:dyDescent="0.35">
      <c r="A674" s="18" t="s">
        <v>111</v>
      </c>
      <c r="B674" s="67">
        <v>45000</v>
      </c>
    </row>
    <row r="675" spans="1:11" ht="15.5" x14ac:dyDescent="0.35">
      <c r="A675" s="18" t="s">
        <v>196</v>
      </c>
      <c r="B675" s="67">
        <v>45000</v>
      </c>
    </row>
    <row r="676" spans="1:11" ht="15.5" x14ac:dyDescent="0.35">
      <c r="A676" s="18" t="s">
        <v>113</v>
      </c>
      <c r="B676" s="67">
        <v>45000</v>
      </c>
    </row>
    <row r="677" spans="1:11" ht="15.5" x14ac:dyDescent="0.35">
      <c r="A677" s="18" t="s">
        <v>209</v>
      </c>
      <c r="B677" s="67">
        <v>45000</v>
      </c>
    </row>
    <row r="678" spans="1:11" ht="15.5" x14ac:dyDescent="0.35">
      <c r="A678" s="18" t="s">
        <v>115</v>
      </c>
      <c r="B678" s="67"/>
      <c r="C678" t="s">
        <v>333</v>
      </c>
    </row>
    <row r="679" spans="1:11" ht="15.5" x14ac:dyDescent="0.35">
      <c r="A679" s="18" t="s">
        <v>109</v>
      </c>
      <c r="B679" s="67"/>
      <c r="C679" t="s">
        <v>333</v>
      </c>
    </row>
    <row r="680" spans="1:11" ht="15.5" x14ac:dyDescent="0.35">
      <c r="A680" s="24" t="s">
        <v>4</v>
      </c>
      <c r="B680" s="75">
        <f>SUM(B670:B679)</f>
        <v>315000</v>
      </c>
    </row>
    <row r="683" spans="1:11" ht="18.5" x14ac:dyDescent="0.45">
      <c r="A683" s="150" t="s">
        <v>1</v>
      </c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</row>
    <row r="684" spans="1:11" ht="18.5" x14ac:dyDescent="0.45">
      <c r="A684" s="150" t="s">
        <v>74</v>
      </c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</row>
    <row r="685" spans="1:11" ht="18.5" x14ac:dyDescent="0.45">
      <c r="A685" s="149">
        <v>46073</v>
      </c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</row>
    <row r="686" spans="1:11" ht="18.5" x14ac:dyDescent="0.45">
      <c r="A686" s="150"/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</row>
    <row r="687" spans="1:11" ht="18.5" x14ac:dyDescent="0.45">
      <c r="A687" s="2" t="s">
        <v>75</v>
      </c>
      <c r="B687" s="2" t="s">
        <v>3</v>
      </c>
      <c r="C687" s="2" t="s">
        <v>100</v>
      </c>
      <c r="D687" s="2" t="s">
        <v>90</v>
      </c>
      <c r="E687" s="2" t="s">
        <v>91</v>
      </c>
      <c r="F687" s="2" t="s">
        <v>4</v>
      </c>
      <c r="G687" s="2" t="s">
        <v>101</v>
      </c>
      <c r="H687" s="2" t="s">
        <v>104</v>
      </c>
      <c r="I687" s="2"/>
      <c r="J687" s="2" t="s">
        <v>105</v>
      </c>
      <c r="K687" s="2" t="s">
        <v>106</v>
      </c>
    </row>
    <row r="688" spans="1:11" ht="15.5" x14ac:dyDescent="0.35">
      <c r="A688" s="3" t="s">
        <v>76</v>
      </c>
      <c r="B688" s="1">
        <v>106</v>
      </c>
      <c r="C688" s="20">
        <v>17500</v>
      </c>
      <c r="D688" s="1">
        <v>46</v>
      </c>
      <c r="E688" s="1">
        <v>60</v>
      </c>
      <c r="F688" s="20">
        <f>C688*B688</f>
        <v>1855000</v>
      </c>
      <c r="G688" s="20">
        <f>D688*C688</f>
        <v>805000</v>
      </c>
      <c r="H688" s="20">
        <f>E688*C688</f>
        <v>1050000</v>
      </c>
      <c r="I688" s="20" t="b">
        <f>D688+E688=B688</f>
        <v>1</v>
      </c>
      <c r="J688" s="20">
        <f>B723</f>
        <v>420000</v>
      </c>
      <c r="K688" s="20" t="s">
        <v>117</v>
      </c>
    </row>
    <row r="689" spans="1:11" ht="15.5" x14ac:dyDescent="0.35">
      <c r="A689" s="3" t="s">
        <v>77</v>
      </c>
      <c r="B689" s="1">
        <v>18</v>
      </c>
      <c r="C689" s="20">
        <v>16000</v>
      </c>
      <c r="D689" s="1">
        <v>11</v>
      </c>
      <c r="E689" s="1">
        <v>7</v>
      </c>
      <c r="F689" s="20">
        <f t="shared" ref="F689:F700" si="110">C689*B689</f>
        <v>288000</v>
      </c>
      <c r="G689" s="20">
        <f t="shared" ref="G689:G700" si="111">D689*C689</f>
        <v>176000</v>
      </c>
      <c r="H689" s="20">
        <f t="shared" ref="H689:H704" si="112">E689*C689</f>
        <v>112000</v>
      </c>
      <c r="I689" s="20" t="b">
        <f t="shared" ref="I689:I704" si="113">D689+E689=B689</f>
        <v>1</v>
      </c>
      <c r="J689" s="20">
        <v>10000</v>
      </c>
      <c r="K689" s="20" t="s">
        <v>191</v>
      </c>
    </row>
    <row r="690" spans="1:11" ht="15.5" x14ac:dyDescent="0.35">
      <c r="A690" s="3" t="s">
        <v>78</v>
      </c>
      <c r="B690" s="1">
        <v>57</v>
      </c>
      <c r="C690" s="20">
        <v>17500</v>
      </c>
      <c r="D690" s="1">
        <v>19</v>
      </c>
      <c r="E690" s="1">
        <v>38</v>
      </c>
      <c r="F690" s="20">
        <f t="shared" si="110"/>
        <v>997500</v>
      </c>
      <c r="G690" s="20">
        <f t="shared" si="111"/>
        <v>332500</v>
      </c>
      <c r="H690" s="20">
        <f t="shared" si="112"/>
        <v>665000</v>
      </c>
      <c r="I690" s="20" t="b">
        <f t="shared" si="113"/>
        <v>1</v>
      </c>
      <c r="J690" s="20">
        <v>432000</v>
      </c>
      <c r="K690" s="20" t="s">
        <v>107</v>
      </c>
    </row>
    <row r="691" spans="1:11" ht="15.5" x14ac:dyDescent="0.35">
      <c r="A691" s="3" t="s">
        <v>79</v>
      </c>
      <c r="B691" s="1">
        <v>31</v>
      </c>
      <c r="C691" s="20">
        <v>18500</v>
      </c>
      <c r="D691" s="1">
        <v>16</v>
      </c>
      <c r="E691" s="1">
        <v>15</v>
      </c>
      <c r="F691" s="20">
        <f t="shared" si="110"/>
        <v>573500</v>
      </c>
      <c r="G691" s="20">
        <f t="shared" si="111"/>
        <v>296000</v>
      </c>
      <c r="H691" s="20">
        <f t="shared" si="112"/>
        <v>277500</v>
      </c>
      <c r="I691" s="20" t="b">
        <f t="shared" si="113"/>
        <v>1</v>
      </c>
      <c r="J691" s="20">
        <v>110000</v>
      </c>
      <c r="K691" s="20" t="s">
        <v>140</v>
      </c>
    </row>
    <row r="692" spans="1:11" ht="15.5" x14ac:dyDescent="0.35">
      <c r="A692" s="3" t="s">
        <v>80</v>
      </c>
      <c r="B692" s="1"/>
      <c r="C692" s="20">
        <v>18500</v>
      </c>
      <c r="D692" s="1"/>
      <c r="E692" s="1"/>
      <c r="F692" s="20">
        <f t="shared" si="110"/>
        <v>0</v>
      </c>
      <c r="G692" s="20">
        <f t="shared" si="111"/>
        <v>0</v>
      </c>
      <c r="H692" s="20">
        <f t="shared" si="112"/>
        <v>0</v>
      </c>
      <c r="I692" s="20" t="b">
        <f t="shared" si="113"/>
        <v>1</v>
      </c>
      <c r="J692" s="20"/>
      <c r="K692" s="20"/>
    </row>
    <row r="693" spans="1:11" ht="15.5" x14ac:dyDescent="0.35">
      <c r="A693" s="3" t="s">
        <v>81</v>
      </c>
      <c r="B693" s="1"/>
      <c r="C693" s="20">
        <v>23000</v>
      </c>
      <c r="D693" s="1"/>
      <c r="E693" s="1"/>
      <c r="F693" s="20">
        <f t="shared" si="110"/>
        <v>0</v>
      </c>
      <c r="G693" s="20">
        <f t="shared" si="111"/>
        <v>0</v>
      </c>
      <c r="H693" s="20">
        <f t="shared" si="112"/>
        <v>0</v>
      </c>
      <c r="I693" s="20" t="b">
        <f t="shared" si="113"/>
        <v>1</v>
      </c>
      <c r="J693" s="20"/>
      <c r="K693" s="20"/>
    </row>
    <row r="694" spans="1:11" ht="15.5" x14ac:dyDescent="0.35">
      <c r="A694" s="3" t="s">
        <v>82</v>
      </c>
      <c r="B694" s="1"/>
      <c r="C694" s="20">
        <v>18000</v>
      </c>
      <c r="D694" s="1"/>
      <c r="E694" s="1"/>
      <c r="F694" s="20">
        <f t="shared" si="110"/>
        <v>0</v>
      </c>
      <c r="G694" s="20">
        <f t="shared" si="111"/>
        <v>0</v>
      </c>
      <c r="H694" s="20">
        <f t="shared" si="112"/>
        <v>0</v>
      </c>
      <c r="I694" s="20" t="b">
        <f t="shared" si="113"/>
        <v>1</v>
      </c>
      <c r="J694" s="20"/>
      <c r="K694" s="20"/>
    </row>
    <row r="695" spans="1:11" ht="15.5" x14ac:dyDescent="0.35">
      <c r="A695" s="3" t="s">
        <v>83</v>
      </c>
      <c r="B695" s="1"/>
      <c r="C695" s="20">
        <v>18000</v>
      </c>
      <c r="D695" s="1"/>
      <c r="E695" s="1"/>
      <c r="F695" s="20">
        <f t="shared" si="110"/>
        <v>0</v>
      </c>
      <c r="G695" s="20">
        <f t="shared" si="111"/>
        <v>0</v>
      </c>
      <c r="H695" s="20">
        <f t="shared" si="112"/>
        <v>0</v>
      </c>
      <c r="I695" s="20" t="b">
        <f t="shared" si="113"/>
        <v>1</v>
      </c>
      <c r="J695" s="20"/>
      <c r="K695" s="20"/>
    </row>
    <row r="696" spans="1:11" ht="15.5" x14ac:dyDescent="0.35">
      <c r="A696" s="3" t="s">
        <v>84</v>
      </c>
      <c r="B696" s="1"/>
      <c r="C696" s="20">
        <v>18500</v>
      </c>
      <c r="D696" s="1"/>
      <c r="E696" s="1"/>
      <c r="F696" s="20">
        <f t="shared" si="110"/>
        <v>0</v>
      </c>
      <c r="G696" s="20">
        <f t="shared" si="111"/>
        <v>0</v>
      </c>
      <c r="H696" s="20">
        <f t="shared" si="112"/>
        <v>0</v>
      </c>
      <c r="I696" s="20" t="b">
        <f t="shared" si="113"/>
        <v>1</v>
      </c>
      <c r="J696" s="20"/>
      <c r="K696" s="20"/>
    </row>
    <row r="697" spans="1:11" ht="15.5" x14ac:dyDescent="0.35">
      <c r="A697" s="3" t="s">
        <v>85</v>
      </c>
      <c r="B697" s="1">
        <v>49</v>
      </c>
      <c r="C697" s="20">
        <v>18500</v>
      </c>
      <c r="D697" s="1">
        <v>23</v>
      </c>
      <c r="E697" s="1">
        <v>26</v>
      </c>
      <c r="F697" s="20">
        <f t="shared" si="110"/>
        <v>906500</v>
      </c>
      <c r="G697" s="20">
        <f t="shared" si="111"/>
        <v>425500</v>
      </c>
      <c r="H697" s="20">
        <f t="shared" si="112"/>
        <v>481000</v>
      </c>
      <c r="I697" s="20" t="b">
        <f t="shared" si="113"/>
        <v>1</v>
      </c>
      <c r="J697" s="20"/>
      <c r="K697" s="20"/>
    </row>
    <row r="698" spans="1:11" ht="15.5" x14ac:dyDescent="0.35">
      <c r="A698" s="3" t="s">
        <v>86</v>
      </c>
      <c r="B698" s="1">
        <v>8</v>
      </c>
      <c r="C698" s="20">
        <v>18500</v>
      </c>
      <c r="D698" s="1">
        <v>5</v>
      </c>
      <c r="E698" s="1">
        <v>3</v>
      </c>
      <c r="F698" s="20">
        <f t="shared" si="110"/>
        <v>148000</v>
      </c>
      <c r="G698" s="20">
        <f t="shared" si="111"/>
        <v>92500</v>
      </c>
      <c r="H698" s="20">
        <f t="shared" si="112"/>
        <v>55500</v>
      </c>
      <c r="I698" s="20" t="b">
        <f t="shared" si="113"/>
        <v>1</v>
      </c>
      <c r="J698" s="20"/>
      <c r="K698" s="20"/>
    </row>
    <row r="699" spans="1:11" ht="15.5" x14ac:dyDescent="0.35">
      <c r="A699" s="3" t="s">
        <v>87</v>
      </c>
      <c r="B699" s="1"/>
      <c r="C699" s="20">
        <v>18500</v>
      </c>
      <c r="D699" s="1"/>
      <c r="E699" s="1"/>
      <c r="F699" s="20">
        <f t="shared" si="110"/>
        <v>0</v>
      </c>
      <c r="G699" s="20">
        <f t="shared" si="111"/>
        <v>0</v>
      </c>
      <c r="H699" s="20">
        <f t="shared" si="112"/>
        <v>0</v>
      </c>
      <c r="I699" s="20" t="b">
        <f t="shared" si="113"/>
        <v>1</v>
      </c>
      <c r="J699" s="20"/>
      <c r="K699" s="20"/>
    </row>
    <row r="700" spans="1:11" ht="15.5" x14ac:dyDescent="0.35">
      <c r="A700" s="3" t="s">
        <v>88</v>
      </c>
      <c r="B700" s="1">
        <v>11</v>
      </c>
      <c r="C700" s="20">
        <v>18500</v>
      </c>
      <c r="D700" s="1">
        <v>7</v>
      </c>
      <c r="E700" s="1">
        <v>4</v>
      </c>
      <c r="F700" s="20">
        <f t="shared" si="110"/>
        <v>203500</v>
      </c>
      <c r="G700" s="20">
        <f t="shared" si="111"/>
        <v>129500</v>
      </c>
      <c r="H700" s="20">
        <f t="shared" si="112"/>
        <v>74000</v>
      </c>
      <c r="I700" s="20" t="b">
        <f t="shared" si="113"/>
        <v>1</v>
      </c>
      <c r="J700" s="20"/>
      <c r="K700" s="20"/>
    </row>
    <row r="701" spans="1:11" ht="15.5" x14ac:dyDescent="0.35">
      <c r="A701" s="19" t="s">
        <v>89</v>
      </c>
      <c r="B701" s="1"/>
      <c r="C701" s="20"/>
      <c r="D701" s="1"/>
      <c r="E701" s="1"/>
      <c r="F701" s="20"/>
      <c r="G701" s="20"/>
      <c r="H701" s="20">
        <f t="shared" si="112"/>
        <v>0</v>
      </c>
      <c r="I701" s="20" t="b">
        <f t="shared" si="113"/>
        <v>1</v>
      </c>
      <c r="J701" s="20"/>
      <c r="K701" s="20"/>
    </row>
    <row r="702" spans="1:11" ht="15.5" x14ac:dyDescent="0.35">
      <c r="A702" s="3" t="s">
        <v>92</v>
      </c>
      <c r="B702" s="1">
        <v>26</v>
      </c>
      <c r="C702" s="20">
        <v>21500</v>
      </c>
      <c r="D702" s="1">
        <v>13</v>
      </c>
      <c r="E702" s="1">
        <v>13</v>
      </c>
      <c r="F702" s="20">
        <f t="shared" ref="F702:F704" si="114">C702*B702</f>
        <v>559000</v>
      </c>
      <c r="G702" s="20">
        <f t="shared" ref="G702:G704" si="115">D702*C702</f>
        <v>279500</v>
      </c>
      <c r="H702" s="20">
        <f t="shared" si="112"/>
        <v>279500</v>
      </c>
      <c r="I702" s="20" t="b">
        <f t="shared" si="113"/>
        <v>1</v>
      </c>
      <c r="J702" s="20"/>
      <c r="K702" s="20"/>
    </row>
    <row r="703" spans="1:11" ht="15.5" x14ac:dyDescent="0.35">
      <c r="A703" s="3" t="s">
        <v>93</v>
      </c>
      <c r="B703" s="1"/>
      <c r="C703" s="20">
        <v>21500</v>
      </c>
      <c r="D703" s="1"/>
      <c r="E703" s="1"/>
      <c r="F703" s="20">
        <f t="shared" si="114"/>
        <v>0</v>
      </c>
      <c r="G703" s="20">
        <f t="shared" si="115"/>
        <v>0</v>
      </c>
      <c r="H703" s="20">
        <f t="shared" si="112"/>
        <v>0</v>
      </c>
      <c r="I703" s="20" t="b">
        <f t="shared" si="113"/>
        <v>1</v>
      </c>
      <c r="J703" s="20"/>
      <c r="K703" s="20"/>
    </row>
    <row r="704" spans="1:11" ht="15.5" x14ac:dyDescent="0.35">
      <c r="A704" s="3" t="s">
        <v>94</v>
      </c>
      <c r="B704" s="1">
        <v>23</v>
      </c>
      <c r="C704" s="20">
        <v>21500</v>
      </c>
      <c r="D704" s="1">
        <v>14</v>
      </c>
      <c r="E704" s="1">
        <v>9</v>
      </c>
      <c r="F704" s="20">
        <f t="shared" si="114"/>
        <v>494500</v>
      </c>
      <c r="G704" s="20">
        <f t="shared" si="115"/>
        <v>301000</v>
      </c>
      <c r="H704" s="20">
        <f t="shared" si="112"/>
        <v>193500</v>
      </c>
      <c r="I704" s="20" t="b">
        <f t="shared" si="113"/>
        <v>1</v>
      </c>
      <c r="J704" s="20"/>
      <c r="K704" s="20"/>
    </row>
    <row r="705" spans="1:11" ht="15.5" x14ac:dyDescent="0.35">
      <c r="A705" s="19"/>
      <c r="B705" s="22">
        <f>SUM(B688:B704)</f>
        <v>329</v>
      </c>
      <c r="C705" s="20"/>
      <c r="D705" s="1"/>
      <c r="E705" s="1"/>
      <c r="F705" s="23">
        <f>SUM(F688:F704)</f>
        <v>6025500</v>
      </c>
      <c r="G705" s="23">
        <f>SUM(G688:G704)</f>
        <v>2837500</v>
      </c>
      <c r="H705" s="23">
        <f>SUM(H688:H704)</f>
        <v>3188000</v>
      </c>
      <c r="I705" s="23"/>
      <c r="J705" s="23">
        <f>SUM(J688:J704)</f>
        <v>972000</v>
      </c>
      <c r="K705" s="23">
        <f>H705-J705</f>
        <v>2216000</v>
      </c>
    </row>
    <row r="706" spans="1:11" ht="15.5" x14ac:dyDescent="0.35">
      <c r="A706" s="19" t="s">
        <v>95</v>
      </c>
      <c r="B706" s="1"/>
      <c r="C706" s="20"/>
      <c r="D706" s="1"/>
      <c r="E706" s="1"/>
      <c r="F706" s="20"/>
      <c r="G706" s="20"/>
      <c r="H706" s="20" t="s">
        <v>192</v>
      </c>
      <c r="I706" s="20"/>
      <c r="J706" s="20"/>
      <c r="K706" s="20"/>
    </row>
    <row r="707" spans="1:11" ht="15.5" x14ac:dyDescent="0.35">
      <c r="A707" s="3" t="s">
        <v>96</v>
      </c>
      <c r="B707" s="1"/>
      <c r="C707" s="20">
        <v>3000</v>
      </c>
      <c r="D707" s="1"/>
      <c r="E707" s="20"/>
      <c r="F707" s="20">
        <f t="shared" ref="F707:F710" si="116">C707*B707</f>
        <v>0</v>
      </c>
      <c r="G707" s="20"/>
      <c r="H707" s="20"/>
      <c r="I707" s="20"/>
      <c r="J707" s="20"/>
      <c r="K707" s="20"/>
    </row>
    <row r="708" spans="1:11" ht="15.5" x14ac:dyDescent="0.35">
      <c r="A708" s="3" t="s">
        <v>97</v>
      </c>
      <c r="B708" s="1"/>
      <c r="C708" s="20">
        <v>2500</v>
      </c>
      <c r="D708" s="1"/>
      <c r="E708" s="1"/>
      <c r="F708" s="20">
        <f t="shared" si="116"/>
        <v>0</v>
      </c>
      <c r="G708" s="20"/>
      <c r="H708" s="20"/>
      <c r="I708" s="20"/>
      <c r="J708" s="20"/>
      <c r="K708" s="20"/>
    </row>
    <row r="709" spans="1:11" ht="15.5" x14ac:dyDescent="0.35">
      <c r="A709" s="3" t="s">
        <v>98</v>
      </c>
      <c r="B709" s="1"/>
      <c r="C709" s="20">
        <v>1800</v>
      </c>
      <c r="D709" s="1"/>
      <c r="E709" s="1"/>
      <c r="F709" s="20">
        <f t="shared" si="116"/>
        <v>0</v>
      </c>
      <c r="G709" s="20"/>
      <c r="H709" s="20"/>
      <c r="I709" s="20"/>
      <c r="J709" s="20"/>
      <c r="K709" s="20"/>
    </row>
    <row r="710" spans="1:11" ht="15.5" x14ac:dyDescent="0.35">
      <c r="A710" s="3" t="s">
        <v>99</v>
      </c>
      <c r="B710" s="1">
        <v>1</v>
      </c>
      <c r="C710" s="20">
        <v>3500</v>
      </c>
      <c r="D710" s="1">
        <v>1</v>
      </c>
      <c r="E710" s="1"/>
      <c r="F710" s="20">
        <f t="shared" si="116"/>
        <v>3500</v>
      </c>
      <c r="G710" s="20"/>
      <c r="H710" s="20"/>
      <c r="I710" s="20"/>
      <c r="J710" s="20"/>
      <c r="K710" s="20"/>
    </row>
    <row r="711" spans="1:11" ht="15.5" x14ac:dyDescent="0.35">
      <c r="A711" s="18"/>
      <c r="F711" s="21"/>
    </row>
    <row r="712" spans="1:11" ht="15.5" x14ac:dyDescent="0.35">
      <c r="A712" s="24" t="s">
        <v>108</v>
      </c>
      <c r="K712" s="21"/>
    </row>
    <row r="713" spans="1:11" ht="15.5" x14ac:dyDescent="0.35">
      <c r="A713" s="18" t="s">
        <v>114</v>
      </c>
      <c r="B713" s="67">
        <v>45000</v>
      </c>
    </row>
    <row r="714" spans="1:11" ht="15.5" x14ac:dyDescent="0.35">
      <c r="A714" s="18" t="s">
        <v>112</v>
      </c>
      <c r="B714" s="67">
        <v>45000</v>
      </c>
    </row>
    <row r="715" spans="1:11" ht="15.5" x14ac:dyDescent="0.35">
      <c r="A715" s="18" t="s">
        <v>309</v>
      </c>
      <c r="B715" s="67"/>
      <c r="C715" t="s">
        <v>331</v>
      </c>
    </row>
    <row r="716" spans="1:11" ht="15.5" x14ac:dyDescent="0.35">
      <c r="A716" s="18" t="s">
        <v>110</v>
      </c>
      <c r="B716" s="67">
        <v>45000</v>
      </c>
    </row>
    <row r="717" spans="1:11" ht="15.5" x14ac:dyDescent="0.35">
      <c r="A717" s="18" t="s">
        <v>111</v>
      </c>
      <c r="B717" s="67">
        <v>45000</v>
      </c>
    </row>
    <row r="718" spans="1:11" ht="15.5" x14ac:dyDescent="0.35">
      <c r="A718" s="18" t="s">
        <v>196</v>
      </c>
      <c r="B718" s="67">
        <v>45000</v>
      </c>
    </row>
    <row r="719" spans="1:11" ht="15.5" x14ac:dyDescent="0.35">
      <c r="A719" s="18" t="s">
        <v>113</v>
      </c>
      <c r="B719" s="67">
        <v>45000</v>
      </c>
    </row>
    <row r="720" spans="1:11" ht="15.5" x14ac:dyDescent="0.35">
      <c r="A720" s="18" t="s">
        <v>209</v>
      </c>
      <c r="B720" s="67">
        <v>45000</v>
      </c>
    </row>
    <row r="721" spans="1:11" ht="15.5" x14ac:dyDescent="0.35">
      <c r="A721" s="18" t="s">
        <v>115</v>
      </c>
      <c r="B721" s="67">
        <v>60000</v>
      </c>
    </row>
    <row r="722" spans="1:11" ht="15.5" x14ac:dyDescent="0.35">
      <c r="A722" s="18" t="s">
        <v>109</v>
      </c>
      <c r="B722" s="67">
        <v>45000</v>
      </c>
    </row>
    <row r="723" spans="1:11" ht="15.5" x14ac:dyDescent="0.35">
      <c r="A723" s="24" t="s">
        <v>4</v>
      </c>
      <c r="B723" s="75">
        <f>SUM(B713:B722)</f>
        <v>420000</v>
      </c>
    </row>
    <row r="726" spans="1:11" ht="18.5" x14ac:dyDescent="0.45">
      <c r="A726" s="150" t="s">
        <v>1</v>
      </c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</row>
    <row r="727" spans="1:11" ht="18.5" x14ac:dyDescent="0.45">
      <c r="A727" s="150" t="s">
        <v>74</v>
      </c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</row>
    <row r="728" spans="1:11" ht="18.5" x14ac:dyDescent="0.45">
      <c r="A728" s="149">
        <v>46074</v>
      </c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</row>
    <row r="729" spans="1:11" ht="18.5" x14ac:dyDescent="0.45">
      <c r="A729" s="150"/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</row>
    <row r="730" spans="1:11" ht="18.5" x14ac:dyDescent="0.45">
      <c r="A730" s="2" t="s">
        <v>75</v>
      </c>
      <c r="B730" s="2" t="s">
        <v>3</v>
      </c>
      <c r="C730" s="2" t="s">
        <v>100</v>
      </c>
      <c r="D730" s="2" t="s">
        <v>90</v>
      </c>
      <c r="E730" s="2" t="s">
        <v>91</v>
      </c>
      <c r="F730" s="2" t="s">
        <v>4</v>
      </c>
      <c r="G730" s="2" t="s">
        <v>101</v>
      </c>
      <c r="H730" s="2" t="s">
        <v>104</v>
      </c>
      <c r="I730" s="2"/>
      <c r="J730" s="2" t="s">
        <v>105</v>
      </c>
      <c r="K730" s="2" t="s">
        <v>106</v>
      </c>
    </row>
    <row r="731" spans="1:11" ht="15.5" x14ac:dyDescent="0.35">
      <c r="A731" s="3" t="s">
        <v>76</v>
      </c>
      <c r="B731" s="1">
        <v>82</v>
      </c>
      <c r="C731" s="20">
        <v>17500</v>
      </c>
      <c r="D731" s="1">
        <v>43</v>
      </c>
      <c r="E731" s="1">
        <v>39</v>
      </c>
      <c r="F731" s="20">
        <f>C731*B731</f>
        <v>1435000</v>
      </c>
      <c r="G731" s="20">
        <f>D731*C731</f>
        <v>752500</v>
      </c>
      <c r="H731" s="20">
        <f>E731*C731</f>
        <v>682500</v>
      </c>
      <c r="I731" s="20" t="b">
        <f>D731+E731=B731</f>
        <v>1</v>
      </c>
      <c r="J731" s="20">
        <f>B761</f>
        <v>225000</v>
      </c>
      <c r="K731" s="20" t="s">
        <v>117</v>
      </c>
    </row>
    <row r="732" spans="1:11" ht="15.5" x14ac:dyDescent="0.35">
      <c r="A732" s="3" t="s">
        <v>77</v>
      </c>
      <c r="B732" s="1">
        <v>21</v>
      </c>
      <c r="C732" s="20">
        <v>16000</v>
      </c>
      <c r="D732" s="1">
        <v>4</v>
      </c>
      <c r="E732" s="1">
        <v>17</v>
      </c>
      <c r="F732" s="20">
        <f t="shared" ref="F732:F743" si="117">C732*B732</f>
        <v>336000</v>
      </c>
      <c r="G732" s="20">
        <f t="shared" ref="G732:G743" si="118">D732*C732</f>
        <v>64000</v>
      </c>
      <c r="H732" s="20">
        <f t="shared" ref="H732:H747" si="119">E732*C732</f>
        <v>272000</v>
      </c>
      <c r="I732" s="20" t="b">
        <f t="shared" ref="I732:I747" si="120">D732+E732=B732</f>
        <v>1</v>
      </c>
      <c r="J732" s="20"/>
      <c r="K732" s="20"/>
    </row>
    <row r="733" spans="1:11" ht="15.5" x14ac:dyDescent="0.35">
      <c r="A733" s="3" t="s">
        <v>78</v>
      </c>
      <c r="B733" s="1">
        <v>44</v>
      </c>
      <c r="C733" s="20">
        <v>17500</v>
      </c>
      <c r="D733" s="1">
        <v>18</v>
      </c>
      <c r="E733" s="1">
        <v>26</v>
      </c>
      <c r="F733" s="20">
        <f t="shared" si="117"/>
        <v>770000</v>
      </c>
      <c r="G733" s="20">
        <f t="shared" si="118"/>
        <v>315000</v>
      </c>
      <c r="H733" s="20">
        <f t="shared" si="119"/>
        <v>455000</v>
      </c>
      <c r="I733" s="20" t="b">
        <f t="shared" si="120"/>
        <v>1</v>
      </c>
      <c r="J733" s="20"/>
      <c r="K733" s="20"/>
    </row>
    <row r="734" spans="1:11" ht="15.5" x14ac:dyDescent="0.35">
      <c r="A734" s="3" t="s">
        <v>79</v>
      </c>
      <c r="B734" s="1">
        <v>15</v>
      </c>
      <c r="C734" s="20">
        <v>18500</v>
      </c>
      <c r="D734" s="1">
        <v>8</v>
      </c>
      <c r="E734" s="1">
        <v>7</v>
      </c>
      <c r="F734" s="20">
        <f t="shared" si="117"/>
        <v>277500</v>
      </c>
      <c r="G734" s="20">
        <f t="shared" si="118"/>
        <v>148000</v>
      </c>
      <c r="H734" s="20">
        <f t="shared" si="119"/>
        <v>129500</v>
      </c>
      <c r="I734" s="20" t="b">
        <f t="shared" si="120"/>
        <v>1</v>
      </c>
      <c r="J734" s="20"/>
      <c r="K734" s="20"/>
    </row>
    <row r="735" spans="1:11" ht="15.5" x14ac:dyDescent="0.35">
      <c r="A735" s="3" t="s">
        <v>80</v>
      </c>
      <c r="B735" s="1">
        <v>19</v>
      </c>
      <c r="C735" s="20">
        <v>18500</v>
      </c>
      <c r="D735" s="1">
        <v>6</v>
      </c>
      <c r="E735" s="1">
        <v>13</v>
      </c>
      <c r="F735" s="20">
        <f t="shared" si="117"/>
        <v>351500</v>
      </c>
      <c r="G735" s="20">
        <f t="shared" si="118"/>
        <v>111000</v>
      </c>
      <c r="H735" s="20">
        <f t="shared" si="119"/>
        <v>240500</v>
      </c>
      <c r="I735" s="20" t="b">
        <f t="shared" si="120"/>
        <v>1</v>
      </c>
      <c r="J735" s="20"/>
      <c r="K735" s="20"/>
    </row>
    <row r="736" spans="1:11" ht="15.5" x14ac:dyDescent="0.35">
      <c r="A736" s="3" t="s">
        <v>81</v>
      </c>
      <c r="B736" s="1">
        <v>12</v>
      </c>
      <c r="C736" s="20">
        <v>23000</v>
      </c>
      <c r="D736" s="1">
        <v>3</v>
      </c>
      <c r="E736" s="1">
        <v>9</v>
      </c>
      <c r="F736" s="20">
        <f t="shared" si="117"/>
        <v>276000</v>
      </c>
      <c r="G736" s="20">
        <f t="shared" si="118"/>
        <v>69000</v>
      </c>
      <c r="H736" s="20">
        <f t="shared" si="119"/>
        <v>207000</v>
      </c>
      <c r="I736" s="20" t="b">
        <f t="shared" si="120"/>
        <v>1</v>
      </c>
      <c r="J736" s="20"/>
      <c r="K736" s="20"/>
    </row>
    <row r="737" spans="1:11" ht="15.5" x14ac:dyDescent="0.35">
      <c r="A737" s="3" t="s">
        <v>82</v>
      </c>
      <c r="B737" s="1"/>
      <c r="C737" s="20">
        <v>18000</v>
      </c>
      <c r="D737" s="1"/>
      <c r="E737" s="1"/>
      <c r="F737" s="20">
        <f t="shared" si="117"/>
        <v>0</v>
      </c>
      <c r="G737" s="20">
        <f t="shared" si="118"/>
        <v>0</v>
      </c>
      <c r="H737" s="20">
        <f t="shared" si="119"/>
        <v>0</v>
      </c>
      <c r="I737" s="20" t="b">
        <f t="shared" si="120"/>
        <v>1</v>
      </c>
      <c r="J737" s="20"/>
      <c r="K737" s="20"/>
    </row>
    <row r="738" spans="1:11" ht="15.5" x14ac:dyDescent="0.35">
      <c r="A738" s="3" t="s">
        <v>83</v>
      </c>
      <c r="B738" s="1"/>
      <c r="C738" s="20">
        <v>18000</v>
      </c>
      <c r="D738" s="1"/>
      <c r="E738" s="1"/>
      <c r="F738" s="20">
        <f t="shared" si="117"/>
        <v>0</v>
      </c>
      <c r="G738" s="20">
        <f t="shared" si="118"/>
        <v>0</v>
      </c>
      <c r="H738" s="20">
        <f t="shared" si="119"/>
        <v>0</v>
      </c>
      <c r="I738" s="20" t="b">
        <f t="shared" si="120"/>
        <v>1</v>
      </c>
      <c r="J738" s="20"/>
      <c r="K738" s="20"/>
    </row>
    <row r="739" spans="1:11" ht="15.5" x14ac:dyDescent="0.35">
      <c r="A739" s="3" t="s">
        <v>84</v>
      </c>
      <c r="B739" s="1"/>
      <c r="C739" s="20">
        <v>18500</v>
      </c>
      <c r="D739" s="1"/>
      <c r="E739" s="1"/>
      <c r="F739" s="20">
        <f t="shared" si="117"/>
        <v>0</v>
      </c>
      <c r="G739" s="20">
        <f t="shared" si="118"/>
        <v>0</v>
      </c>
      <c r="H739" s="20">
        <f t="shared" si="119"/>
        <v>0</v>
      </c>
      <c r="I739" s="20" t="b">
        <f t="shared" si="120"/>
        <v>1</v>
      </c>
      <c r="J739" s="20"/>
      <c r="K739" s="20"/>
    </row>
    <row r="740" spans="1:11" ht="15.5" x14ac:dyDescent="0.35">
      <c r="A740" s="3" t="s">
        <v>85</v>
      </c>
      <c r="B740" s="1">
        <v>23</v>
      </c>
      <c r="C740" s="20">
        <v>18500</v>
      </c>
      <c r="D740" s="1">
        <v>3</v>
      </c>
      <c r="E740" s="1">
        <v>20</v>
      </c>
      <c r="F740" s="20">
        <f t="shared" si="117"/>
        <v>425500</v>
      </c>
      <c r="G740" s="20">
        <f t="shared" si="118"/>
        <v>55500</v>
      </c>
      <c r="H740" s="20">
        <f t="shared" si="119"/>
        <v>370000</v>
      </c>
      <c r="I740" s="20" t="b">
        <f t="shared" si="120"/>
        <v>1</v>
      </c>
      <c r="J740" s="20"/>
      <c r="K740" s="20"/>
    </row>
    <row r="741" spans="1:11" ht="15.5" x14ac:dyDescent="0.35">
      <c r="A741" s="3" t="s">
        <v>86</v>
      </c>
      <c r="B741" s="1">
        <v>4</v>
      </c>
      <c r="C741" s="20">
        <v>18500</v>
      </c>
      <c r="D741" s="1"/>
      <c r="E741" s="1">
        <v>4</v>
      </c>
      <c r="F741" s="20">
        <f t="shared" si="117"/>
        <v>74000</v>
      </c>
      <c r="G741" s="20">
        <f t="shared" si="118"/>
        <v>0</v>
      </c>
      <c r="H741" s="20">
        <f t="shared" si="119"/>
        <v>74000</v>
      </c>
      <c r="I741" s="20" t="b">
        <f t="shared" si="120"/>
        <v>1</v>
      </c>
      <c r="J741" s="20"/>
      <c r="K741" s="20"/>
    </row>
    <row r="742" spans="1:11" ht="15.5" x14ac:dyDescent="0.35">
      <c r="A742" s="3" t="s">
        <v>87</v>
      </c>
      <c r="B742" s="1">
        <v>1</v>
      </c>
      <c r="C742" s="20">
        <v>18500</v>
      </c>
      <c r="D742" s="1"/>
      <c r="E742" s="1">
        <v>1</v>
      </c>
      <c r="F742" s="20">
        <f t="shared" si="117"/>
        <v>18500</v>
      </c>
      <c r="G742" s="20">
        <f t="shared" si="118"/>
        <v>0</v>
      </c>
      <c r="H742" s="20">
        <f t="shared" si="119"/>
        <v>18500</v>
      </c>
      <c r="I742" s="20" t="b">
        <f t="shared" si="120"/>
        <v>1</v>
      </c>
      <c r="J742" s="20"/>
      <c r="K742" s="20"/>
    </row>
    <row r="743" spans="1:11" ht="15.5" x14ac:dyDescent="0.35">
      <c r="A743" s="3" t="s">
        <v>88</v>
      </c>
      <c r="B743" s="1"/>
      <c r="C743" s="20">
        <v>18500</v>
      </c>
      <c r="D743" s="1"/>
      <c r="E743" s="1"/>
      <c r="F743" s="20">
        <f t="shared" si="117"/>
        <v>0</v>
      </c>
      <c r="G743" s="20">
        <f t="shared" si="118"/>
        <v>0</v>
      </c>
      <c r="H743" s="20">
        <f t="shared" si="119"/>
        <v>0</v>
      </c>
      <c r="I743" s="20" t="b">
        <f t="shared" si="120"/>
        <v>1</v>
      </c>
      <c r="J743" s="20"/>
      <c r="K743" s="20"/>
    </row>
    <row r="744" spans="1:11" ht="15.5" x14ac:dyDescent="0.35">
      <c r="A744" s="19" t="s">
        <v>334</v>
      </c>
      <c r="B744" s="1"/>
      <c r="C744" s="20"/>
      <c r="D744" s="1"/>
      <c r="E744" s="1"/>
      <c r="F744" s="20"/>
      <c r="G744" s="20"/>
      <c r="H744" s="20">
        <f t="shared" si="119"/>
        <v>0</v>
      </c>
      <c r="I744" s="20" t="b">
        <f t="shared" si="120"/>
        <v>1</v>
      </c>
      <c r="J744" s="20"/>
      <c r="K744" s="20"/>
    </row>
    <row r="745" spans="1:11" ht="15.5" x14ac:dyDescent="0.35">
      <c r="A745" s="3" t="s">
        <v>92</v>
      </c>
      <c r="B745" s="1">
        <v>18</v>
      </c>
      <c r="C745" s="20">
        <v>21500</v>
      </c>
      <c r="D745" s="1">
        <v>6</v>
      </c>
      <c r="E745" s="1">
        <v>12</v>
      </c>
      <c r="F745" s="20">
        <f t="shared" ref="F745:F747" si="121">C745*B745</f>
        <v>387000</v>
      </c>
      <c r="G745" s="20">
        <f t="shared" ref="G745:G747" si="122">D745*C745</f>
        <v>129000</v>
      </c>
      <c r="H745" s="20">
        <f t="shared" si="119"/>
        <v>258000</v>
      </c>
      <c r="I745" s="20" t="b">
        <f t="shared" si="120"/>
        <v>1</v>
      </c>
      <c r="J745" s="20"/>
      <c r="K745" s="20"/>
    </row>
    <row r="746" spans="1:11" ht="15.5" x14ac:dyDescent="0.35">
      <c r="A746" s="3" t="s">
        <v>93</v>
      </c>
      <c r="B746" s="1">
        <v>2</v>
      </c>
      <c r="C746" s="20">
        <v>21500</v>
      </c>
      <c r="D746" s="1">
        <v>2</v>
      </c>
      <c r="E746" s="1"/>
      <c r="F746" s="20">
        <f t="shared" si="121"/>
        <v>43000</v>
      </c>
      <c r="G746" s="20">
        <f t="shared" si="122"/>
        <v>43000</v>
      </c>
      <c r="H746" s="20">
        <f t="shared" si="119"/>
        <v>0</v>
      </c>
      <c r="I746" s="20" t="b">
        <f t="shared" si="120"/>
        <v>1</v>
      </c>
      <c r="J746" s="20"/>
      <c r="K746" s="20"/>
    </row>
    <row r="747" spans="1:11" ht="15.5" x14ac:dyDescent="0.35">
      <c r="A747" s="3" t="s">
        <v>94</v>
      </c>
      <c r="B747" s="1"/>
      <c r="C747" s="20">
        <v>21500</v>
      </c>
      <c r="D747" s="1"/>
      <c r="E747" s="1"/>
      <c r="F747" s="20">
        <f t="shared" si="121"/>
        <v>0</v>
      </c>
      <c r="G747" s="20">
        <f t="shared" si="122"/>
        <v>0</v>
      </c>
      <c r="H747" s="20">
        <f t="shared" si="119"/>
        <v>0</v>
      </c>
      <c r="I747" s="20" t="b">
        <f t="shared" si="120"/>
        <v>1</v>
      </c>
      <c r="J747" s="20"/>
      <c r="K747" s="20"/>
    </row>
    <row r="748" spans="1:11" ht="15.5" x14ac:dyDescent="0.35">
      <c r="A748" s="19"/>
      <c r="B748" s="22">
        <f>SUM(B731:B747)</f>
        <v>241</v>
      </c>
      <c r="C748" s="20"/>
      <c r="D748" s="1"/>
      <c r="E748" s="1"/>
      <c r="F748" s="23">
        <f>SUM(F731:F747)</f>
        <v>4394000</v>
      </c>
      <c r="G748" s="23">
        <f>SUM(G731:G747)</f>
        <v>1687000</v>
      </c>
      <c r="H748" s="23">
        <f>SUM(H731:H747)</f>
        <v>2707000</v>
      </c>
      <c r="I748" s="23"/>
      <c r="J748" s="23">
        <f>SUM(J731:J747)</f>
        <v>225000</v>
      </c>
      <c r="K748" s="23">
        <f>H748-J748</f>
        <v>2482000</v>
      </c>
    </row>
    <row r="749" spans="1:11" ht="15.5" x14ac:dyDescent="0.35">
      <c r="A749" s="19" t="s">
        <v>95</v>
      </c>
      <c r="B749" s="1"/>
      <c r="C749" s="20"/>
      <c r="D749" s="1"/>
      <c r="E749" s="1"/>
      <c r="F749" s="20"/>
      <c r="G749" s="20"/>
      <c r="H749" s="20" t="s">
        <v>192</v>
      </c>
      <c r="I749" s="20"/>
      <c r="J749" s="20"/>
      <c r="K749" s="20"/>
    </row>
    <row r="750" spans="1:11" ht="15.5" x14ac:dyDescent="0.35">
      <c r="A750" s="3" t="s">
        <v>96</v>
      </c>
      <c r="B750" s="1"/>
      <c r="C750" s="20">
        <v>3000</v>
      </c>
      <c r="D750" s="1"/>
      <c r="E750" s="20"/>
      <c r="F750" s="20">
        <f t="shared" ref="F750:F753" si="123">C750*B750</f>
        <v>0</v>
      </c>
      <c r="G750" s="20"/>
      <c r="H750" s="20"/>
      <c r="I750" s="20"/>
      <c r="J750" s="20"/>
      <c r="K750" s="20"/>
    </row>
    <row r="751" spans="1:11" ht="15.5" x14ac:dyDescent="0.35">
      <c r="A751" s="3" t="s">
        <v>97</v>
      </c>
      <c r="B751" s="1"/>
      <c r="C751" s="20">
        <v>2500</v>
      </c>
      <c r="D751" s="1"/>
      <c r="E751" s="1"/>
      <c r="F751" s="20">
        <f t="shared" si="123"/>
        <v>0</v>
      </c>
      <c r="G751" s="20"/>
      <c r="H751" s="20"/>
      <c r="I751" s="20"/>
      <c r="J751" s="20"/>
      <c r="K751" s="20"/>
    </row>
    <row r="752" spans="1:11" ht="15.5" x14ac:dyDescent="0.35">
      <c r="A752" s="3" t="s">
        <v>98</v>
      </c>
      <c r="B752" s="1"/>
      <c r="C752" s="20">
        <v>1800</v>
      </c>
      <c r="D752" s="1"/>
      <c r="E752" s="1"/>
      <c r="F752" s="20">
        <f t="shared" si="123"/>
        <v>0</v>
      </c>
      <c r="G752" s="20"/>
      <c r="H752" s="20"/>
      <c r="I752" s="20"/>
      <c r="J752" s="20"/>
      <c r="K752" s="20"/>
    </row>
    <row r="753" spans="1:11" ht="15.5" x14ac:dyDescent="0.35">
      <c r="A753" s="3" t="s">
        <v>99</v>
      </c>
      <c r="B753" s="1">
        <v>3</v>
      </c>
      <c r="C753" s="20">
        <v>3500</v>
      </c>
      <c r="D753" s="1">
        <v>2</v>
      </c>
      <c r="E753" s="1">
        <v>1</v>
      </c>
      <c r="F753" s="20">
        <f t="shared" si="123"/>
        <v>10500</v>
      </c>
      <c r="G753" s="20"/>
      <c r="H753" s="20"/>
      <c r="I753" s="20"/>
      <c r="J753" s="20"/>
      <c r="K753" s="20"/>
    </row>
    <row r="754" spans="1:11" ht="15.5" x14ac:dyDescent="0.35">
      <c r="A754" s="18"/>
      <c r="F754" s="21"/>
    </row>
    <row r="755" spans="1:11" ht="15.5" x14ac:dyDescent="0.35">
      <c r="A755" s="24" t="s">
        <v>108</v>
      </c>
      <c r="K755" s="21"/>
    </row>
    <row r="756" spans="1:11" ht="15.5" x14ac:dyDescent="0.35">
      <c r="A756" s="18" t="s">
        <v>114</v>
      </c>
      <c r="B756" s="67">
        <v>45000</v>
      </c>
    </row>
    <row r="757" spans="1:11" ht="15.5" x14ac:dyDescent="0.35">
      <c r="A757" s="18" t="s">
        <v>112</v>
      </c>
      <c r="B757" s="67">
        <v>45000</v>
      </c>
    </row>
    <row r="758" spans="1:11" ht="15.5" x14ac:dyDescent="0.35">
      <c r="A758" s="18" t="s">
        <v>110</v>
      </c>
      <c r="B758" s="67">
        <v>45000</v>
      </c>
    </row>
    <row r="759" spans="1:11" ht="15.5" x14ac:dyDescent="0.35">
      <c r="A759" s="18" t="s">
        <v>111</v>
      </c>
      <c r="B759" s="67">
        <v>45000</v>
      </c>
    </row>
    <row r="760" spans="1:11" ht="15.5" x14ac:dyDescent="0.35">
      <c r="A760" s="18" t="s">
        <v>196</v>
      </c>
      <c r="B760" s="67">
        <v>45000</v>
      </c>
    </row>
    <row r="761" spans="1:11" ht="15.5" x14ac:dyDescent="0.35">
      <c r="A761" s="24" t="s">
        <v>4</v>
      </c>
      <c r="B761" s="75">
        <f>SUM(B756:B760)</f>
        <v>225000</v>
      </c>
    </row>
    <row r="764" spans="1:11" ht="18.5" x14ac:dyDescent="0.45">
      <c r="A764" s="150" t="s">
        <v>1</v>
      </c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</row>
    <row r="765" spans="1:11" ht="18.5" x14ac:dyDescent="0.45">
      <c r="A765" s="150" t="s">
        <v>74</v>
      </c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</row>
    <row r="766" spans="1:11" ht="18.5" x14ac:dyDescent="0.45">
      <c r="A766" s="149">
        <v>46076</v>
      </c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</row>
    <row r="767" spans="1:11" ht="18.5" x14ac:dyDescent="0.45">
      <c r="A767" s="150"/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</row>
    <row r="768" spans="1:11" ht="18.5" x14ac:dyDescent="0.45">
      <c r="A768" s="2" t="s">
        <v>75</v>
      </c>
      <c r="B768" s="2" t="s">
        <v>3</v>
      </c>
      <c r="C768" s="2" t="s">
        <v>100</v>
      </c>
      <c r="D768" s="2" t="s">
        <v>90</v>
      </c>
      <c r="E768" s="2" t="s">
        <v>91</v>
      </c>
      <c r="F768" s="2" t="s">
        <v>4</v>
      </c>
      <c r="G768" s="2" t="s">
        <v>101</v>
      </c>
      <c r="H768" s="2" t="s">
        <v>104</v>
      </c>
      <c r="I768" s="2"/>
      <c r="J768" s="2" t="s">
        <v>105</v>
      </c>
      <c r="K768" s="2" t="s">
        <v>106</v>
      </c>
    </row>
    <row r="769" spans="1:11" ht="15.5" x14ac:dyDescent="0.35">
      <c r="A769" s="3" t="s">
        <v>76</v>
      </c>
      <c r="B769" s="1">
        <v>118</v>
      </c>
      <c r="C769" s="20">
        <v>17500</v>
      </c>
      <c r="D769" s="1">
        <v>43</v>
      </c>
      <c r="E769" s="1">
        <v>75</v>
      </c>
      <c r="F769" s="20">
        <f>C769*B769</f>
        <v>2065000</v>
      </c>
      <c r="G769" s="20">
        <f>D769*C769</f>
        <v>752500</v>
      </c>
      <c r="H769" s="20">
        <f>E769*C769</f>
        <v>1312500</v>
      </c>
      <c r="I769" s="20" t="b">
        <f>D769+E769=B769</f>
        <v>1</v>
      </c>
      <c r="J769" s="20">
        <f>B804</f>
        <v>480000</v>
      </c>
      <c r="K769" s="20" t="s">
        <v>117</v>
      </c>
    </row>
    <row r="770" spans="1:11" ht="15.5" x14ac:dyDescent="0.35">
      <c r="A770" s="3" t="s">
        <v>77</v>
      </c>
      <c r="B770" s="1">
        <v>26</v>
      </c>
      <c r="C770" s="20">
        <v>16000</v>
      </c>
      <c r="D770" s="1">
        <v>11</v>
      </c>
      <c r="E770" s="1">
        <v>15</v>
      </c>
      <c r="F770" s="20">
        <f t="shared" ref="F770:F781" si="124">C770*B770</f>
        <v>416000</v>
      </c>
      <c r="G770" s="20">
        <f t="shared" ref="G770:G781" si="125">D770*C770</f>
        <v>176000</v>
      </c>
      <c r="H770" s="20">
        <f t="shared" ref="H770:H785" si="126">E770*C770</f>
        <v>240000</v>
      </c>
      <c r="I770" s="20" t="b">
        <f t="shared" ref="I770:I785" si="127">D770+E770=B770</f>
        <v>1</v>
      </c>
      <c r="J770" s="20">
        <v>10000</v>
      </c>
      <c r="K770" s="20" t="s">
        <v>191</v>
      </c>
    </row>
    <row r="771" spans="1:11" ht="15.5" x14ac:dyDescent="0.35">
      <c r="A771" s="3" t="s">
        <v>78</v>
      </c>
      <c r="B771" s="1">
        <v>58</v>
      </c>
      <c r="C771" s="20">
        <v>17500</v>
      </c>
      <c r="D771" s="1">
        <v>18</v>
      </c>
      <c r="E771" s="1">
        <v>40</v>
      </c>
      <c r="F771" s="20">
        <f t="shared" si="124"/>
        <v>1015000</v>
      </c>
      <c r="G771" s="20">
        <f t="shared" si="125"/>
        <v>315000</v>
      </c>
      <c r="H771" s="20">
        <f t="shared" si="126"/>
        <v>700000</v>
      </c>
      <c r="I771" s="20" t="b">
        <f t="shared" si="127"/>
        <v>1</v>
      </c>
      <c r="J771" s="20">
        <v>30000</v>
      </c>
      <c r="K771" s="20" t="s">
        <v>340</v>
      </c>
    </row>
    <row r="772" spans="1:11" ht="15.5" x14ac:dyDescent="0.35">
      <c r="A772" s="3" t="s">
        <v>79</v>
      </c>
      <c r="B772" s="1"/>
      <c r="C772" s="20">
        <v>18500</v>
      </c>
      <c r="D772" s="1"/>
      <c r="E772" s="1"/>
      <c r="F772" s="20">
        <f t="shared" si="124"/>
        <v>0</v>
      </c>
      <c r="G772" s="20">
        <f t="shared" si="125"/>
        <v>0</v>
      </c>
      <c r="H772" s="20">
        <f t="shared" si="126"/>
        <v>0</v>
      </c>
      <c r="I772" s="20" t="b">
        <f t="shared" si="127"/>
        <v>1</v>
      </c>
      <c r="J772" s="20"/>
      <c r="K772" s="20"/>
    </row>
    <row r="773" spans="1:11" ht="15.5" x14ac:dyDescent="0.35">
      <c r="A773" s="3" t="s">
        <v>80</v>
      </c>
      <c r="B773" s="1"/>
      <c r="C773" s="20">
        <v>18500</v>
      </c>
      <c r="D773" s="1"/>
      <c r="E773" s="1"/>
      <c r="F773" s="20">
        <f t="shared" si="124"/>
        <v>0</v>
      </c>
      <c r="G773" s="20">
        <f t="shared" si="125"/>
        <v>0</v>
      </c>
      <c r="H773" s="20">
        <f t="shared" si="126"/>
        <v>0</v>
      </c>
      <c r="I773" s="20" t="b">
        <f t="shared" si="127"/>
        <v>1</v>
      </c>
      <c r="J773" s="20"/>
      <c r="K773" s="20"/>
    </row>
    <row r="774" spans="1:11" ht="15.5" x14ac:dyDescent="0.35">
      <c r="A774" s="3" t="s">
        <v>81</v>
      </c>
      <c r="B774" s="1"/>
      <c r="C774" s="20">
        <v>23000</v>
      </c>
      <c r="D774" s="1"/>
      <c r="E774" s="1"/>
      <c r="F774" s="20">
        <f t="shared" si="124"/>
        <v>0</v>
      </c>
      <c r="G774" s="20">
        <f t="shared" si="125"/>
        <v>0</v>
      </c>
      <c r="H774" s="20">
        <f t="shared" si="126"/>
        <v>0</v>
      </c>
      <c r="I774" s="20" t="b">
        <f t="shared" si="127"/>
        <v>1</v>
      </c>
      <c r="J774" s="20"/>
      <c r="K774" s="20"/>
    </row>
    <row r="775" spans="1:11" ht="15.5" x14ac:dyDescent="0.35">
      <c r="A775" s="3" t="s">
        <v>82</v>
      </c>
      <c r="B775" s="1">
        <v>15</v>
      </c>
      <c r="C775" s="20">
        <v>18000</v>
      </c>
      <c r="D775" s="1">
        <v>1</v>
      </c>
      <c r="E775" s="1">
        <v>14</v>
      </c>
      <c r="F775" s="20">
        <f t="shared" si="124"/>
        <v>270000</v>
      </c>
      <c r="G775" s="20">
        <f t="shared" si="125"/>
        <v>18000</v>
      </c>
      <c r="H775" s="20">
        <f t="shared" si="126"/>
        <v>252000</v>
      </c>
      <c r="I775" s="20" t="b">
        <f t="shared" si="127"/>
        <v>1</v>
      </c>
      <c r="J775" s="20"/>
      <c r="K775" s="20"/>
    </row>
    <row r="776" spans="1:11" ht="15.5" x14ac:dyDescent="0.35">
      <c r="A776" s="3" t="s">
        <v>83</v>
      </c>
      <c r="B776" s="1"/>
      <c r="C776" s="20">
        <v>18000</v>
      </c>
      <c r="D776" s="1"/>
      <c r="E776" s="1"/>
      <c r="F776" s="20">
        <f t="shared" si="124"/>
        <v>0</v>
      </c>
      <c r="G776" s="20">
        <f t="shared" si="125"/>
        <v>0</v>
      </c>
      <c r="H776" s="20">
        <f t="shared" si="126"/>
        <v>0</v>
      </c>
      <c r="I776" s="20" t="b">
        <f t="shared" si="127"/>
        <v>1</v>
      </c>
      <c r="J776" s="20"/>
      <c r="K776" s="20"/>
    </row>
    <row r="777" spans="1:11" ht="15.5" x14ac:dyDescent="0.35">
      <c r="A777" s="3" t="s">
        <v>84</v>
      </c>
      <c r="B777" s="1"/>
      <c r="C777" s="20">
        <v>18500</v>
      </c>
      <c r="D777" s="1"/>
      <c r="E777" s="1"/>
      <c r="F777" s="20">
        <f t="shared" si="124"/>
        <v>0</v>
      </c>
      <c r="G777" s="20">
        <f t="shared" si="125"/>
        <v>0</v>
      </c>
      <c r="H777" s="20">
        <f t="shared" si="126"/>
        <v>0</v>
      </c>
      <c r="I777" s="20" t="b">
        <f t="shared" si="127"/>
        <v>1</v>
      </c>
      <c r="J777" s="20"/>
      <c r="K777" s="20"/>
    </row>
    <row r="778" spans="1:11" ht="15.5" x14ac:dyDescent="0.35">
      <c r="A778" s="3" t="s">
        <v>85</v>
      </c>
      <c r="B778" s="1"/>
      <c r="C778" s="20">
        <v>18500</v>
      </c>
      <c r="D778" s="1"/>
      <c r="E778" s="1"/>
      <c r="F778" s="20">
        <f t="shared" si="124"/>
        <v>0</v>
      </c>
      <c r="G778" s="20">
        <f t="shared" si="125"/>
        <v>0</v>
      </c>
      <c r="H778" s="20">
        <f t="shared" si="126"/>
        <v>0</v>
      </c>
      <c r="I778" s="20" t="b">
        <f t="shared" si="127"/>
        <v>1</v>
      </c>
      <c r="J778" s="20"/>
      <c r="K778" s="20"/>
    </row>
    <row r="779" spans="1:11" ht="15.5" x14ac:dyDescent="0.35">
      <c r="A779" s="3" t="s">
        <v>86</v>
      </c>
      <c r="B779" s="1">
        <v>4</v>
      </c>
      <c r="C779" s="20">
        <v>18500</v>
      </c>
      <c r="D779" s="1">
        <v>1</v>
      </c>
      <c r="E779" s="1">
        <v>3</v>
      </c>
      <c r="F779" s="20">
        <f t="shared" si="124"/>
        <v>74000</v>
      </c>
      <c r="G779" s="20">
        <f t="shared" si="125"/>
        <v>18500</v>
      </c>
      <c r="H779" s="20">
        <f t="shared" si="126"/>
        <v>55500</v>
      </c>
      <c r="I779" s="20" t="b">
        <f t="shared" si="127"/>
        <v>1</v>
      </c>
      <c r="J779" s="20"/>
      <c r="K779" s="20"/>
    </row>
    <row r="780" spans="1:11" ht="15.5" x14ac:dyDescent="0.35">
      <c r="A780" s="3" t="s">
        <v>87</v>
      </c>
      <c r="B780" s="1"/>
      <c r="C780" s="20">
        <v>18500</v>
      </c>
      <c r="D780" s="1"/>
      <c r="E780" s="1"/>
      <c r="F780" s="20">
        <f t="shared" si="124"/>
        <v>0</v>
      </c>
      <c r="G780" s="20">
        <f t="shared" si="125"/>
        <v>0</v>
      </c>
      <c r="H780" s="20">
        <f t="shared" si="126"/>
        <v>0</v>
      </c>
      <c r="I780" s="20" t="b">
        <f t="shared" si="127"/>
        <v>1</v>
      </c>
      <c r="J780" s="20"/>
      <c r="K780" s="20"/>
    </row>
    <row r="781" spans="1:11" ht="15.5" x14ac:dyDescent="0.35">
      <c r="A781" s="3" t="s">
        <v>88</v>
      </c>
      <c r="B781" s="1"/>
      <c r="C781" s="20">
        <v>18500</v>
      </c>
      <c r="D781" s="1"/>
      <c r="E781" s="1"/>
      <c r="F781" s="20">
        <f t="shared" si="124"/>
        <v>0</v>
      </c>
      <c r="G781" s="20">
        <f t="shared" si="125"/>
        <v>0</v>
      </c>
      <c r="H781" s="20">
        <f t="shared" si="126"/>
        <v>0</v>
      </c>
      <c r="I781" s="20" t="b">
        <f t="shared" si="127"/>
        <v>1</v>
      </c>
      <c r="J781" s="20"/>
      <c r="K781" s="20"/>
    </row>
    <row r="782" spans="1:11" ht="15.5" x14ac:dyDescent="0.35">
      <c r="A782" s="19" t="s">
        <v>89</v>
      </c>
      <c r="B782" s="1"/>
      <c r="C782" s="20"/>
      <c r="D782" s="1"/>
      <c r="E782" s="1"/>
      <c r="F782" s="20"/>
      <c r="G782" s="20"/>
      <c r="H782" s="20">
        <f t="shared" si="126"/>
        <v>0</v>
      </c>
      <c r="I782" s="20" t="b">
        <f t="shared" si="127"/>
        <v>1</v>
      </c>
      <c r="J782" s="20"/>
      <c r="K782" s="20"/>
    </row>
    <row r="783" spans="1:11" ht="15.5" x14ac:dyDescent="0.35">
      <c r="A783" s="3" t="s">
        <v>92</v>
      </c>
      <c r="B783" s="1">
        <v>37</v>
      </c>
      <c r="C783" s="20">
        <v>21500</v>
      </c>
      <c r="D783" s="1">
        <v>13</v>
      </c>
      <c r="E783" s="1">
        <v>24</v>
      </c>
      <c r="F783" s="20">
        <f t="shared" ref="F783:F785" si="128">C783*B783</f>
        <v>795500</v>
      </c>
      <c r="G783" s="20">
        <f t="shared" ref="G783:G785" si="129">D783*C783</f>
        <v>279500</v>
      </c>
      <c r="H783" s="20">
        <f t="shared" si="126"/>
        <v>516000</v>
      </c>
      <c r="I783" s="20" t="b">
        <f t="shared" si="127"/>
        <v>1</v>
      </c>
      <c r="J783" s="20"/>
      <c r="K783" s="20"/>
    </row>
    <row r="784" spans="1:11" ht="15.5" x14ac:dyDescent="0.35">
      <c r="A784" s="3" t="s">
        <v>93</v>
      </c>
      <c r="B784" s="1"/>
      <c r="C784" s="20">
        <v>21500</v>
      </c>
      <c r="D784" s="1"/>
      <c r="E784" s="1"/>
      <c r="F784" s="20">
        <f t="shared" si="128"/>
        <v>0</v>
      </c>
      <c r="G784" s="20">
        <f t="shared" si="129"/>
        <v>0</v>
      </c>
      <c r="H784" s="20">
        <f t="shared" si="126"/>
        <v>0</v>
      </c>
      <c r="I784" s="20" t="b">
        <f t="shared" si="127"/>
        <v>1</v>
      </c>
      <c r="J784" s="20"/>
      <c r="K784" s="20"/>
    </row>
    <row r="785" spans="1:11" ht="15.5" x14ac:dyDescent="0.35">
      <c r="A785" s="3" t="s">
        <v>94</v>
      </c>
      <c r="B785" s="1">
        <v>32</v>
      </c>
      <c r="C785" s="20">
        <v>21500</v>
      </c>
      <c r="D785" s="1">
        <v>16</v>
      </c>
      <c r="E785" s="1">
        <v>16</v>
      </c>
      <c r="F785" s="20">
        <f t="shared" si="128"/>
        <v>688000</v>
      </c>
      <c r="G785" s="20">
        <f t="shared" si="129"/>
        <v>344000</v>
      </c>
      <c r="H785" s="20">
        <f t="shared" si="126"/>
        <v>344000</v>
      </c>
      <c r="I785" s="20" t="b">
        <f t="shared" si="127"/>
        <v>1</v>
      </c>
      <c r="J785" s="20"/>
      <c r="K785" s="20"/>
    </row>
    <row r="786" spans="1:11" ht="15.5" x14ac:dyDescent="0.35">
      <c r="A786" s="19"/>
      <c r="B786" s="22">
        <f>SUM(B769:B785)</f>
        <v>290</v>
      </c>
      <c r="C786" s="20"/>
      <c r="D786" s="1"/>
      <c r="E786" s="1"/>
      <c r="F786" s="23">
        <f>SUM(F769:F785)</f>
        <v>5323500</v>
      </c>
      <c r="G786" s="23">
        <f>SUM(G769:G785)</f>
        <v>1903500</v>
      </c>
      <c r="H786" s="23">
        <f>SUM(H769:H785)</f>
        <v>3420000</v>
      </c>
      <c r="I786" s="23"/>
      <c r="J786" s="23">
        <f>SUM(J769:J785)</f>
        <v>520000</v>
      </c>
      <c r="K786" s="23">
        <f>H786-J786</f>
        <v>2900000</v>
      </c>
    </row>
    <row r="787" spans="1:11" ht="15.5" x14ac:dyDescent="0.35">
      <c r="A787" s="19" t="s">
        <v>95</v>
      </c>
      <c r="B787" s="1"/>
      <c r="C787" s="20"/>
      <c r="D787" s="1"/>
      <c r="E787" s="1"/>
      <c r="F787" s="20"/>
      <c r="G787" s="20"/>
      <c r="H787" s="20" t="s">
        <v>192</v>
      </c>
      <c r="I787" s="20"/>
      <c r="J787" s="20"/>
      <c r="K787" s="20"/>
    </row>
    <row r="788" spans="1:11" ht="15.5" x14ac:dyDescent="0.35">
      <c r="A788" s="3" t="s">
        <v>96</v>
      </c>
      <c r="B788" s="1"/>
      <c r="C788" s="20">
        <v>3000</v>
      </c>
      <c r="D788" s="1"/>
      <c r="E788" s="20"/>
      <c r="F788" s="20">
        <f t="shared" ref="F788:F791" si="130">C788*B788</f>
        <v>0</v>
      </c>
      <c r="G788" s="20"/>
      <c r="H788" s="20"/>
      <c r="I788" s="20"/>
      <c r="J788" s="20"/>
      <c r="K788" s="20"/>
    </row>
    <row r="789" spans="1:11" ht="15.5" x14ac:dyDescent="0.35">
      <c r="A789" s="3" t="s">
        <v>97</v>
      </c>
      <c r="B789" s="1"/>
      <c r="C789" s="20">
        <v>2500</v>
      </c>
      <c r="D789" s="1"/>
      <c r="E789" s="1"/>
      <c r="F789" s="20">
        <f t="shared" si="130"/>
        <v>0</v>
      </c>
      <c r="G789" s="20"/>
      <c r="H789" s="20"/>
      <c r="I789" s="20"/>
      <c r="J789" s="20"/>
      <c r="K789" s="20"/>
    </row>
    <row r="790" spans="1:11" ht="15.5" x14ac:dyDescent="0.35">
      <c r="A790" s="3" t="s">
        <v>98</v>
      </c>
      <c r="B790" s="1"/>
      <c r="C790" s="20">
        <v>1800</v>
      </c>
      <c r="D790" s="1"/>
      <c r="E790" s="1"/>
      <c r="F790" s="20">
        <f t="shared" si="130"/>
        <v>0</v>
      </c>
      <c r="G790" s="20"/>
      <c r="H790" s="20"/>
      <c r="I790" s="20"/>
      <c r="J790" s="20"/>
      <c r="K790" s="20"/>
    </row>
    <row r="791" spans="1:11" ht="15.5" x14ac:dyDescent="0.35">
      <c r="A791" s="3" t="s">
        <v>99</v>
      </c>
      <c r="B791" s="1">
        <v>1</v>
      </c>
      <c r="C791" s="20">
        <v>3500</v>
      </c>
      <c r="D791" s="1">
        <v>1</v>
      </c>
      <c r="E791" s="1"/>
      <c r="F791" s="20">
        <f t="shared" si="130"/>
        <v>3500</v>
      </c>
      <c r="G791" s="20"/>
      <c r="H791" s="20"/>
      <c r="I791" s="20"/>
      <c r="J791" s="20"/>
      <c r="K791" s="20"/>
    </row>
    <row r="792" spans="1:11" ht="15.5" x14ac:dyDescent="0.35">
      <c r="A792" s="18"/>
      <c r="F792" s="21"/>
    </row>
    <row r="793" spans="1:11" ht="15.5" x14ac:dyDescent="0.35">
      <c r="A793" s="24" t="s">
        <v>108</v>
      </c>
      <c r="K793" s="21"/>
    </row>
    <row r="794" spans="1:11" ht="15.5" x14ac:dyDescent="0.35">
      <c r="A794" s="18" t="s">
        <v>114</v>
      </c>
      <c r="B794" s="67">
        <v>45000</v>
      </c>
    </row>
    <row r="795" spans="1:11" ht="15.5" x14ac:dyDescent="0.35">
      <c r="A795" s="18" t="s">
        <v>112</v>
      </c>
      <c r="B795" s="67">
        <v>45000</v>
      </c>
    </row>
    <row r="796" spans="1:11" ht="15.5" x14ac:dyDescent="0.35">
      <c r="A796" s="18" t="s">
        <v>309</v>
      </c>
      <c r="B796" s="67">
        <v>60000</v>
      </c>
    </row>
    <row r="797" spans="1:11" ht="15.5" x14ac:dyDescent="0.35">
      <c r="A797" s="18" t="s">
        <v>110</v>
      </c>
      <c r="B797" s="67">
        <v>45000</v>
      </c>
    </row>
    <row r="798" spans="1:11" ht="15.5" x14ac:dyDescent="0.35">
      <c r="A798" s="18" t="s">
        <v>111</v>
      </c>
      <c r="B798" s="67">
        <v>45000</v>
      </c>
    </row>
    <row r="799" spans="1:11" ht="15.5" x14ac:dyDescent="0.35">
      <c r="A799" s="18" t="s">
        <v>196</v>
      </c>
      <c r="B799" s="67">
        <v>45000</v>
      </c>
    </row>
    <row r="800" spans="1:11" ht="15.5" x14ac:dyDescent="0.35">
      <c r="A800" s="18" t="s">
        <v>113</v>
      </c>
      <c r="B800" s="67">
        <v>45000</v>
      </c>
    </row>
    <row r="801" spans="1:11" ht="15.5" x14ac:dyDescent="0.35">
      <c r="A801" s="18" t="s">
        <v>209</v>
      </c>
      <c r="B801" s="67">
        <v>45000</v>
      </c>
    </row>
    <row r="802" spans="1:11" ht="15.5" x14ac:dyDescent="0.35">
      <c r="A802" s="18" t="s">
        <v>115</v>
      </c>
      <c r="B802" s="67">
        <v>60000</v>
      </c>
    </row>
    <row r="803" spans="1:11" ht="15.5" x14ac:dyDescent="0.35">
      <c r="A803" s="18" t="s">
        <v>109</v>
      </c>
      <c r="B803" s="67">
        <v>45000</v>
      </c>
    </row>
    <row r="804" spans="1:11" ht="15.5" x14ac:dyDescent="0.35">
      <c r="A804" s="24" t="s">
        <v>4</v>
      </c>
      <c r="B804" s="75">
        <f>SUM(B794:B803)</f>
        <v>480000</v>
      </c>
    </row>
    <row r="808" spans="1:11" ht="18.5" x14ac:dyDescent="0.45">
      <c r="A808" s="150" t="s">
        <v>1</v>
      </c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</row>
    <row r="809" spans="1:11" ht="18.5" x14ac:dyDescent="0.45">
      <c r="A809" s="150" t="s">
        <v>74</v>
      </c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</row>
    <row r="810" spans="1:11" ht="18.5" x14ac:dyDescent="0.45">
      <c r="A810" s="149">
        <v>46077</v>
      </c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</row>
    <row r="811" spans="1:11" ht="18.5" x14ac:dyDescent="0.45">
      <c r="A811" s="150"/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</row>
    <row r="812" spans="1:11" ht="18.5" x14ac:dyDescent="0.45">
      <c r="A812" s="2" t="s">
        <v>75</v>
      </c>
      <c r="B812" s="2" t="s">
        <v>3</v>
      </c>
      <c r="C812" s="2" t="s">
        <v>100</v>
      </c>
      <c r="D812" s="2" t="s">
        <v>90</v>
      </c>
      <c r="E812" s="2" t="s">
        <v>91</v>
      </c>
      <c r="F812" s="2" t="s">
        <v>4</v>
      </c>
      <c r="G812" s="2" t="s">
        <v>101</v>
      </c>
      <c r="H812" s="2" t="s">
        <v>104</v>
      </c>
      <c r="I812" s="2"/>
      <c r="J812" s="2" t="s">
        <v>105</v>
      </c>
      <c r="K812" s="2" t="s">
        <v>106</v>
      </c>
    </row>
    <row r="813" spans="1:11" ht="15.5" x14ac:dyDescent="0.35">
      <c r="A813" s="3" t="s">
        <v>76</v>
      </c>
      <c r="B813" s="1">
        <v>101</v>
      </c>
      <c r="C813" s="20">
        <v>17500</v>
      </c>
      <c r="D813" s="1">
        <v>54</v>
      </c>
      <c r="E813" s="1">
        <v>47</v>
      </c>
      <c r="F813" s="20">
        <f>C813*B813</f>
        <v>1767500</v>
      </c>
      <c r="G813" s="20">
        <f>D813*C813</f>
        <v>945000</v>
      </c>
      <c r="H813" s="20">
        <f>E813*C813</f>
        <v>822500</v>
      </c>
      <c r="I813" s="20" t="b">
        <f>D813+E813=B813</f>
        <v>1</v>
      </c>
      <c r="J813" s="20">
        <f>B848</f>
        <v>440000</v>
      </c>
      <c r="K813" s="20" t="s">
        <v>117</v>
      </c>
    </row>
    <row r="814" spans="1:11" ht="15.5" x14ac:dyDescent="0.35">
      <c r="A814" s="3" t="s">
        <v>77</v>
      </c>
      <c r="B814" s="1">
        <v>12</v>
      </c>
      <c r="C814" s="20">
        <v>16000</v>
      </c>
      <c r="D814" s="1">
        <v>4</v>
      </c>
      <c r="E814" s="1">
        <v>8</v>
      </c>
      <c r="F814" s="20">
        <f t="shared" ref="F814:F825" si="131">C814*B814</f>
        <v>192000</v>
      </c>
      <c r="G814" s="20">
        <f t="shared" ref="G814:G825" si="132">D814*C814</f>
        <v>64000</v>
      </c>
      <c r="H814" s="20">
        <f t="shared" ref="H814:H829" si="133">E814*C814</f>
        <v>128000</v>
      </c>
      <c r="I814" s="20" t="b">
        <f t="shared" ref="I814:I829" si="134">D814+E814=B814</f>
        <v>1</v>
      </c>
      <c r="J814" s="20">
        <v>10000</v>
      </c>
      <c r="K814" s="20" t="s">
        <v>191</v>
      </c>
    </row>
    <row r="815" spans="1:11" ht="15.5" x14ac:dyDescent="0.35">
      <c r="A815" s="3" t="s">
        <v>78</v>
      </c>
      <c r="B815" s="1">
        <v>55</v>
      </c>
      <c r="C815" s="20">
        <v>17500</v>
      </c>
      <c r="D815" s="1">
        <v>26</v>
      </c>
      <c r="E815" s="1">
        <v>29</v>
      </c>
      <c r="F815" s="20">
        <f t="shared" si="131"/>
        <v>962500</v>
      </c>
      <c r="G815" s="20">
        <f t="shared" si="132"/>
        <v>455000</v>
      </c>
      <c r="H815" s="20">
        <f t="shared" si="133"/>
        <v>507500</v>
      </c>
      <c r="I815" s="20" t="b">
        <f t="shared" si="134"/>
        <v>1</v>
      </c>
      <c r="J815" s="20">
        <v>65212</v>
      </c>
      <c r="K815" s="20" t="s">
        <v>341</v>
      </c>
    </row>
    <row r="816" spans="1:11" ht="15.5" x14ac:dyDescent="0.35">
      <c r="A816" s="3" t="s">
        <v>79</v>
      </c>
      <c r="B816" s="1">
        <v>25</v>
      </c>
      <c r="C816" s="20">
        <v>18500</v>
      </c>
      <c r="D816" s="1">
        <v>16</v>
      </c>
      <c r="E816" s="1">
        <v>9</v>
      </c>
      <c r="F816" s="20">
        <f t="shared" si="131"/>
        <v>462500</v>
      </c>
      <c r="G816" s="20">
        <f t="shared" si="132"/>
        <v>296000</v>
      </c>
      <c r="H816" s="20">
        <f t="shared" si="133"/>
        <v>166500</v>
      </c>
      <c r="I816" s="20" t="b">
        <f t="shared" si="134"/>
        <v>1</v>
      </c>
      <c r="J816" s="20"/>
      <c r="K816" s="20"/>
    </row>
    <row r="817" spans="1:11" ht="15.5" x14ac:dyDescent="0.35">
      <c r="A817" s="3" t="s">
        <v>80</v>
      </c>
      <c r="B817" s="1"/>
      <c r="C817" s="20">
        <v>18500</v>
      </c>
      <c r="D817" s="1"/>
      <c r="E817" s="1"/>
      <c r="F817" s="20">
        <f t="shared" si="131"/>
        <v>0</v>
      </c>
      <c r="G817" s="20">
        <f t="shared" si="132"/>
        <v>0</v>
      </c>
      <c r="H817" s="20">
        <f t="shared" si="133"/>
        <v>0</v>
      </c>
      <c r="I817" s="20" t="b">
        <f t="shared" si="134"/>
        <v>1</v>
      </c>
      <c r="J817" s="20"/>
      <c r="K817" s="20"/>
    </row>
    <row r="818" spans="1:11" ht="15.5" x14ac:dyDescent="0.35">
      <c r="A818" s="3" t="s">
        <v>81</v>
      </c>
      <c r="B818" s="1"/>
      <c r="C818" s="20">
        <v>23000</v>
      </c>
      <c r="D818" s="1"/>
      <c r="E818" s="1"/>
      <c r="F818" s="20">
        <f t="shared" si="131"/>
        <v>0</v>
      </c>
      <c r="G818" s="20">
        <f t="shared" si="132"/>
        <v>0</v>
      </c>
      <c r="H818" s="20">
        <f t="shared" si="133"/>
        <v>0</v>
      </c>
      <c r="I818" s="20" t="b">
        <f t="shared" si="134"/>
        <v>1</v>
      </c>
      <c r="J818" s="20"/>
      <c r="K818" s="20"/>
    </row>
    <row r="819" spans="1:11" ht="15.5" x14ac:dyDescent="0.35">
      <c r="A819" s="3" t="s">
        <v>82</v>
      </c>
      <c r="B819" s="1"/>
      <c r="C819" s="20">
        <v>18000</v>
      </c>
      <c r="D819" s="1"/>
      <c r="E819" s="1"/>
      <c r="F819" s="20">
        <f t="shared" si="131"/>
        <v>0</v>
      </c>
      <c r="G819" s="20">
        <f t="shared" si="132"/>
        <v>0</v>
      </c>
      <c r="H819" s="20">
        <f t="shared" si="133"/>
        <v>0</v>
      </c>
      <c r="I819" s="20" t="b">
        <f t="shared" si="134"/>
        <v>1</v>
      </c>
      <c r="J819" s="20"/>
      <c r="K819" s="20"/>
    </row>
    <row r="820" spans="1:11" ht="15.5" x14ac:dyDescent="0.35">
      <c r="A820" s="3" t="s">
        <v>83</v>
      </c>
      <c r="B820" s="1"/>
      <c r="C820" s="20">
        <v>18000</v>
      </c>
      <c r="D820" s="1"/>
      <c r="E820" s="1"/>
      <c r="F820" s="20">
        <f t="shared" si="131"/>
        <v>0</v>
      </c>
      <c r="G820" s="20">
        <f t="shared" si="132"/>
        <v>0</v>
      </c>
      <c r="H820" s="20">
        <f t="shared" si="133"/>
        <v>0</v>
      </c>
      <c r="I820" s="20" t="b">
        <f t="shared" si="134"/>
        <v>1</v>
      </c>
      <c r="J820" s="20"/>
      <c r="K820" s="20"/>
    </row>
    <row r="821" spans="1:11" ht="15.5" x14ac:dyDescent="0.35">
      <c r="A821" s="3" t="s">
        <v>84</v>
      </c>
      <c r="B821" s="1"/>
      <c r="C821" s="20">
        <v>18500</v>
      </c>
      <c r="D821" s="1"/>
      <c r="E821" s="1"/>
      <c r="F821" s="20">
        <f t="shared" si="131"/>
        <v>0</v>
      </c>
      <c r="G821" s="20">
        <f t="shared" si="132"/>
        <v>0</v>
      </c>
      <c r="H821" s="20">
        <f t="shared" si="133"/>
        <v>0</v>
      </c>
      <c r="I821" s="20" t="b">
        <f t="shared" si="134"/>
        <v>1</v>
      </c>
      <c r="J821" s="20"/>
      <c r="K821" s="20"/>
    </row>
    <row r="822" spans="1:11" ht="15.5" x14ac:dyDescent="0.35">
      <c r="A822" s="3" t="s">
        <v>85</v>
      </c>
      <c r="B822" s="1">
        <v>42</v>
      </c>
      <c r="C822" s="20">
        <v>18500</v>
      </c>
      <c r="D822" s="1">
        <v>9</v>
      </c>
      <c r="E822" s="1">
        <v>33</v>
      </c>
      <c r="F822" s="20">
        <f t="shared" si="131"/>
        <v>777000</v>
      </c>
      <c r="G822" s="20">
        <f t="shared" si="132"/>
        <v>166500</v>
      </c>
      <c r="H822" s="20">
        <f t="shared" si="133"/>
        <v>610500</v>
      </c>
      <c r="I822" s="20" t="b">
        <f t="shared" si="134"/>
        <v>1</v>
      </c>
      <c r="J822" s="20"/>
      <c r="K822" s="20"/>
    </row>
    <row r="823" spans="1:11" ht="15.5" x14ac:dyDescent="0.35">
      <c r="A823" s="3" t="s">
        <v>86</v>
      </c>
      <c r="B823" s="1"/>
      <c r="C823" s="20">
        <v>18500</v>
      </c>
      <c r="D823" s="1"/>
      <c r="E823" s="1"/>
      <c r="F823" s="20">
        <f t="shared" si="131"/>
        <v>0</v>
      </c>
      <c r="G823" s="20">
        <f t="shared" si="132"/>
        <v>0</v>
      </c>
      <c r="H823" s="20">
        <f t="shared" si="133"/>
        <v>0</v>
      </c>
      <c r="I823" s="20" t="b">
        <f t="shared" si="134"/>
        <v>1</v>
      </c>
      <c r="J823" s="20"/>
      <c r="K823" s="20"/>
    </row>
    <row r="824" spans="1:11" ht="15.5" x14ac:dyDescent="0.35">
      <c r="A824" s="3" t="s">
        <v>87</v>
      </c>
      <c r="B824" s="1"/>
      <c r="C824" s="20">
        <v>18500</v>
      </c>
      <c r="D824" s="1"/>
      <c r="E824" s="1"/>
      <c r="F824" s="20">
        <f t="shared" si="131"/>
        <v>0</v>
      </c>
      <c r="G824" s="20">
        <f t="shared" si="132"/>
        <v>0</v>
      </c>
      <c r="H824" s="20">
        <f t="shared" si="133"/>
        <v>0</v>
      </c>
      <c r="I824" s="20" t="b">
        <f t="shared" si="134"/>
        <v>1</v>
      </c>
      <c r="J824" s="20"/>
      <c r="K824" s="20"/>
    </row>
    <row r="825" spans="1:11" ht="15.5" x14ac:dyDescent="0.35">
      <c r="A825" s="3" t="s">
        <v>88</v>
      </c>
      <c r="B825" s="1">
        <v>9</v>
      </c>
      <c r="C825" s="20">
        <v>18500</v>
      </c>
      <c r="D825" s="1">
        <v>3</v>
      </c>
      <c r="E825" s="1">
        <v>6</v>
      </c>
      <c r="F825" s="20">
        <f t="shared" si="131"/>
        <v>166500</v>
      </c>
      <c r="G825" s="20">
        <f t="shared" si="132"/>
        <v>55500</v>
      </c>
      <c r="H825" s="20">
        <f t="shared" si="133"/>
        <v>111000</v>
      </c>
      <c r="I825" s="20" t="b">
        <f t="shared" si="134"/>
        <v>1</v>
      </c>
      <c r="J825" s="20"/>
      <c r="K825" s="20"/>
    </row>
    <row r="826" spans="1:11" ht="15.5" x14ac:dyDescent="0.35">
      <c r="A826" s="19" t="s">
        <v>89</v>
      </c>
      <c r="B826" s="1"/>
      <c r="C826" s="20"/>
      <c r="D826" s="1"/>
      <c r="E826" s="1"/>
      <c r="F826" s="20"/>
      <c r="G826" s="20"/>
      <c r="H826" s="20">
        <f t="shared" si="133"/>
        <v>0</v>
      </c>
      <c r="I826" s="20" t="b">
        <f t="shared" si="134"/>
        <v>1</v>
      </c>
      <c r="J826" s="20"/>
      <c r="K826" s="20"/>
    </row>
    <row r="827" spans="1:11" ht="15.5" x14ac:dyDescent="0.35">
      <c r="A827" s="3" t="s">
        <v>92</v>
      </c>
      <c r="B827" s="1"/>
      <c r="C827" s="20">
        <v>21500</v>
      </c>
      <c r="D827" s="1"/>
      <c r="E827" s="1"/>
      <c r="F827" s="20">
        <f t="shared" ref="F827:F829" si="135">C827*B827</f>
        <v>0</v>
      </c>
      <c r="G827" s="20">
        <f t="shared" ref="G827:G829" si="136">D827*C827</f>
        <v>0</v>
      </c>
      <c r="H827" s="20">
        <f t="shared" si="133"/>
        <v>0</v>
      </c>
      <c r="I827" s="20" t="b">
        <f t="shared" si="134"/>
        <v>1</v>
      </c>
      <c r="J827" s="20"/>
      <c r="K827" s="20"/>
    </row>
    <row r="828" spans="1:11" ht="15.5" x14ac:dyDescent="0.35">
      <c r="A828" s="3" t="s">
        <v>93</v>
      </c>
      <c r="B828" s="1">
        <v>27</v>
      </c>
      <c r="C828" s="20">
        <v>21500</v>
      </c>
      <c r="D828" s="1">
        <v>4</v>
      </c>
      <c r="E828" s="1">
        <v>23</v>
      </c>
      <c r="F828" s="20">
        <f t="shared" si="135"/>
        <v>580500</v>
      </c>
      <c r="G828" s="20">
        <f t="shared" si="136"/>
        <v>86000</v>
      </c>
      <c r="H828" s="20">
        <f t="shared" si="133"/>
        <v>494500</v>
      </c>
      <c r="I828" s="20" t="b">
        <f t="shared" si="134"/>
        <v>1</v>
      </c>
      <c r="J828" s="20"/>
      <c r="K828" s="20"/>
    </row>
    <row r="829" spans="1:11" ht="15.5" x14ac:dyDescent="0.35">
      <c r="A829" s="3" t="s">
        <v>94</v>
      </c>
      <c r="B829" s="1">
        <v>27</v>
      </c>
      <c r="C829" s="20">
        <v>21500</v>
      </c>
      <c r="D829" s="1">
        <v>11</v>
      </c>
      <c r="E829" s="1">
        <v>16</v>
      </c>
      <c r="F829" s="20">
        <f t="shared" si="135"/>
        <v>580500</v>
      </c>
      <c r="G829" s="20">
        <f t="shared" si="136"/>
        <v>236500</v>
      </c>
      <c r="H829" s="20">
        <f t="shared" si="133"/>
        <v>344000</v>
      </c>
      <c r="I829" s="20" t="b">
        <f t="shared" si="134"/>
        <v>1</v>
      </c>
      <c r="J829" s="20"/>
      <c r="K829" s="20"/>
    </row>
    <row r="830" spans="1:11" ht="15.5" x14ac:dyDescent="0.35">
      <c r="A830" s="19"/>
      <c r="B830" s="22">
        <f>SUM(B813:B829)</f>
        <v>298</v>
      </c>
      <c r="C830" s="20"/>
      <c r="D830" s="1"/>
      <c r="E830" s="1"/>
      <c r="F830" s="23">
        <f>SUM(F813:F829)</f>
        <v>5489000</v>
      </c>
      <c r="G830" s="23">
        <f>SUM(G813:G829)</f>
        <v>2304500</v>
      </c>
      <c r="H830" s="23">
        <f>SUM(H813:H829)</f>
        <v>3184500</v>
      </c>
      <c r="I830" s="23"/>
      <c r="J830" s="23">
        <f>SUM(J813:J829)</f>
        <v>515212</v>
      </c>
      <c r="K830" s="23">
        <f>H830-J830</f>
        <v>2669288</v>
      </c>
    </row>
    <row r="831" spans="1:11" ht="15.5" x14ac:dyDescent="0.35">
      <c r="A831" s="19" t="s">
        <v>95</v>
      </c>
      <c r="B831" s="1"/>
      <c r="C831" s="20"/>
      <c r="D831" s="1"/>
      <c r="E831" s="1"/>
      <c r="F831" s="20"/>
      <c r="G831" s="20"/>
      <c r="H831" s="20" t="s">
        <v>192</v>
      </c>
      <c r="I831" s="20"/>
      <c r="J831" s="20"/>
      <c r="K831" s="20"/>
    </row>
    <row r="832" spans="1:11" ht="15.5" x14ac:dyDescent="0.35">
      <c r="A832" s="3" t="s">
        <v>96</v>
      </c>
      <c r="B832" s="1"/>
      <c r="C832" s="20">
        <v>3000</v>
      </c>
      <c r="D832" s="1"/>
      <c r="E832" s="20"/>
      <c r="F832" s="20">
        <f t="shared" ref="F832:F835" si="137">C832*B832</f>
        <v>0</v>
      </c>
      <c r="G832" s="20"/>
      <c r="H832" s="20"/>
      <c r="I832" s="20"/>
      <c r="J832" s="20"/>
      <c r="K832" s="20"/>
    </row>
    <row r="833" spans="1:11" ht="15.5" x14ac:dyDescent="0.35">
      <c r="A833" s="3" t="s">
        <v>97</v>
      </c>
      <c r="B833" s="1"/>
      <c r="C833" s="20">
        <v>2500</v>
      </c>
      <c r="D833" s="1"/>
      <c r="E833" s="1"/>
      <c r="F833" s="20">
        <f t="shared" si="137"/>
        <v>0</v>
      </c>
      <c r="G833" s="20"/>
      <c r="H833" s="20"/>
      <c r="I833" s="20"/>
      <c r="J833" s="20"/>
      <c r="K833" s="20"/>
    </row>
    <row r="834" spans="1:11" ht="15.5" x14ac:dyDescent="0.35">
      <c r="A834" s="3" t="s">
        <v>98</v>
      </c>
      <c r="B834" s="1"/>
      <c r="C834" s="20">
        <v>1800</v>
      </c>
      <c r="D834" s="1"/>
      <c r="E834" s="1"/>
      <c r="F834" s="20">
        <f t="shared" si="137"/>
        <v>0</v>
      </c>
      <c r="G834" s="20"/>
      <c r="H834" s="20"/>
      <c r="I834" s="20"/>
      <c r="J834" s="20"/>
      <c r="K834" s="20"/>
    </row>
    <row r="835" spans="1:11" ht="15.5" x14ac:dyDescent="0.35">
      <c r="A835" s="3" t="s">
        <v>99</v>
      </c>
      <c r="B835" s="1">
        <v>1</v>
      </c>
      <c r="C835" s="20">
        <v>3500</v>
      </c>
      <c r="D835" s="1">
        <v>1</v>
      </c>
      <c r="E835" s="1"/>
      <c r="F835" s="20">
        <f t="shared" si="137"/>
        <v>3500</v>
      </c>
      <c r="G835" s="20"/>
      <c r="H835" s="20"/>
      <c r="I835" s="20"/>
      <c r="J835" s="20"/>
      <c r="K835" s="20"/>
    </row>
    <row r="836" spans="1:11" ht="15.5" x14ac:dyDescent="0.35">
      <c r="A836" s="18"/>
      <c r="F836" s="21"/>
    </row>
    <row r="837" spans="1:11" ht="15.5" x14ac:dyDescent="0.35">
      <c r="A837" s="24" t="s">
        <v>108</v>
      </c>
      <c r="K837" s="21"/>
    </row>
    <row r="838" spans="1:11" ht="15.5" x14ac:dyDescent="0.35">
      <c r="A838" s="18" t="s">
        <v>114</v>
      </c>
      <c r="B838" s="67">
        <v>40000</v>
      </c>
    </row>
    <row r="839" spans="1:11" ht="15.5" x14ac:dyDescent="0.35">
      <c r="A839" s="18" t="s">
        <v>112</v>
      </c>
      <c r="B839" s="67">
        <v>40000</v>
      </c>
    </row>
    <row r="840" spans="1:11" ht="15.5" x14ac:dyDescent="0.35">
      <c r="A840" s="18" t="s">
        <v>309</v>
      </c>
      <c r="B840" s="67">
        <v>60000</v>
      </c>
    </row>
    <row r="841" spans="1:11" ht="15.5" x14ac:dyDescent="0.35">
      <c r="A841" s="18" t="s">
        <v>110</v>
      </c>
      <c r="B841" s="67">
        <v>40000</v>
      </c>
    </row>
    <row r="842" spans="1:11" ht="15.5" x14ac:dyDescent="0.35">
      <c r="A842" s="18" t="s">
        <v>111</v>
      </c>
      <c r="B842" s="67">
        <v>40000</v>
      </c>
    </row>
    <row r="843" spans="1:11" ht="15.5" x14ac:dyDescent="0.35">
      <c r="A843" s="18" t="s">
        <v>196</v>
      </c>
      <c r="B843" s="67">
        <v>40000</v>
      </c>
    </row>
    <row r="844" spans="1:11" ht="15.5" x14ac:dyDescent="0.35">
      <c r="A844" s="18" t="s">
        <v>113</v>
      </c>
      <c r="B844" s="67">
        <v>40000</v>
      </c>
    </row>
    <row r="845" spans="1:11" ht="15.5" x14ac:dyDescent="0.35">
      <c r="A845" s="18" t="s">
        <v>209</v>
      </c>
      <c r="B845" s="67">
        <v>40000</v>
      </c>
    </row>
    <row r="846" spans="1:11" ht="15.5" x14ac:dyDescent="0.35">
      <c r="A846" s="18" t="s">
        <v>115</v>
      </c>
      <c r="B846" s="67">
        <v>60000</v>
      </c>
    </row>
    <row r="847" spans="1:11" ht="15.5" x14ac:dyDescent="0.35">
      <c r="A847" s="18" t="s">
        <v>109</v>
      </c>
      <c r="B847" s="67">
        <v>40000</v>
      </c>
    </row>
    <row r="848" spans="1:11" ht="15.5" x14ac:dyDescent="0.35">
      <c r="A848" s="24" t="s">
        <v>4</v>
      </c>
      <c r="B848" s="75">
        <f>SUM(B838:B847)</f>
        <v>440000</v>
      </c>
    </row>
    <row r="851" spans="1:11" ht="18.5" x14ac:dyDescent="0.45">
      <c r="A851" s="150" t="s">
        <v>1</v>
      </c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</row>
    <row r="852" spans="1:11" ht="18.5" x14ac:dyDescent="0.45">
      <c r="A852" s="150" t="s">
        <v>74</v>
      </c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</row>
    <row r="853" spans="1:11" ht="18.5" x14ac:dyDescent="0.45">
      <c r="A853" s="149">
        <v>46078</v>
      </c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</row>
    <row r="854" spans="1:11" ht="18.5" x14ac:dyDescent="0.45">
      <c r="A854" s="150"/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</row>
    <row r="855" spans="1:11" ht="18.5" x14ac:dyDescent="0.45">
      <c r="A855" s="2" t="s">
        <v>75</v>
      </c>
      <c r="B855" s="2" t="s">
        <v>3</v>
      </c>
      <c r="C855" s="2" t="s">
        <v>100</v>
      </c>
      <c r="D855" s="2" t="s">
        <v>90</v>
      </c>
      <c r="E855" s="2" t="s">
        <v>91</v>
      </c>
      <c r="F855" s="2" t="s">
        <v>4</v>
      </c>
      <c r="G855" s="2" t="s">
        <v>101</v>
      </c>
      <c r="H855" s="2" t="s">
        <v>104</v>
      </c>
      <c r="I855" s="2"/>
      <c r="J855" s="2" t="s">
        <v>105</v>
      </c>
      <c r="K855" s="2" t="s">
        <v>106</v>
      </c>
    </row>
    <row r="856" spans="1:11" ht="15.5" x14ac:dyDescent="0.35">
      <c r="A856" s="3" t="s">
        <v>76</v>
      </c>
      <c r="B856" s="1">
        <v>117</v>
      </c>
      <c r="C856" s="20">
        <v>17500</v>
      </c>
      <c r="D856" s="1">
        <v>54</v>
      </c>
      <c r="E856" s="1">
        <v>63</v>
      </c>
      <c r="F856" s="20">
        <f>C856*B856</f>
        <v>2047500</v>
      </c>
      <c r="G856" s="20">
        <f>D856*C856</f>
        <v>945000</v>
      </c>
      <c r="H856" s="20">
        <f>E856*C856</f>
        <v>1102500</v>
      </c>
      <c r="I856" s="20" t="b">
        <f>D856+E856=B856</f>
        <v>1</v>
      </c>
      <c r="J856" s="20">
        <f>B891</f>
        <v>440000</v>
      </c>
      <c r="K856" s="20" t="s">
        <v>117</v>
      </c>
    </row>
    <row r="857" spans="1:11" ht="15.5" x14ac:dyDescent="0.35">
      <c r="A857" s="3" t="s">
        <v>77</v>
      </c>
      <c r="B857" s="1">
        <v>19</v>
      </c>
      <c r="C857" s="20">
        <v>16000</v>
      </c>
      <c r="D857" s="1">
        <v>11</v>
      </c>
      <c r="E857" s="1">
        <v>8</v>
      </c>
      <c r="F857" s="20">
        <f t="shared" ref="F857:F868" si="138">C857*B857</f>
        <v>304000</v>
      </c>
      <c r="G857" s="20">
        <f t="shared" ref="G857:G868" si="139">D857*C857</f>
        <v>176000</v>
      </c>
      <c r="H857" s="20">
        <f t="shared" ref="H857:H872" si="140">E857*C857</f>
        <v>128000</v>
      </c>
      <c r="I857" s="20" t="b">
        <f t="shared" ref="I857:I872" si="141">D857+E857=B857</f>
        <v>1</v>
      </c>
      <c r="J857" s="20">
        <v>10000</v>
      </c>
      <c r="K857" s="20" t="s">
        <v>191</v>
      </c>
    </row>
    <row r="858" spans="1:11" ht="15.5" x14ac:dyDescent="0.35">
      <c r="A858" s="3" t="s">
        <v>78</v>
      </c>
      <c r="B858" s="1">
        <v>59</v>
      </c>
      <c r="C858" s="20">
        <v>17500</v>
      </c>
      <c r="D858" s="1">
        <v>21</v>
      </c>
      <c r="E858" s="1">
        <v>38</v>
      </c>
      <c r="F858" s="20">
        <f t="shared" si="138"/>
        <v>1032500</v>
      </c>
      <c r="G858" s="20">
        <f t="shared" si="139"/>
        <v>367500</v>
      </c>
      <c r="H858" s="20">
        <f t="shared" si="140"/>
        <v>665000</v>
      </c>
      <c r="I858" s="20" t="b">
        <f t="shared" si="141"/>
        <v>1</v>
      </c>
      <c r="J858" s="20"/>
      <c r="K858" s="20"/>
    </row>
    <row r="859" spans="1:11" ht="15.5" x14ac:dyDescent="0.35">
      <c r="A859" s="3" t="s">
        <v>79</v>
      </c>
      <c r="B859" s="1"/>
      <c r="C859" s="20">
        <v>18500</v>
      </c>
      <c r="D859" s="1"/>
      <c r="E859" s="1"/>
      <c r="F859" s="20">
        <f t="shared" si="138"/>
        <v>0</v>
      </c>
      <c r="G859" s="20">
        <f t="shared" si="139"/>
        <v>0</v>
      </c>
      <c r="H859" s="20">
        <f t="shared" si="140"/>
        <v>0</v>
      </c>
      <c r="I859" s="20" t="b">
        <f t="shared" si="141"/>
        <v>1</v>
      </c>
      <c r="J859" s="20"/>
      <c r="K859" s="20"/>
    </row>
    <row r="860" spans="1:11" ht="15.5" x14ac:dyDescent="0.35">
      <c r="A860" s="3" t="s">
        <v>80</v>
      </c>
      <c r="B860" s="1">
        <v>50</v>
      </c>
      <c r="C860" s="20">
        <v>18500</v>
      </c>
      <c r="D860" s="1">
        <v>17</v>
      </c>
      <c r="E860" s="1">
        <v>33</v>
      </c>
      <c r="F860" s="20">
        <f t="shared" si="138"/>
        <v>925000</v>
      </c>
      <c r="G860" s="20">
        <f t="shared" si="139"/>
        <v>314500</v>
      </c>
      <c r="H860" s="20">
        <f t="shared" si="140"/>
        <v>610500</v>
      </c>
      <c r="I860" s="20" t="b">
        <f t="shared" si="141"/>
        <v>1</v>
      </c>
      <c r="J860" s="20"/>
      <c r="K860" s="20"/>
    </row>
    <row r="861" spans="1:11" ht="15.5" x14ac:dyDescent="0.35">
      <c r="A861" s="3" t="s">
        <v>81</v>
      </c>
      <c r="B861" s="1"/>
      <c r="C861" s="20">
        <v>23000</v>
      </c>
      <c r="D861" s="1"/>
      <c r="E861" s="1"/>
      <c r="F861" s="20">
        <f t="shared" si="138"/>
        <v>0</v>
      </c>
      <c r="G861" s="20">
        <f t="shared" si="139"/>
        <v>0</v>
      </c>
      <c r="H861" s="20">
        <f t="shared" si="140"/>
        <v>0</v>
      </c>
      <c r="I861" s="20" t="b">
        <f t="shared" si="141"/>
        <v>1</v>
      </c>
      <c r="J861" s="20"/>
      <c r="K861" s="20"/>
    </row>
    <row r="862" spans="1:11" ht="15.5" x14ac:dyDescent="0.35">
      <c r="A862" s="3" t="s">
        <v>82</v>
      </c>
      <c r="B862" s="1"/>
      <c r="C862" s="20">
        <v>18000</v>
      </c>
      <c r="D862" s="1"/>
      <c r="E862" s="1"/>
      <c r="F862" s="20">
        <f t="shared" si="138"/>
        <v>0</v>
      </c>
      <c r="G862" s="20">
        <f t="shared" si="139"/>
        <v>0</v>
      </c>
      <c r="H862" s="20">
        <f t="shared" si="140"/>
        <v>0</v>
      </c>
      <c r="I862" s="20" t="b">
        <f t="shared" si="141"/>
        <v>1</v>
      </c>
      <c r="J862" s="20"/>
      <c r="K862" s="20"/>
    </row>
    <row r="863" spans="1:11" ht="15.5" x14ac:dyDescent="0.35">
      <c r="A863" s="3" t="s">
        <v>83</v>
      </c>
      <c r="B863" s="1">
        <v>35</v>
      </c>
      <c r="C863" s="20">
        <v>18000</v>
      </c>
      <c r="D863" s="1">
        <v>28</v>
      </c>
      <c r="E863" s="1">
        <v>7</v>
      </c>
      <c r="F863" s="20">
        <f t="shared" si="138"/>
        <v>630000</v>
      </c>
      <c r="G863" s="20">
        <f t="shared" si="139"/>
        <v>504000</v>
      </c>
      <c r="H863" s="20">
        <f t="shared" si="140"/>
        <v>126000</v>
      </c>
      <c r="I863" s="20" t="b">
        <f t="shared" si="141"/>
        <v>1</v>
      </c>
      <c r="J863" s="20"/>
      <c r="K863" s="20"/>
    </row>
    <row r="864" spans="1:11" ht="15.5" x14ac:dyDescent="0.35">
      <c r="A864" s="3" t="s">
        <v>84</v>
      </c>
      <c r="B864" s="1"/>
      <c r="C864" s="20">
        <v>18500</v>
      </c>
      <c r="D864" s="1"/>
      <c r="E864" s="1"/>
      <c r="F864" s="20">
        <f t="shared" si="138"/>
        <v>0</v>
      </c>
      <c r="G864" s="20">
        <f t="shared" si="139"/>
        <v>0</v>
      </c>
      <c r="H864" s="20">
        <f t="shared" si="140"/>
        <v>0</v>
      </c>
      <c r="I864" s="20" t="b">
        <f t="shared" si="141"/>
        <v>1</v>
      </c>
      <c r="J864" s="20"/>
      <c r="K864" s="20"/>
    </row>
    <row r="865" spans="1:11" ht="15.5" x14ac:dyDescent="0.35">
      <c r="A865" s="3" t="s">
        <v>85</v>
      </c>
      <c r="B865" s="1"/>
      <c r="C865" s="20">
        <v>18500</v>
      </c>
      <c r="D865" s="1"/>
      <c r="E865" s="1"/>
      <c r="F865" s="20">
        <f t="shared" si="138"/>
        <v>0</v>
      </c>
      <c r="G865" s="20">
        <f t="shared" si="139"/>
        <v>0</v>
      </c>
      <c r="H865" s="20">
        <f t="shared" si="140"/>
        <v>0</v>
      </c>
      <c r="I865" s="20" t="b">
        <f t="shared" si="141"/>
        <v>1</v>
      </c>
      <c r="J865" s="20"/>
      <c r="K865" s="20"/>
    </row>
    <row r="866" spans="1:11" ht="15.5" x14ac:dyDescent="0.35">
      <c r="A866" s="3" t="s">
        <v>86</v>
      </c>
      <c r="B866" s="1">
        <v>5</v>
      </c>
      <c r="C866" s="20">
        <v>18500</v>
      </c>
      <c r="D866" s="1">
        <v>3</v>
      </c>
      <c r="E866" s="1">
        <v>2</v>
      </c>
      <c r="F866" s="20">
        <f t="shared" si="138"/>
        <v>92500</v>
      </c>
      <c r="G866" s="20">
        <f t="shared" si="139"/>
        <v>55500</v>
      </c>
      <c r="H866" s="20">
        <f t="shared" si="140"/>
        <v>37000</v>
      </c>
      <c r="I866" s="20" t="b">
        <f t="shared" si="141"/>
        <v>1</v>
      </c>
      <c r="J866" s="20"/>
      <c r="K866" s="20"/>
    </row>
    <row r="867" spans="1:11" ht="15.5" x14ac:dyDescent="0.35">
      <c r="A867" s="3" t="s">
        <v>87</v>
      </c>
      <c r="B867" s="1"/>
      <c r="C867" s="20">
        <v>18500</v>
      </c>
      <c r="D867" s="1"/>
      <c r="E867" s="1"/>
      <c r="F867" s="20">
        <f t="shared" si="138"/>
        <v>0</v>
      </c>
      <c r="G867" s="20">
        <f t="shared" si="139"/>
        <v>0</v>
      </c>
      <c r="H867" s="20">
        <f t="shared" si="140"/>
        <v>0</v>
      </c>
      <c r="I867" s="20" t="b">
        <f t="shared" si="141"/>
        <v>1</v>
      </c>
      <c r="J867" s="20"/>
      <c r="K867" s="20"/>
    </row>
    <row r="868" spans="1:11" ht="15.5" x14ac:dyDescent="0.35">
      <c r="A868" s="3" t="s">
        <v>88</v>
      </c>
      <c r="B868" s="1">
        <v>10</v>
      </c>
      <c r="C868" s="20">
        <v>18500</v>
      </c>
      <c r="D868" s="1">
        <v>5</v>
      </c>
      <c r="E868" s="1">
        <v>5</v>
      </c>
      <c r="F868" s="20">
        <f t="shared" si="138"/>
        <v>185000</v>
      </c>
      <c r="G868" s="20">
        <f t="shared" si="139"/>
        <v>92500</v>
      </c>
      <c r="H868" s="20">
        <f t="shared" si="140"/>
        <v>92500</v>
      </c>
      <c r="I868" s="20" t="b">
        <f t="shared" si="141"/>
        <v>1</v>
      </c>
      <c r="J868" s="20"/>
      <c r="K868" s="20"/>
    </row>
    <row r="869" spans="1:11" ht="15.5" x14ac:dyDescent="0.35">
      <c r="A869" s="19" t="s">
        <v>89</v>
      </c>
      <c r="B869" s="1"/>
      <c r="C869" s="20"/>
      <c r="D869" s="1"/>
      <c r="E869" s="1"/>
      <c r="F869" s="20"/>
      <c r="G869" s="20"/>
      <c r="H869" s="20">
        <f t="shared" si="140"/>
        <v>0</v>
      </c>
      <c r="I869" s="20" t="b">
        <f t="shared" si="141"/>
        <v>1</v>
      </c>
      <c r="J869" s="20"/>
      <c r="K869" s="20"/>
    </row>
    <row r="870" spans="1:11" ht="15.5" x14ac:dyDescent="0.35">
      <c r="A870" s="3" t="s">
        <v>92</v>
      </c>
      <c r="B870" s="1">
        <v>31</v>
      </c>
      <c r="C870" s="20">
        <v>21500</v>
      </c>
      <c r="D870" s="1">
        <v>17</v>
      </c>
      <c r="E870" s="1">
        <v>14</v>
      </c>
      <c r="F870" s="20">
        <f t="shared" ref="F870:F872" si="142">C870*B870</f>
        <v>666500</v>
      </c>
      <c r="G870" s="20">
        <f t="shared" ref="G870:G872" si="143">D870*C870</f>
        <v>365500</v>
      </c>
      <c r="H870" s="20">
        <f t="shared" si="140"/>
        <v>301000</v>
      </c>
      <c r="I870" s="20" t="b">
        <f t="shared" si="141"/>
        <v>1</v>
      </c>
      <c r="J870" s="20"/>
      <c r="K870" s="20"/>
    </row>
    <row r="871" spans="1:11" ht="15.5" x14ac:dyDescent="0.35">
      <c r="A871" s="3" t="s">
        <v>93</v>
      </c>
      <c r="B871" s="1">
        <v>6</v>
      </c>
      <c r="C871" s="20">
        <v>21500</v>
      </c>
      <c r="D871" s="1">
        <v>3</v>
      </c>
      <c r="E871" s="1">
        <v>3</v>
      </c>
      <c r="F871" s="20">
        <f t="shared" si="142"/>
        <v>129000</v>
      </c>
      <c r="G871" s="20">
        <f t="shared" si="143"/>
        <v>64500</v>
      </c>
      <c r="H871" s="20">
        <f t="shared" si="140"/>
        <v>64500</v>
      </c>
      <c r="I871" s="20" t="b">
        <f t="shared" si="141"/>
        <v>1</v>
      </c>
      <c r="J871" s="20"/>
      <c r="K871" s="20"/>
    </row>
    <row r="872" spans="1:11" ht="15.5" x14ac:dyDescent="0.35">
      <c r="A872" s="3" t="s">
        <v>94</v>
      </c>
      <c r="B872" s="1">
        <v>23</v>
      </c>
      <c r="C872" s="20">
        <v>21500</v>
      </c>
      <c r="D872" s="1">
        <v>16</v>
      </c>
      <c r="E872" s="1">
        <v>7</v>
      </c>
      <c r="F872" s="20">
        <f t="shared" si="142"/>
        <v>494500</v>
      </c>
      <c r="G872" s="20">
        <f t="shared" si="143"/>
        <v>344000</v>
      </c>
      <c r="H872" s="20">
        <f t="shared" si="140"/>
        <v>150500</v>
      </c>
      <c r="I872" s="20" t="b">
        <f t="shared" si="141"/>
        <v>1</v>
      </c>
      <c r="J872" s="20"/>
      <c r="K872" s="20"/>
    </row>
    <row r="873" spans="1:11" ht="15.5" x14ac:dyDescent="0.35">
      <c r="A873" s="19"/>
      <c r="B873" s="22">
        <f>SUM(B856:B872)</f>
        <v>355</v>
      </c>
      <c r="C873" s="20"/>
      <c r="D873" s="1"/>
      <c r="E873" s="1"/>
      <c r="F873" s="23">
        <f>SUM(F856:F872)</f>
        <v>6506500</v>
      </c>
      <c r="G873" s="23">
        <f>SUM(G856:G872)</f>
        <v>3229000</v>
      </c>
      <c r="H873" s="23">
        <f>SUM(H856:H872)</f>
        <v>3277500</v>
      </c>
      <c r="I873" s="23"/>
      <c r="J873" s="23">
        <f>SUM(J856:J872)</f>
        <v>450000</v>
      </c>
      <c r="K873" s="23">
        <f>H873-J873</f>
        <v>2827500</v>
      </c>
    </row>
    <row r="874" spans="1:11" ht="15.5" x14ac:dyDescent="0.35">
      <c r="A874" s="19" t="s">
        <v>95</v>
      </c>
      <c r="B874" s="1"/>
      <c r="C874" s="20"/>
      <c r="D874" s="1"/>
      <c r="E874" s="1"/>
      <c r="F874" s="20"/>
      <c r="G874" s="20"/>
      <c r="H874" s="20" t="s">
        <v>192</v>
      </c>
      <c r="I874" s="20"/>
      <c r="J874" s="20"/>
      <c r="K874" s="20"/>
    </row>
    <row r="875" spans="1:11" ht="15.5" x14ac:dyDescent="0.35">
      <c r="A875" s="3" t="s">
        <v>96</v>
      </c>
      <c r="B875" s="1"/>
      <c r="C875" s="20">
        <v>3000</v>
      </c>
      <c r="D875" s="1"/>
      <c r="E875" s="20"/>
      <c r="F875" s="20">
        <f t="shared" ref="F875:F878" si="144">C875*B875</f>
        <v>0</v>
      </c>
      <c r="G875" s="20"/>
      <c r="H875" s="20"/>
      <c r="I875" s="20"/>
      <c r="J875" s="20"/>
      <c r="K875" s="20"/>
    </row>
    <row r="876" spans="1:11" ht="15.5" x14ac:dyDescent="0.35">
      <c r="A876" s="3" t="s">
        <v>97</v>
      </c>
      <c r="B876" s="1"/>
      <c r="C876" s="20">
        <v>2500</v>
      </c>
      <c r="D876" s="1"/>
      <c r="E876" s="1"/>
      <c r="F876" s="20">
        <f t="shared" si="144"/>
        <v>0</v>
      </c>
      <c r="G876" s="20"/>
      <c r="H876" s="20"/>
      <c r="I876" s="20"/>
      <c r="J876" s="20"/>
      <c r="K876" s="20"/>
    </row>
    <row r="877" spans="1:11" ht="15.5" x14ac:dyDescent="0.35">
      <c r="A877" s="3" t="s">
        <v>98</v>
      </c>
      <c r="B877" s="1"/>
      <c r="C877" s="20">
        <v>1800</v>
      </c>
      <c r="D877" s="1"/>
      <c r="E877" s="1"/>
      <c r="F877" s="20">
        <f t="shared" si="144"/>
        <v>0</v>
      </c>
      <c r="G877" s="20"/>
      <c r="H877" s="20"/>
      <c r="I877" s="20"/>
      <c r="J877" s="20"/>
      <c r="K877" s="20"/>
    </row>
    <row r="878" spans="1:11" ht="15.5" x14ac:dyDescent="0.35">
      <c r="A878" s="3" t="s">
        <v>99</v>
      </c>
      <c r="B878" s="1">
        <v>1</v>
      </c>
      <c r="C878" s="20">
        <v>3500</v>
      </c>
      <c r="D878" s="1">
        <v>1</v>
      </c>
      <c r="E878" s="1"/>
      <c r="F878" s="20">
        <f t="shared" si="144"/>
        <v>3500</v>
      </c>
      <c r="G878" s="20"/>
      <c r="H878" s="20"/>
      <c r="I878" s="20"/>
      <c r="J878" s="20"/>
      <c r="K878" s="20"/>
    </row>
    <row r="879" spans="1:11" ht="15.5" x14ac:dyDescent="0.35">
      <c r="A879" s="18"/>
      <c r="F879" s="21"/>
    </row>
    <row r="880" spans="1:11" ht="15.5" x14ac:dyDescent="0.35">
      <c r="A880" s="24" t="s">
        <v>108</v>
      </c>
      <c r="K880" s="21"/>
    </row>
    <row r="881" spans="1:11" ht="15.5" x14ac:dyDescent="0.35">
      <c r="A881" s="18" t="s">
        <v>114</v>
      </c>
      <c r="B881" s="67">
        <v>40000</v>
      </c>
    </row>
    <row r="882" spans="1:11" ht="15.5" x14ac:dyDescent="0.35">
      <c r="A882" s="18" t="s">
        <v>112</v>
      </c>
      <c r="B882" s="67">
        <v>40000</v>
      </c>
    </row>
    <row r="883" spans="1:11" ht="15.5" x14ac:dyDescent="0.35">
      <c r="A883" s="18" t="s">
        <v>309</v>
      </c>
      <c r="B883" s="67">
        <v>60000</v>
      </c>
    </row>
    <row r="884" spans="1:11" ht="15.5" x14ac:dyDescent="0.35">
      <c r="A884" s="18" t="s">
        <v>110</v>
      </c>
      <c r="B884" s="67">
        <v>40000</v>
      </c>
    </row>
    <row r="885" spans="1:11" ht="15.5" x14ac:dyDescent="0.35">
      <c r="A885" s="18" t="s">
        <v>111</v>
      </c>
      <c r="B885" s="67">
        <v>40000</v>
      </c>
    </row>
    <row r="886" spans="1:11" ht="15.5" x14ac:dyDescent="0.35">
      <c r="A886" s="18" t="s">
        <v>196</v>
      </c>
      <c r="B886" s="67">
        <v>40000</v>
      </c>
    </row>
    <row r="887" spans="1:11" ht="15.5" x14ac:dyDescent="0.35">
      <c r="A887" s="18" t="s">
        <v>113</v>
      </c>
      <c r="B887" s="67">
        <v>40000</v>
      </c>
    </row>
    <row r="888" spans="1:11" ht="15.5" x14ac:dyDescent="0.35">
      <c r="A888" s="18" t="s">
        <v>209</v>
      </c>
      <c r="B888" s="67">
        <v>40000</v>
      </c>
    </row>
    <row r="889" spans="1:11" ht="15.5" x14ac:dyDescent="0.35">
      <c r="A889" s="18" t="s">
        <v>115</v>
      </c>
      <c r="B889" s="67">
        <v>60000</v>
      </c>
    </row>
    <row r="890" spans="1:11" ht="15.5" x14ac:dyDescent="0.35">
      <c r="A890" s="18" t="s">
        <v>109</v>
      </c>
      <c r="B890" s="67">
        <v>40000</v>
      </c>
    </row>
    <row r="891" spans="1:11" ht="15.5" x14ac:dyDescent="0.35">
      <c r="A891" s="24" t="s">
        <v>4</v>
      </c>
      <c r="B891" s="75">
        <f>SUM(B881:B890)</f>
        <v>440000</v>
      </c>
    </row>
    <row r="894" spans="1:11" ht="18.5" x14ac:dyDescent="0.45">
      <c r="A894" s="150" t="s">
        <v>1</v>
      </c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</row>
    <row r="895" spans="1:11" ht="18.5" x14ac:dyDescent="0.45">
      <c r="A895" s="150" t="s">
        <v>74</v>
      </c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</row>
    <row r="896" spans="1:11" ht="18.5" x14ac:dyDescent="0.45">
      <c r="A896" s="149">
        <v>46079</v>
      </c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</row>
    <row r="897" spans="1:11" ht="18.5" x14ac:dyDescent="0.45">
      <c r="A897" s="150"/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</row>
    <row r="898" spans="1:11" ht="18.5" x14ac:dyDescent="0.45">
      <c r="A898" s="2" t="s">
        <v>75</v>
      </c>
      <c r="B898" s="2" t="s">
        <v>3</v>
      </c>
      <c r="C898" s="2" t="s">
        <v>100</v>
      </c>
      <c r="D898" s="2" t="s">
        <v>90</v>
      </c>
      <c r="E898" s="2" t="s">
        <v>91</v>
      </c>
      <c r="F898" s="2" t="s">
        <v>4</v>
      </c>
      <c r="G898" s="2" t="s">
        <v>101</v>
      </c>
      <c r="H898" s="2" t="s">
        <v>104</v>
      </c>
      <c r="I898" s="2"/>
      <c r="J898" s="2" t="s">
        <v>105</v>
      </c>
      <c r="K898" s="2" t="s">
        <v>106</v>
      </c>
    </row>
    <row r="899" spans="1:11" ht="15.5" x14ac:dyDescent="0.35">
      <c r="A899" s="3" t="s">
        <v>76</v>
      </c>
      <c r="B899" s="1">
        <v>122</v>
      </c>
      <c r="C899" s="20">
        <v>17500</v>
      </c>
      <c r="D899" s="1">
        <v>73</v>
      </c>
      <c r="E899" s="1">
        <v>49</v>
      </c>
      <c r="F899" s="20">
        <f>C899*B899</f>
        <v>2135000</v>
      </c>
      <c r="G899" s="20">
        <f>D899*C899</f>
        <v>1277500</v>
      </c>
      <c r="H899" s="20">
        <f>E899*C899</f>
        <v>857500</v>
      </c>
      <c r="I899" s="20" t="b">
        <f>D899+E899=B899</f>
        <v>1</v>
      </c>
      <c r="J899" s="20">
        <f>B934</f>
        <v>440000</v>
      </c>
      <c r="K899" s="20" t="s">
        <v>117</v>
      </c>
    </row>
    <row r="900" spans="1:11" ht="15.5" x14ac:dyDescent="0.35">
      <c r="A900" s="3" t="s">
        <v>77</v>
      </c>
      <c r="B900" s="1">
        <v>36</v>
      </c>
      <c r="C900" s="20">
        <v>16000</v>
      </c>
      <c r="D900" s="1">
        <v>18</v>
      </c>
      <c r="E900" s="1">
        <v>18</v>
      </c>
      <c r="F900" s="20">
        <f t="shared" ref="F900:F911" si="145">C900*B900</f>
        <v>576000</v>
      </c>
      <c r="G900" s="20">
        <f t="shared" ref="G900:G911" si="146">D900*C900</f>
        <v>288000</v>
      </c>
      <c r="H900" s="20">
        <f t="shared" ref="H900:H915" si="147">E900*C900</f>
        <v>288000</v>
      </c>
      <c r="I900" s="20" t="b">
        <f t="shared" ref="I900:I915" si="148">D900+E900=B900</f>
        <v>1</v>
      </c>
      <c r="J900" s="20">
        <v>10000</v>
      </c>
      <c r="K900" s="20" t="s">
        <v>191</v>
      </c>
    </row>
    <row r="901" spans="1:11" ht="15.5" x14ac:dyDescent="0.35">
      <c r="A901" s="3" t="s">
        <v>78</v>
      </c>
      <c r="B901" s="1">
        <v>70</v>
      </c>
      <c r="C901" s="20">
        <v>17500</v>
      </c>
      <c r="D901" s="1">
        <v>38</v>
      </c>
      <c r="E901" s="1">
        <v>32</v>
      </c>
      <c r="F901" s="20">
        <f t="shared" si="145"/>
        <v>1225000</v>
      </c>
      <c r="G901" s="20">
        <f t="shared" si="146"/>
        <v>665000</v>
      </c>
      <c r="H901" s="20">
        <f t="shared" si="147"/>
        <v>560000</v>
      </c>
      <c r="I901" s="20" t="b">
        <f t="shared" si="148"/>
        <v>1</v>
      </c>
      <c r="J901" s="20">
        <v>30000</v>
      </c>
      <c r="K901" s="20" t="s">
        <v>248</v>
      </c>
    </row>
    <row r="902" spans="1:11" ht="15.5" x14ac:dyDescent="0.35">
      <c r="A902" s="3" t="s">
        <v>79</v>
      </c>
      <c r="B902" s="1">
        <v>30</v>
      </c>
      <c r="C902" s="20">
        <v>18500</v>
      </c>
      <c r="D902" s="1">
        <v>13</v>
      </c>
      <c r="E902" s="1">
        <v>17</v>
      </c>
      <c r="F902" s="20">
        <f t="shared" si="145"/>
        <v>555000</v>
      </c>
      <c r="G902" s="20">
        <f t="shared" si="146"/>
        <v>240500</v>
      </c>
      <c r="H902" s="20">
        <f t="shared" si="147"/>
        <v>314500</v>
      </c>
      <c r="I902" s="20" t="b">
        <f t="shared" si="148"/>
        <v>1</v>
      </c>
      <c r="J902" s="20">
        <v>100000</v>
      </c>
      <c r="K902" s="20" t="s">
        <v>107</v>
      </c>
    </row>
    <row r="903" spans="1:11" ht="15.5" x14ac:dyDescent="0.35">
      <c r="A903" s="3" t="s">
        <v>80</v>
      </c>
      <c r="B903" s="1"/>
      <c r="C903" s="20">
        <v>18500</v>
      </c>
      <c r="D903" s="1"/>
      <c r="E903" s="1"/>
      <c r="F903" s="20">
        <f t="shared" si="145"/>
        <v>0</v>
      </c>
      <c r="G903" s="20">
        <f t="shared" si="146"/>
        <v>0</v>
      </c>
      <c r="H903" s="20">
        <f t="shared" si="147"/>
        <v>0</v>
      </c>
      <c r="I903" s="20" t="b">
        <f t="shared" si="148"/>
        <v>1</v>
      </c>
      <c r="J903" s="20">
        <v>565000</v>
      </c>
      <c r="K903" s="20" t="s">
        <v>199</v>
      </c>
    </row>
    <row r="904" spans="1:11" ht="15.5" x14ac:dyDescent="0.35">
      <c r="A904" s="3" t="s">
        <v>81</v>
      </c>
      <c r="B904" s="1"/>
      <c r="C904" s="20">
        <v>23000</v>
      </c>
      <c r="D904" s="1"/>
      <c r="E904" s="1"/>
      <c r="F904" s="20">
        <f t="shared" si="145"/>
        <v>0</v>
      </c>
      <c r="G904" s="20">
        <f t="shared" si="146"/>
        <v>0</v>
      </c>
      <c r="H904" s="20">
        <f t="shared" si="147"/>
        <v>0</v>
      </c>
      <c r="I904" s="20" t="b">
        <f t="shared" si="148"/>
        <v>1</v>
      </c>
      <c r="J904" s="20"/>
      <c r="K904" s="20"/>
    </row>
    <row r="905" spans="1:11" ht="15.5" x14ac:dyDescent="0.35">
      <c r="A905" s="3" t="s">
        <v>82</v>
      </c>
      <c r="B905" s="1"/>
      <c r="C905" s="20">
        <v>18000</v>
      </c>
      <c r="D905" s="1"/>
      <c r="E905" s="1"/>
      <c r="F905" s="20">
        <f t="shared" si="145"/>
        <v>0</v>
      </c>
      <c r="G905" s="20">
        <f t="shared" si="146"/>
        <v>0</v>
      </c>
      <c r="H905" s="20">
        <f t="shared" si="147"/>
        <v>0</v>
      </c>
      <c r="I905" s="20" t="b">
        <f t="shared" si="148"/>
        <v>1</v>
      </c>
      <c r="J905" s="20"/>
      <c r="K905" s="20"/>
    </row>
    <row r="906" spans="1:11" ht="15.5" x14ac:dyDescent="0.35">
      <c r="A906" s="3" t="s">
        <v>83</v>
      </c>
      <c r="B906" s="1"/>
      <c r="C906" s="20">
        <v>18000</v>
      </c>
      <c r="D906" s="1"/>
      <c r="E906" s="1"/>
      <c r="F906" s="20">
        <f t="shared" si="145"/>
        <v>0</v>
      </c>
      <c r="G906" s="20">
        <f t="shared" si="146"/>
        <v>0</v>
      </c>
      <c r="H906" s="20">
        <f t="shared" si="147"/>
        <v>0</v>
      </c>
      <c r="I906" s="20" t="b">
        <f t="shared" si="148"/>
        <v>1</v>
      </c>
      <c r="J906" s="20"/>
      <c r="K906" s="20"/>
    </row>
    <row r="907" spans="1:11" ht="15.5" x14ac:dyDescent="0.35">
      <c r="A907" s="3" t="s">
        <v>84</v>
      </c>
      <c r="B907" s="1">
        <v>50</v>
      </c>
      <c r="C907" s="20">
        <v>18500</v>
      </c>
      <c r="D907" s="1">
        <v>13</v>
      </c>
      <c r="E907" s="1">
        <v>37</v>
      </c>
      <c r="F907" s="20">
        <f t="shared" si="145"/>
        <v>925000</v>
      </c>
      <c r="G907" s="20">
        <f t="shared" si="146"/>
        <v>240500</v>
      </c>
      <c r="H907" s="20">
        <f t="shared" si="147"/>
        <v>684500</v>
      </c>
      <c r="I907" s="20" t="b">
        <f t="shared" si="148"/>
        <v>1</v>
      </c>
      <c r="J907" s="20"/>
      <c r="K907" s="20"/>
    </row>
    <row r="908" spans="1:11" ht="15.5" x14ac:dyDescent="0.35">
      <c r="A908" s="3" t="s">
        <v>85</v>
      </c>
      <c r="B908" s="1"/>
      <c r="C908" s="20">
        <v>18500</v>
      </c>
      <c r="D908" s="1"/>
      <c r="E908" s="1"/>
      <c r="F908" s="20">
        <f t="shared" si="145"/>
        <v>0</v>
      </c>
      <c r="G908" s="20">
        <f t="shared" si="146"/>
        <v>0</v>
      </c>
      <c r="H908" s="20">
        <f t="shared" si="147"/>
        <v>0</v>
      </c>
      <c r="I908" s="20" t="b">
        <f t="shared" si="148"/>
        <v>1</v>
      </c>
      <c r="J908" s="20"/>
      <c r="K908" s="20"/>
    </row>
    <row r="909" spans="1:11" ht="15.5" x14ac:dyDescent="0.35">
      <c r="A909" s="3" t="s">
        <v>86</v>
      </c>
      <c r="B909" s="1"/>
      <c r="C909" s="20">
        <v>18500</v>
      </c>
      <c r="D909" s="1"/>
      <c r="E909" s="1"/>
      <c r="F909" s="20">
        <f t="shared" si="145"/>
        <v>0</v>
      </c>
      <c r="G909" s="20">
        <f t="shared" si="146"/>
        <v>0</v>
      </c>
      <c r="H909" s="20">
        <f t="shared" si="147"/>
        <v>0</v>
      </c>
      <c r="I909" s="20" t="b">
        <f t="shared" si="148"/>
        <v>1</v>
      </c>
      <c r="J909" s="20"/>
      <c r="K909" s="20"/>
    </row>
    <row r="910" spans="1:11" ht="15.5" x14ac:dyDescent="0.35">
      <c r="A910" s="3" t="s">
        <v>87</v>
      </c>
      <c r="B910" s="1">
        <v>5</v>
      </c>
      <c r="C910" s="20">
        <v>18500</v>
      </c>
      <c r="D910" s="1">
        <v>4</v>
      </c>
      <c r="E910" s="1">
        <v>1</v>
      </c>
      <c r="F910" s="20">
        <f t="shared" si="145"/>
        <v>92500</v>
      </c>
      <c r="G910" s="20">
        <f t="shared" si="146"/>
        <v>74000</v>
      </c>
      <c r="H910" s="20">
        <f t="shared" si="147"/>
        <v>18500</v>
      </c>
      <c r="I910" s="20" t="b">
        <f t="shared" si="148"/>
        <v>1</v>
      </c>
      <c r="J910" s="20"/>
      <c r="K910" s="20"/>
    </row>
    <row r="911" spans="1:11" ht="15.5" x14ac:dyDescent="0.35">
      <c r="A911" s="3" t="s">
        <v>88</v>
      </c>
      <c r="B911" s="1">
        <v>11</v>
      </c>
      <c r="C911" s="20">
        <v>18500</v>
      </c>
      <c r="D911" s="1">
        <v>4</v>
      </c>
      <c r="E911" s="1">
        <v>7</v>
      </c>
      <c r="F911" s="20">
        <f t="shared" si="145"/>
        <v>203500</v>
      </c>
      <c r="G911" s="20">
        <f t="shared" si="146"/>
        <v>74000</v>
      </c>
      <c r="H911" s="20">
        <f t="shared" si="147"/>
        <v>129500</v>
      </c>
      <c r="I911" s="20" t="b">
        <f t="shared" si="148"/>
        <v>1</v>
      </c>
      <c r="J911" s="20"/>
      <c r="K911" s="20"/>
    </row>
    <row r="912" spans="1:11" ht="15.5" x14ac:dyDescent="0.35">
      <c r="A912" s="19" t="s">
        <v>89</v>
      </c>
      <c r="B912" s="1"/>
      <c r="C912" s="20"/>
      <c r="D912" s="1"/>
      <c r="E912" s="1"/>
      <c r="F912" s="20"/>
      <c r="G912" s="20"/>
      <c r="H912" s="20">
        <f t="shared" si="147"/>
        <v>0</v>
      </c>
      <c r="I912" s="20" t="b">
        <f t="shared" si="148"/>
        <v>1</v>
      </c>
      <c r="J912" s="20"/>
      <c r="K912" s="20"/>
    </row>
    <row r="913" spans="1:11" ht="15.5" x14ac:dyDescent="0.35">
      <c r="A913" s="3" t="s">
        <v>92</v>
      </c>
      <c r="B913" s="1"/>
      <c r="C913" s="20">
        <v>21500</v>
      </c>
      <c r="D913" s="1"/>
      <c r="E913" s="1"/>
      <c r="F913" s="20">
        <f t="shared" ref="F913:F915" si="149">C913*B913</f>
        <v>0</v>
      </c>
      <c r="G913" s="20">
        <f t="shared" ref="G913:G915" si="150">D913*C913</f>
        <v>0</v>
      </c>
      <c r="H913" s="20">
        <f t="shared" si="147"/>
        <v>0</v>
      </c>
      <c r="I913" s="20" t="b">
        <f t="shared" si="148"/>
        <v>1</v>
      </c>
      <c r="J913" s="20"/>
      <c r="K913" s="20"/>
    </row>
    <row r="914" spans="1:11" ht="15.5" x14ac:dyDescent="0.35">
      <c r="A914" s="3" t="s">
        <v>93</v>
      </c>
      <c r="B914" s="1">
        <v>36</v>
      </c>
      <c r="C914" s="20">
        <v>21500</v>
      </c>
      <c r="D914" s="1">
        <v>16</v>
      </c>
      <c r="E914" s="1">
        <v>20</v>
      </c>
      <c r="F914" s="20">
        <f t="shared" si="149"/>
        <v>774000</v>
      </c>
      <c r="G914" s="20">
        <f t="shared" si="150"/>
        <v>344000</v>
      </c>
      <c r="H914" s="20">
        <f t="shared" si="147"/>
        <v>430000</v>
      </c>
      <c r="I914" s="20" t="b">
        <f t="shared" si="148"/>
        <v>1</v>
      </c>
      <c r="J914" s="20"/>
      <c r="K914" s="20"/>
    </row>
    <row r="915" spans="1:11" ht="15.5" x14ac:dyDescent="0.35">
      <c r="A915" s="3" t="s">
        <v>94</v>
      </c>
      <c r="B915" s="1">
        <v>42</v>
      </c>
      <c r="C915" s="20">
        <v>21500</v>
      </c>
      <c r="D915" s="1">
        <v>24</v>
      </c>
      <c r="E915" s="1">
        <v>18</v>
      </c>
      <c r="F915" s="20">
        <f t="shared" si="149"/>
        <v>903000</v>
      </c>
      <c r="G915" s="20">
        <f t="shared" si="150"/>
        <v>516000</v>
      </c>
      <c r="H915" s="20">
        <f t="shared" si="147"/>
        <v>387000</v>
      </c>
      <c r="I915" s="20" t="b">
        <f t="shared" si="148"/>
        <v>1</v>
      </c>
      <c r="J915" s="20"/>
      <c r="K915" s="20"/>
    </row>
    <row r="916" spans="1:11" ht="15.5" x14ac:dyDescent="0.35">
      <c r="A916" s="19"/>
      <c r="B916" s="22">
        <f>SUM(B899:B915)</f>
        <v>402</v>
      </c>
      <c r="C916" s="20"/>
      <c r="D916" s="1"/>
      <c r="E916" s="1"/>
      <c r="F916" s="23">
        <f>SUM(F899:F915)</f>
        <v>7389000</v>
      </c>
      <c r="G916" s="23">
        <f>SUM(G899:G915)</f>
        <v>3719500</v>
      </c>
      <c r="H916" s="23">
        <f>SUM(H899:H915)</f>
        <v>3669500</v>
      </c>
      <c r="I916" s="23"/>
      <c r="J916" s="23">
        <f>SUM(J899:J915)</f>
        <v>1145000</v>
      </c>
      <c r="K916" s="23">
        <f>H916-J916</f>
        <v>2524500</v>
      </c>
    </row>
    <row r="917" spans="1:11" ht="15.5" x14ac:dyDescent="0.35">
      <c r="A917" s="19" t="s">
        <v>95</v>
      </c>
      <c r="B917" s="1"/>
      <c r="C917" s="20"/>
      <c r="D917" s="1"/>
      <c r="E917" s="1"/>
      <c r="F917" s="20"/>
      <c r="G917" s="20"/>
      <c r="H917" s="20" t="s">
        <v>192</v>
      </c>
      <c r="I917" s="20"/>
      <c r="J917" s="20"/>
      <c r="K917" s="20"/>
    </row>
    <row r="918" spans="1:11" ht="15.5" x14ac:dyDescent="0.35">
      <c r="A918" s="3" t="s">
        <v>96</v>
      </c>
      <c r="B918" s="1"/>
      <c r="C918" s="20">
        <v>3000</v>
      </c>
      <c r="D918" s="1"/>
      <c r="E918" s="20"/>
      <c r="F918" s="20">
        <f t="shared" ref="F918:F921" si="151">C918*B918</f>
        <v>0</v>
      </c>
      <c r="G918" s="20"/>
      <c r="H918" s="20"/>
      <c r="I918" s="20"/>
      <c r="J918" s="20"/>
      <c r="K918" s="20"/>
    </row>
    <row r="919" spans="1:11" ht="15.5" x14ac:dyDescent="0.35">
      <c r="A919" s="3" t="s">
        <v>97</v>
      </c>
      <c r="B919" s="1"/>
      <c r="C919" s="20">
        <v>2500</v>
      </c>
      <c r="D919" s="1"/>
      <c r="E919" s="1"/>
      <c r="F919" s="20">
        <f t="shared" si="151"/>
        <v>0</v>
      </c>
      <c r="G919" s="20"/>
      <c r="H919" s="20"/>
      <c r="I919" s="20"/>
      <c r="J919" s="20"/>
      <c r="K919" s="20"/>
    </row>
    <row r="920" spans="1:11" ht="15.5" x14ac:dyDescent="0.35">
      <c r="A920" s="3" t="s">
        <v>98</v>
      </c>
      <c r="B920" s="1"/>
      <c r="C920" s="20">
        <v>1800</v>
      </c>
      <c r="D920" s="1"/>
      <c r="E920" s="1"/>
      <c r="F920" s="20">
        <f t="shared" si="151"/>
        <v>0</v>
      </c>
      <c r="G920" s="20"/>
      <c r="H920" s="20"/>
      <c r="I920" s="20"/>
      <c r="J920" s="20"/>
      <c r="K920" s="20"/>
    </row>
    <row r="921" spans="1:11" ht="15.5" x14ac:dyDescent="0.35">
      <c r="A921" s="3" t="s">
        <v>99</v>
      </c>
      <c r="B921" s="1">
        <v>1</v>
      </c>
      <c r="C921" s="20">
        <v>3500</v>
      </c>
      <c r="D921" s="1">
        <v>1</v>
      </c>
      <c r="E921" s="1"/>
      <c r="F921" s="20">
        <f t="shared" si="151"/>
        <v>3500</v>
      </c>
      <c r="G921" s="20"/>
      <c r="H921" s="20"/>
      <c r="I921" s="20"/>
      <c r="J921" s="20"/>
      <c r="K921" s="20"/>
    </row>
    <row r="922" spans="1:11" ht="15.5" x14ac:dyDescent="0.35">
      <c r="A922" s="18"/>
      <c r="F922" s="21"/>
    </row>
    <row r="923" spans="1:11" ht="15.5" x14ac:dyDescent="0.35">
      <c r="A923" s="24" t="s">
        <v>108</v>
      </c>
      <c r="K923" s="21"/>
    </row>
    <row r="924" spans="1:11" ht="15.5" x14ac:dyDescent="0.35">
      <c r="A924" s="18" t="s">
        <v>114</v>
      </c>
      <c r="B924" s="67">
        <v>40000</v>
      </c>
    </row>
    <row r="925" spans="1:11" ht="15.5" x14ac:dyDescent="0.35">
      <c r="A925" s="18" t="s">
        <v>112</v>
      </c>
      <c r="B925" s="67">
        <v>40000</v>
      </c>
    </row>
    <row r="926" spans="1:11" ht="15.5" x14ac:dyDescent="0.35">
      <c r="A926" s="18" t="s">
        <v>309</v>
      </c>
      <c r="B926" s="67">
        <v>60000</v>
      </c>
    </row>
    <row r="927" spans="1:11" ht="15.5" x14ac:dyDescent="0.35">
      <c r="A927" s="18" t="s">
        <v>110</v>
      </c>
      <c r="B927" s="67">
        <v>40000</v>
      </c>
    </row>
    <row r="928" spans="1:11" ht="15.5" x14ac:dyDescent="0.35">
      <c r="A928" s="18" t="s">
        <v>111</v>
      </c>
      <c r="B928" s="67">
        <v>40000</v>
      </c>
    </row>
    <row r="929" spans="1:11" ht="15.5" x14ac:dyDescent="0.35">
      <c r="A929" s="18" t="s">
        <v>196</v>
      </c>
      <c r="B929" s="67">
        <v>40000</v>
      </c>
    </row>
    <row r="930" spans="1:11" ht="15.5" x14ac:dyDescent="0.35">
      <c r="A930" s="18" t="s">
        <v>113</v>
      </c>
      <c r="B930" s="67">
        <v>40000</v>
      </c>
    </row>
    <row r="931" spans="1:11" ht="15.5" x14ac:dyDescent="0.35">
      <c r="A931" s="18" t="s">
        <v>209</v>
      </c>
      <c r="B931" s="67">
        <v>40000</v>
      </c>
    </row>
    <row r="932" spans="1:11" ht="15.5" x14ac:dyDescent="0.35">
      <c r="A932" s="18" t="s">
        <v>115</v>
      </c>
      <c r="B932" s="67">
        <v>60000</v>
      </c>
    </row>
    <row r="933" spans="1:11" ht="15.5" x14ac:dyDescent="0.35">
      <c r="A933" s="18" t="s">
        <v>109</v>
      </c>
      <c r="B933" s="67">
        <v>40000</v>
      </c>
    </row>
    <row r="934" spans="1:11" ht="15.5" x14ac:dyDescent="0.35">
      <c r="A934" s="24" t="s">
        <v>4</v>
      </c>
      <c r="B934" s="75">
        <f>SUM(B924:B933)</f>
        <v>440000</v>
      </c>
    </row>
    <row r="938" spans="1:11" ht="18.5" x14ac:dyDescent="0.45">
      <c r="A938" s="150" t="s">
        <v>1</v>
      </c>
      <c r="B938" s="150"/>
      <c r="C938" s="150"/>
      <c r="D938" s="150"/>
      <c r="E938" s="150"/>
      <c r="F938" s="150"/>
      <c r="G938" s="150"/>
      <c r="H938" s="150"/>
      <c r="I938" s="150"/>
      <c r="J938" s="150"/>
      <c r="K938" s="150"/>
    </row>
    <row r="939" spans="1:11" ht="18.5" x14ac:dyDescent="0.45">
      <c r="A939" s="150" t="s">
        <v>74</v>
      </c>
      <c r="B939" s="150"/>
      <c r="C939" s="150"/>
      <c r="D939" s="150"/>
      <c r="E939" s="150"/>
      <c r="F939" s="150"/>
      <c r="G939" s="150"/>
      <c r="H939" s="150"/>
      <c r="I939" s="150"/>
      <c r="J939" s="150"/>
      <c r="K939" s="150"/>
    </row>
    <row r="940" spans="1:11" ht="18.5" x14ac:dyDescent="0.45">
      <c r="A940" s="149">
        <v>46080</v>
      </c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</row>
    <row r="941" spans="1:11" ht="18.5" x14ac:dyDescent="0.45">
      <c r="A941" s="150"/>
      <c r="B941" s="150"/>
      <c r="C941" s="150"/>
      <c r="D941" s="150"/>
      <c r="E941" s="150"/>
      <c r="F941" s="150"/>
      <c r="G941" s="150"/>
      <c r="H941" s="150"/>
      <c r="I941" s="150"/>
      <c r="J941" s="150"/>
      <c r="K941" s="150"/>
    </row>
    <row r="942" spans="1:11" ht="18.5" x14ac:dyDescent="0.45">
      <c r="A942" s="2" t="s">
        <v>75</v>
      </c>
      <c r="B942" s="2" t="s">
        <v>3</v>
      </c>
      <c r="C942" s="2" t="s">
        <v>100</v>
      </c>
      <c r="D942" s="2" t="s">
        <v>90</v>
      </c>
      <c r="E942" s="2" t="s">
        <v>91</v>
      </c>
      <c r="F942" s="2" t="s">
        <v>4</v>
      </c>
      <c r="G942" s="2" t="s">
        <v>101</v>
      </c>
      <c r="H942" s="2" t="s">
        <v>104</v>
      </c>
      <c r="I942" s="2"/>
      <c r="J942" s="2" t="s">
        <v>105</v>
      </c>
      <c r="K942" s="2" t="s">
        <v>106</v>
      </c>
    </row>
    <row r="943" spans="1:11" ht="15.5" x14ac:dyDescent="0.35">
      <c r="A943" s="3" t="s">
        <v>76</v>
      </c>
      <c r="B943" s="1">
        <v>84</v>
      </c>
      <c r="C943" s="20">
        <v>17500</v>
      </c>
      <c r="D943" s="1">
        <v>50</v>
      </c>
      <c r="E943" s="1">
        <v>34</v>
      </c>
      <c r="F943" s="20">
        <f>C943*B943</f>
        <v>1470000</v>
      </c>
      <c r="G943" s="20">
        <f>D943*C943</f>
        <v>875000</v>
      </c>
      <c r="H943" s="20">
        <f>E943*C943</f>
        <v>595000</v>
      </c>
      <c r="I943" s="20" t="b">
        <f>D943+E943=B943</f>
        <v>1</v>
      </c>
      <c r="J943" s="20">
        <f>B978</f>
        <v>440000</v>
      </c>
      <c r="K943" s="20" t="s">
        <v>117</v>
      </c>
    </row>
    <row r="944" spans="1:11" ht="15.5" x14ac:dyDescent="0.35">
      <c r="A944" s="3" t="s">
        <v>77</v>
      </c>
      <c r="B944" s="1">
        <v>17</v>
      </c>
      <c r="C944" s="20">
        <v>16000</v>
      </c>
      <c r="D944" s="1">
        <v>5</v>
      </c>
      <c r="E944" s="1">
        <v>12</v>
      </c>
      <c r="F944" s="20">
        <f t="shared" ref="F944:F955" si="152">C944*B944</f>
        <v>272000</v>
      </c>
      <c r="G944" s="20">
        <f t="shared" ref="G944:G955" si="153">D944*C944</f>
        <v>80000</v>
      </c>
      <c r="H944" s="20">
        <f t="shared" ref="H944:H959" si="154">E944*C944</f>
        <v>192000</v>
      </c>
      <c r="I944" s="20" t="b">
        <f t="shared" ref="I944:I959" si="155">D944+E944=B944</f>
        <v>1</v>
      </c>
      <c r="J944" s="20">
        <v>10000</v>
      </c>
      <c r="K944" s="20" t="s">
        <v>191</v>
      </c>
    </row>
    <row r="945" spans="1:11" ht="15.5" x14ac:dyDescent="0.35">
      <c r="A945" s="3" t="s">
        <v>78</v>
      </c>
      <c r="B945" s="1">
        <v>57</v>
      </c>
      <c r="C945" s="20">
        <v>17500</v>
      </c>
      <c r="D945" s="1">
        <v>35</v>
      </c>
      <c r="E945" s="1">
        <v>22</v>
      </c>
      <c r="F945" s="20">
        <f t="shared" si="152"/>
        <v>997500</v>
      </c>
      <c r="G945" s="20">
        <f t="shared" si="153"/>
        <v>612500</v>
      </c>
      <c r="H945" s="20">
        <f t="shared" si="154"/>
        <v>385000</v>
      </c>
      <c r="I945" s="20" t="b">
        <f t="shared" si="155"/>
        <v>1</v>
      </c>
      <c r="J945" s="20">
        <v>75000</v>
      </c>
      <c r="K945" s="20" t="s">
        <v>249</v>
      </c>
    </row>
    <row r="946" spans="1:11" ht="15.5" x14ac:dyDescent="0.35">
      <c r="A946" s="3" t="s">
        <v>79</v>
      </c>
      <c r="B946" s="1">
        <v>25</v>
      </c>
      <c r="C946" s="20">
        <v>18500</v>
      </c>
      <c r="D946" s="1">
        <v>14</v>
      </c>
      <c r="E946" s="1">
        <v>11</v>
      </c>
      <c r="F946" s="20">
        <f t="shared" si="152"/>
        <v>462500</v>
      </c>
      <c r="G946" s="20">
        <f t="shared" si="153"/>
        <v>259000</v>
      </c>
      <c r="H946" s="20">
        <f t="shared" si="154"/>
        <v>203500</v>
      </c>
      <c r="I946" s="20" t="b">
        <f t="shared" si="155"/>
        <v>1</v>
      </c>
      <c r="J946" s="20">
        <v>416000</v>
      </c>
      <c r="K946" s="20" t="s">
        <v>107</v>
      </c>
    </row>
    <row r="947" spans="1:11" ht="15.5" x14ac:dyDescent="0.35">
      <c r="A947" s="3" t="s">
        <v>80</v>
      </c>
      <c r="B947" s="1"/>
      <c r="C947" s="20">
        <v>18500</v>
      </c>
      <c r="D947" s="1"/>
      <c r="E947" s="1"/>
      <c r="F947" s="20">
        <f t="shared" si="152"/>
        <v>0</v>
      </c>
      <c r="G947" s="20">
        <f t="shared" si="153"/>
        <v>0</v>
      </c>
      <c r="H947" s="20">
        <f t="shared" si="154"/>
        <v>0</v>
      </c>
      <c r="I947" s="20" t="b">
        <f t="shared" si="155"/>
        <v>1</v>
      </c>
      <c r="J947" s="20"/>
      <c r="K947" s="20"/>
    </row>
    <row r="948" spans="1:11" ht="15.5" x14ac:dyDescent="0.35">
      <c r="A948" s="3" t="s">
        <v>81</v>
      </c>
      <c r="B948" s="1"/>
      <c r="C948" s="20">
        <v>23000</v>
      </c>
      <c r="D948" s="1"/>
      <c r="E948" s="1"/>
      <c r="F948" s="20">
        <f t="shared" si="152"/>
        <v>0</v>
      </c>
      <c r="G948" s="20">
        <f t="shared" si="153"/>
        <v>0</v>
      </c>
      <c r="H948" s="20">
        <f t="shared" si="154"/>
        <v>0</v>
      </c>
      <c r="I948" s="20" t="b">
        <f t="shared" si="155"/>
        <v>1</v>
      </c>
      <c r="J948" s="20"/>
      <c r="K948" s="20"/>
    </row>
    <row r="949" spans="1:11" ht="15.5" x14ac:dyDescent="0.35">
      <c r="A949" s="3" t="s">
        <v>82</v>
      </c>
      <c r="B949" s="1"/>
      <c r="C949" s="20">
        <v>18000</v>
      </c>
      <c r="D949" s="1"/>
      <c r="E949" s="1"/>
      <c r="F949" s="20">
        <f t="shared" si="152"/>
        <v>0</v>
      </c>
      <c r="G949" s="20">
        <f t="shared" si="153"/>
        <v>0</v>
      </c>
      <c r="H949" s="20">
        <f t="shared" si="154"/>
        <v>0</v>
      </c>
      <c r="I949" s="20" t="b">
        <f t="shared" si="155"/>
        <v>1</v>
      </c>
      <c r="J949" s="20"/>
      <c r="K949" s="20"/>
    </row>
    <row r="950" spans="1:11" ht="15.5" x14ac:dyDescent="0.35">
      <c r="A950" s="3" t="s">
        <v>83</v>
      </c>
      <c r="B950" s="1"/>
      <c r="C950" s="20">
        <v>18000</v>
      </c>
      <c r="D950" s="1"/>
      <c r="E950" s="1"/>
      <c r="F950" s="20">
        <f t="shared" si="152"/>
        <v>0</v>
      </c>
      <c r="G950" s="20">
        <f t="shared" si="153"/>
        <v>0</v>
      </c>
      <c r="H950" s="20">
        <f t="shared" si="154"/>
        <v>0</v>
      </c>
      <c r="I950" s="20" t="b">
        <f t="shared" si="155"/>
        <v>1</v>
      </c>
      <c r="J950" s="20"/>
      <c r="K950" s="20"/>
    </row>
    <row r="951" spans="1:11" ht="15.5" x14ac:dyDescent="0.35">
      <c r="A951" s="3" t="s">
        <v>84</v>
      </c>
      <c r="B951" s="1"/>
      <c r="C951" s="20">
        <v>18500</v>
      </c>
      <c r="D951" s="1"/>
      <c r="E951" s="1"/>
      <c r="F951" s="20">
        <f t="shared" si="152"/>
        <v>0</v>
      </c>
      <c r="G951" s="20">
        <f t="shared" si="153"/>
        <v>0</v>
      </c>
      <c r="H951" s="20">
        <f t="shared" si="154"/>
        <v>0</v>
      </c>
      <c r="I951" s="20" t="b">
        <f t="shared" si="155"/>
        <v>1</v>
      </c>
      <c r="J951" s="20"/>
      <c r="K951" s="20"/>
    </row>
    <row r="952" spans="1:11" ht="15.5" x14ac:dyDescent="0.35">
      <c r="A952" s="3" t="s">
        <v>85</v>
      </c>
      <c r="B952" s="1">
        <v>39</v>
      </c>
      <c r="C952" s="20">
        <v>18500</v>
      </c>
      <c r="D952" s="1">
        <v>21</v>
      </c>
      <c r="E952" s="1">
        <v>18</v>
      </c>
      <c r="F952" s="20">
        <f t="shared" si="152"/>
        <v>721500</v>
      </c>
      <c r="G952" s="20">
        <f t="shared" si="153"/>
        <v>388500</v>
      </c>
      <c r="H952" s="20">
        <f t="shared" si="154"/>
        <v>333000</v>
      </c>
      <c r="I952" s="20" t="b">
        <f t="shared" si="155"/>
        <v>1</v>
      </c>
      <c r="J952" s="20"/>
      <c r="K952" s="20"/>
    </row>
    <row r="953" spans="1:11" ht="15.5" x14ac:dyDescent="0.35">
      <c r="A953" s="3" t="s">
        <v>86</v>
      </c>
      <c r="B953" s="1">
        <v>8</v>
      </c>
      <c r="C953" s="20">
        <v>18500</v>
      </c>
      <c r="D953" s="1">
        <v>4</v>
      </c>
      <c r="E953" s="1">
        <v>4</v>
      </c>
      <c r="F953" s="20">
        <f t="shared" si="152"/>
        <v>148000</v>
      </c>
      <c r="G953" s="20">
        <f t="shared" si="153"/>
        <v>74000</v>
      </c>
      <c r="H953" s="20">
        <f t="shared" si="154"/>
        <v>74000</v>
      </c>
      <c r="I953" s="20" t="b">
        <f t="shared" si="155"/>
        <v>1</v>
      </c>
      <c r="J953" s="20"/>
      <c r="K953" s="20"/>
    </row>
    <row r="954" spans="1:11" ht="15.5" x14ac:dyDescent="0.35">
      <c r="A954" s="3" t="s">
        <v>87</v>
      </c>
      <c r="B954" s="1"/>
      <c r="C954" s="20">
        <v>18500</v>
      </c>
      <c r="D954" s="1"/>
      <c r="E954" s="1"/>
      <c r="F954" s="20">
        <f t="shared" si="152"/>
        <v>0</v>
      </c>
      <c r="G954" s="20">
        <f t="shared" si="153"/>
        <v>0</v>
      </c>
      <c r="H954" s="20">
        <f t="shared" si="154"/>
        <v>0</v>
      </c>
      <c r="I954" s="20" t="b">
        <f t="shared" si="155"/>
        <v>1</v>
      </c>
      <c r="J954" s="20"/>
      <c r="K954" s="20"/>
    </row>
    <row r="955" spans="1:11" ht="15.5" x14ac:dyDescent="0.35">
      <c r="A955" s="3" t="s">
        <v>88</v>
      </c>
      <c r="B955" s="1">
        <v>7</v>
      </c>
      <c r="C955" s="20">
        <v>18500</v>
      </c>
      <c r="D955" s="1">
        <v>6</v>
      </c>
      <c r="E955" s="1">
        <v>1</v>
      </c>
      <c r="F955" s="20">
        <f t="shared" si="152"/>
        <v>129500</v>
      </c>
      <c r="G955" s="20">
        <f t="shared" si="153"/>
        <v>111000</v>
      </c>
      <c r="H955" s="20">
        <f t="shared" si="154"/>
        <v>18500</v>
      </c>
      <c r="I955" s="20" t="b">
        <f t="shared" si="155"/>
        <v>1</v>
      </c>
      <c r="J955" s="20"/>
      <c r="K955" s="20"/>
    </row>
    <row r="956" spans="1:11" ht="15.5" x14ac:dyDescent="0.35">
      <c r="A956" s="19" t="s">
        <v>89</v>
      </c>
      <c r="B956" s="1"/>
      <c r="C956" s="20"/>
      <c r="D956" s="1"/>
      <c r="E956" s="1"/>
      <c r="F956" s="20"/>
      <c r="G956" s="20"/>
      <c r="H956" s="20">
        <f t="shared" si="154"/>
        <v>0</v>
      </c>
      <c r="I956" s="20" t="b">
        <f t="shared" si="155"/>
        <v>1</v>
      </c>
      <c r="J956" s="20"/>
      <c r="K956" s="20"/>
    </row>
    <row r="957" spans="1:11" ht="15.5" x14ac:dyDescent="0.35">
      <c r="A957" s="3" t="s">
        <v>92</v>
      </c>
      <c r="B957" s="1">
        <v>28</v>
      </c>
      <c r="C957" s="20">
        <v>21500</v>
      </c>
      <c r="D957" s="1">
        <v>14</v>
      </c>
      <c r="E957" s="1">
        <v>14</v>
      </c>
      <c r="F957" s="20">
        <f t="shared" ref="F957:F959" si="156">C957*B957</f>
        <v>602000</v>
      </c>
      <c r="G957" s="20">
        <f t="shared" ref="G957:G959" si="157">D957*C957</f>
        <v>301000</v>
      </c>
      <c r="H957" s="20">
        <f t="shared" si="154"/>
        <v>301000</v>
      </c>
      <c r="I957" s="20" t="b">
        <f t="shared" si="155"/>
        <v>1</v>
      </c>
      <c r="J957" s="20"/>
      <c r="K957" s="20"/>
    </row>
    <row r="958" spans="1:11" ht="15.5" x14ac:dyDescent="0.35">
      <c r="A958" s="3" t="s">
        <v>93</v>
      </c>
      <c r="B958" s="1"/>
      <c r="C958" s="20">
        <v>21500</v>
      </c>
      <c r="D958" s="1"/>
      <c r="E958" s="1"/>
      <c r="F958" s="20">
        <f t="shared" si="156"/>
        <v>0</v>
      </c>
      <c r="G958" s="20">
        <f t="shared" si="157"/>
        <v>0</v>
      </c>
      <c r="H958" s="20">
        <f t="shared" si="154"/>
        <v>0</v>
      </c>
      <c r="I958" s="20" t="b">
        <f t="shared" si="155"/>
        <v>1</v>
      </c>
      <c r="J958" s="20"/>
      <c r="K958" s="20"/>
    </row>
    <row r="959" spans="1:11" ht="15.5" x14ac:dyDescent="0.35">
      <c r="A959" s="3" t="s">
        <v>94</v>
      </c>
      <c r="B959" s="1">
        <v>31</v>
      </c>
      <c r="C959" s="20">
        <v>21500</v>
      </c>
      <c r="D959" s="1">
        <v>11</v>
      </c>
      <c r="E959" s="1">
        <v>20</v>
      </c>
      <c r="F959" s="20">
        <f t="shared" si="156"/>
        <v>666500</v>
      </c>
      <c r="G959" s="20">
        <f t="shared" si="157"/>
        <v>236500</v>
      </c>
      <c r="H959" s="20">
        <f t="shared" si="154"/>
        <v>430000</v>
      </c>
      <c r="I959" s="20" t="b">
        <f t="shared" si="155"/>
        <v>1</v>
      </c>
      <c r="J959" s="20"/>
      <c r="K959" s="20"/>
    </row>
    <row r="960" spans="1:11" ht="15.5" x14ac:dyDescent="0.35">
      <c r="A960" s="19"/>
      <c r="B960" s="22">
        <f>SUM(B943:B959)</f>
        <v>296</v>
      </c>
      <c r="C960" s="20"/>
      <c r="D960" s="1"/>
      <c r="E960" s="1"/>
      <c r="F960" s="23">
        <f>SUM(F943:F959)</f>
        <v>5469500</v>
      </c>
      <c r="G960" s="23">
        <f>SUM(G943:G959)</f>
        <v>2937500</v>
      </c>
      <c r="H960" s="23">
        <f>SUM(H943:H959)</f>
        <v>2532000</v>
      </c>
      <c r="I960" s="23"/>
      <c r="J960" s="23">
        <f>SUM(J943:J959)</f>
        <v>941000</v>
      </c>
      <c r="K960" s="23">
        <f>H960-J960</f>
        <v>1591000</v>
      </c>
    </row>
    <row r="961" spans="1:11" ht="15.5" x14ac:dyDescent="0.35">
      <c r="A961" s="19" t="s">
        <v>95</v>
      </c>
      <c r="B961" s="1"/>
      <c r="C961" s="20"/>
      <c r="D961" s="1"/>
      <c r="E961" s="1"/>
      <c r="F961" s="20"/>
      <c r="G961" s="20"/>
      <c r="H961" s="20" t="s">
        <v>192</v>
      </c>
      <c r="I961" s="20"/>
      <c r="J961" s="20"/>
      <c r="K961" s="20"/>
    </row>
    <row r="962" spans="1:11" ht="15.5" x14ac:dyDescent="0.35">
      <c r="A962" s="3" t="s">
        <v>96</v>
      </c>
      <c r="B962" s="1"/>
      <c r="C962" s="20">
        <v>3000</v>
      </c>
      <c r="D962" s="1"/>
      <c r="E962" s="20"/>
      <c r="F962" s="20">
        <f t="shared" ref="F962:F965" si="158">C962*B962</f>
        <v>0</v>
      </c>
      <c r="G962" s="20"/>
      <c r="H962" s="20"/>
      <c r="I962" s="20"/>
      <c r="J962" s="20"/>
      <c r="K962" s="20"/>
    </row>
    <row r="963" spans="1:11" ht="15.5" x14ac:dyDescent="0.35">
      <c r="A963" s="3" t="s">
        <v>97</v>
      </c>
      <c r="B963" s="1"/>
      <c r="C963" s="20">
        <v>2500</v>
      </c>
      <c r="D963" s="1"/>
      <c r="E963" s="1"/>
      <c r="F963" s="20">
        <f t="shared" si="158"/>
        <v>0</v>
      </c>
      <c r="G963" s="20"/>
      <c r="H963" s="20"/>
      <c r="I963" s="20"/>
      <c r="J963" s="20"/>
      <c r="K963" s="20"/>
    </row>
    <row r="964" spans="1:11" ht="15.5" x14ac:dyDescent="0.35">
      <c r="A964" s="3" t="s">
        <v>98</v>
      </c>
      <c r="B964" s="1"/>
      <c r="C964" s="20">
        <v>1800</v>
      </c>
      <c r="D964" s="1"/>
      <c r="E964" s="1"/>
      <c r="F964" s="20">
        <f t="shared" si="158"/>
        <v>0</v>
      </c>
      <c r="G964" s="20"/>
      <c r="H964" s="20"/>
      <c r="I964" s="20"/>
      <c r="J964" s="20"/>
      <c r="K964" s="20"/>
    </row>
    <row r="965" spans="1:11" ht="15.5" x14ac:dyDescent="0.35">
      <c r="A965" s="3" t="s">
        <v>99</v>
      </c>
      <c r="B965" s="1">
        <v>4</v>
      </c>
      <c r="C965" s="20">
        <v>3500</v>
      </c>
      <c r="D965" s="1">
        <v>4</v>
      </c>
      <c r="E965" s="1"/>
      <c r="F965" s="20">
        <f t="shared" si="158"/>
        <v>14000</v>
      </c>
      <c r="G965" s="20"/>
      <c r="H965" s="20"/>
      <c r="I965" s="20"/>
      <c r="J965" s="20"/>
      <c r="K965" s="20"/>
    </row>
    <row r="966" spans="1:11" ht="15.5" x14ac:dyDescent="0.35">
      <c r="A966" s="18"/>
      <c r="F966" s="21"/>
    </row>
    <row r="967" spans="1:11" ht="15.5" x14ac:dyDescent="0.35">
      <c r="A967" s="24" t="s">
        <v>108</v>
      </c>
      <c r="K967" s="21"/>
    </row>
    <row r="968" spans="1:11" ht="15.5" x14ac:dyDescent="0.35">
      <c r="A968" s="18" t="s">
        <v>114</v>
      </c>
      <c r="B968" s="67">
        <v>40000</v>
      </c>
    </row>
    <row r="969" spans="1:11" ht="15.5" x14ac:dyDescent="0.35">
      <c r="A969" s="18" t="s">
        <v>112</v>
      </c>
      <c r="B969" s="67">
        <v>40000</v>
      </c>
    </row>
    <row r="970" spans="1:11" ht="15.5" x14ac:dyDescent="0.35">
      <c r="A970" s="18" t="s">
        <v>309</v>
      </c>
      <c r="B970" s="67">
        <v>60000</v>
      </c>
    </row>
    <row r="971" spans="1:11" ht="15.5" x14ac:dyDescent="0.35">
      <c r="A971" s="18" t="s">
        <v>110</v>
      </c>
      <c r="B971" s="67">
        <v>40000</v>
      </c>
    </row>
    <row r="972" spans="1:11" ht="15.5" x14ac:dyDescent="0.35">
      <c r="A972" s="18" t="s">
        <v>111</v>
      </c>
      <c r="B972" s="67">
        <v>40000</v>
      </c>
    </row>
    <row r="973" spans="1:11" ht="15.5" x14ac:dyDescent="0.35">
      <c r="A973" s="18" t="s">
        <v>196</v>
      </c>
      <c r="B973" s="67">
        <v>40000</v>
      </c>
    </row>
    <row r="974" spans="1:11" ht="15.5" x14ac:dyDescent="0.35">
      <c r="A974" s="18" t="s">
        <v>113</v>
      </c>
      <c r="B974" s="67">
        <v>40000</v>
      </c>
    </row>
    <row r="975" spans="1:11" ht="15.5" x14ac:dyDescent="0.35">
      <c r="A975" s="18" t="s">
        <v>209</v>
      </c>
      <c r="B975" s="67">
        <v>40000</v>
      </c>
    </row>
    <row r="976" spans="1:11" ht="15.5" x14ac:dyDescent="0.35">
      <c r="A976" s="18" t="s">
        <v>115</v>
      </c>
      <c r="B976" s="67">
        <v>60000</v>
      </c>
    </row>
    <row r="977" spans="1:11" ht="15.5" x14ac:dyDescent="0.35">
      <c r="A977" s="18" t="s">
        <v>109</v>
      </c>
      <c r="B977" s="67">
        <v>40000</v>
      </c>
    </row>
    <row r="978" spans="1:11" ht="15.5" x14ac:dyDescent="0.35">
      <c r="A978" s="24" t="s">
        <v>4</v>
      </c>
      <c r="B978" s="75">
        <f>SUM(B968:B977)</f>
        <v>440000</v>
      </c>
    </row>
    <row r="981" spans="1:11" ht="18.5" x14ac:dyDescent="0.45">
      <c r="A981" s="150" t="s">
        <v>1</v>
      </c>
      <c r="B981" s="150"/>
      <c r="C981" s="150"/>
      <c r="D981" s="150"/>
      <c r="E981" s="150"/>
      <c r="F981" s="150"/>
      <c r="G981" s="150"/>
      <c r="H981" s="150"/>
      <c r="I981" s="150"/>
      <c r="J981" s="150"/>
      <c r="K981" s="150"/>
    </row>
    <row r="982" spans="1:11" ht="18.5" x14ac:dyDescent="0.45">
      <c r="A982" s="150" t="s">
        <v>74</v>
      </c>
      <c r="B982" s="150"/>
      <c r="C982" s="150"/>
      <c r="D982" s="150"/>
      <c r="E982" s="150"/>
      <c r="F982" s="150"/>
      <c r="G982" s="150"/>
      <c r="H982" s="150"/>
      <c r="I982" s="150"/>
      <c r="J982" s="150"/>
      <c r="K982" s="150"/>
    </row>
    <row r="983" spans="1:11" ht="18.5" x14ac:dyDescent="0.45">
      <c r="A983" s="149">
        <v>46081</v>
      </c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</row>
    <row r="984" spans="1:11" ht="18.5" x14ac:dyDescent="0.45">
      <c r="A984" s="150"/>
      <c r="B984" s="150"/>
      <c r="C984" s="150"/>
      <c r="D984" s="150"/>
      <c r="E984" s="150"/>
      <c r="F984" s="150"/>
      <c r="G984" s="150"/>
      <c r="H984" s="150"/>
      <c r="I984" s="150"/>
      <c r="J984" s="150"/>
      <c r="K984" s="150"/>
    </row>
    <row r="985" spans="1:11" ht="18.5" x14ac:dyDescent="0.45">
      <c r="A985" s="2" t="s">
        <v>75</v>
      </c>
      <c r="B985" s="2" t="s">
        <v>3</v>
      </c>
      <c r="C985" s="2" t="s">
        <v>100</v>
      </c>
      <c r="D985" s="2" t="s">
        <v>90</v>
      </c>
      <c r="E985" s="2" t="s">
        <v>91</v>
      </c>
      <c r="F985" s="2" t="s">
        <v>4</v>
      </c>
      <c r="G985" s="2" t="s">
        <v>101</v>
      </c>
      <c r="H985" s="2" t="s">
        <v>104</v>
      </c>
      <c r="I985" s="2"/>
      <c r="J985" s="2" t="s">
        <v>105</v>
      </c>
      <c r="K985" s="2" t="s">
        <v>106</v>
      </c>
    </row>
    <row r="986" spans="1:11" ht="15.5" x14ac:dyDescent="0.35">
      <c r="A986" s="3" t="s">
        <v>76</v>
      </c>
      <c r="B986" s="1">
        <v>51</v>
      </c>
      <c r="C986" s="20">
        <v>17500</v>
      </c>
      <c r="D986" s="1">
        <v>18</v>
      </c>
      <c r="E986" s="1">
        <v>33</v>
      </c>
      <c r="F986" s="20">
        <f>C986*B986</f>
        <v>892500</v>
      </c>
      <c r="G986" s="20">
        <f>D986*C986</f>
        <v>315000</v>
      </c>
      <c r="H986" s="20">
        <f>E986*C986</f>
        <v>577500</v>
      </c>
      <c r="I986" s="20" t="b">
        <f>D986+E986=B986</f>
        <v>1</v>
      </c>
      <c r="J986" s="20">
        <f>B1016</f>
        <v>240000</v>
      </c>
      <c r="K986" s="20" t="s">
        <v>117</v>
      </c>
    </row>
    <row r="987" spans="1:11" ht="15.5" x14ac:dyDescent="0.35">
      <c r="A987" s="3" t="s">
        <v>77</v>
      </c>
      <c r="B987" s="1">
        <v>27</v>
      </c>
      <c r="C987" s="20">
        <v>16000</v>
      </c>
      <c r="D987" s="1">
        <v>6</v>
      </c>
      <c r="E987" s="1">
        <v>21</v>
      </c>
      <c r="F987" s="20">
        <f t="shared" ref="F987:F998" si="159">C987*B987</f>
        <v>432000</v>
      </c>
      <c r="G987" s="20">
        <f t="shared" ref="G987:G998" si="160">D987*C987</f>
        <v>96000</v>
      </c>
      <c r="H987" s="20">
        <f t="shared" ref="H987:H1002" si="161">E987*C987</f>
        <v>336000</v>
      </c>
      <c r="I987" s="20" t="b">
        <f t="shared" ref="I987:I1002" si="162">D987+E987=B987</f>
        <v>1</v>
      </c>
      <c r="J987" s="20">
        <v>10000</v>
      </c>
      <c r="K987" s="20" t="s">
        <v>191</v>
      </c>
    </row>
    <row r="988" spans="1:11" ht="15.5" x14ac:dyDescent="0.35">
      <c r="A988" s="3" t="s">
        <v>78</v>
      </c>
      <c r="B988" s="1">
        <v>34</v>
      </c>
      <c r="C988" s="20">
        <v>17500</v>
      </c>
      <c r="D988" s="1">
        <v>14</v>
      </c>
      <c r="E988" s="1">
        <v>20</v>
      </c>
      <c r="F988" s="20">
        <f t="shared" si="159"/>
        <v>595000</v>
      </c>
      <c r="G988" s="20">
        <f t="shared" si="160"/>
        <v>245000</v>
      </c>
      <c r="H988" s="20">
        <f t="shared" si="161"/>
        <v>350000</v>
      </c>
      <c r="I988" s="20" t="b">
        <f t="shared" si="162"/>
        <v>1</v>
      </c>
      <c r="J988" s="20">
        <v>180000</v>
      </c>
      <c r="K988" s="20" t="s">
        <v>107</v>
      </c>
    </row>
    <row r="989" spans="1:11" ht="15.5" x14ac:dyDescent="0.35">
      <c r="A989" s="3" t="s">
        <v>79</v>
      </c>
      <c r="B989" s="1">
        <v>16</v>
      </c>
      <c r="C989" s="20">
        <v>18500</v>
      </c>
      <c r="D989" s="1">
        <v>1</v>
      </c>
      <c r="E989" s="1">
        <v>15</v>
      </c>
      <c r="F989" s="20">
        <f t="shared" si="159"/>
        <v>296000</v>
      </c>
      <c r="G989" s="20">
        <f t="shared" si="160"/>
        <v>18500</v>
      </c>
      <c r="H989" s="20">
        <f t="shared" si="161"/>
        <v>277500</v>
      </c>
      <c r="I989" s="20" t="b">
        <f t="shared" si="162"/>
        <v>1</v>
      </c>
      <c r="J989" s="20">
        <v>17500</v>
      </c>
      <c r="K989" s="20" t="s">
        <v>127</v>
      </c>
    </row>
    <row r="990" spans="1:11" ht="15.5" x14ac:dyDescent="0.35">
      <c r="A990" s="3" t="s">
        <v>80</v>
      </c>
      <c r="B990" s="1">
        <v>17</v>
      </c>
      <c r="C990" s="20">
        <v>18500</v>
      </c>
      <c r="D990" s="1">
        <v>9</v>
      </c>
      <c r="E990" s="1">
        <v>8</v>
      </c>
      <c r="F990" s="20">
        <f t="shared" si="159"/>
        <v>314500</v>
      </c>
      <c r="G990" s="20">
        <f t="shared" si="160"/>
        <v>166500</v>
      </c>
      <c r="H990" s="20">
        <f t="shared" si="161"/>
        <v>148000</v>
      </c>
      <c r="I990" s="20" t="b">
        <f t="shared" si="162"/>
        <v>1</v>
      </c>
      <c r="J990" s="20"/>
      <c r="K990" s="20"/>
    </row>
    <row r="991" spans="1:11" ht="15.5" x14ac:dyDescent="0.35">
      <c r="A991" s="3" t="s">
        <v>81</v>
      </c>
      <c r="B991" s="1">
        <v>6</v>
      </c>
      <c r="C991" s="20">
        <v>23000</v>
      </c>
      <c r="D991" s="1">
        <v>1</v>
      </c>
      <c r="E991" s="1">
        <v>5</v>
      </c>
      <c r="F991" s="20">
        <f t="shared" si="159"/>
        <v>138000</v>
      </c>
      <c r="G991" s="20">
        <f t="shared" si="160"/>
        <v>23000</v>
      </c>
      <c r="H991" s="20">
        <f t="shared" si="161"/>
        <v>115000</v>
      </c>
      <c r="I991" s="20" t="b">
        <f t="shared" si="162"/>
        <v>1</v>
      </c>
      <c r="J991" s="20"/>
      <c r="K991" s="20"/>
    </row>
    <row r="992" spans="1:11" ht="15.5" x14ac:dyDescent="0.35">
      <c r="A992" s="3" t="s">
        <v>82</v>
      </c>
      <c r="B992" s="1"/>
      <c r="C992" s="20">
        <v>18000</v>
      </c>
      <c r="D992" s="1"/>
      <c r="E992" s="1"/>
      <c r="F992" s="20">
        <f t="shared" si="159"/>
        <v>0</v>
      </c>
      <c r="G992" s="20">
        <f t="shared" si="160"/>
        <v>0</v>
      </c>
      <c r="H992" s="20">
        <f t="shared" si="161"/>
        <v>0</v>
      </c>
      <c r="I992" s="20" t="b">
        <f t="shared" si="162"/>
        <v>1</v>
      </c>
      <c r="J992" s="20"/>
      <c r="K992" s="20"/>
    </row>
    <row r="993" spans="1:11" ht="15.5" x14ac:dyDescent="0.35">
      <c r="A993" s="3" t="s">
        <v>83</v>
      </c>
      <c r="B993" s="1"/>
      <c r="C993" s="20">
        <v>18000</v>
      </c>
      <c r="D993" s="1"/>
      <c r="E993" s="1"/>
      <c r="F993" s="20">
        <f t="shared" si="159"/>
        <v>0</v>
      </c>
      <c r="G993" s="20">
        <f t="shared" si="160"/>
        <v>0</v>
      </c>
      <c r="H993" s="20">
        <f t="shared" si="161"/>
        <v>0</v>
      </c>
      <c r="I993" s="20" t="b">
        <f t="shared" si="162"/>
        <v>1</v>
      </c>
      <c r="J993" s="20"/>
      <c r="K993" s="20"/>
    </row>
    <row r="994" spans="1:11" ht="15.5" x14ac:dyDescent="0.35">
      <c r="A994" s="3" t="s">
        <v>84</v>
      </c>
      <c r="B994" s="1"/>
      <c r="C994" s="20">
        <v>18500</v>
      </c>
      <c r="D994" s="1"/>
      <c r="E994" s="1"/>
      <c r="F994" s="20">
        <f t="shared" si="159"/>
        <v>0</v>
      </c>
      <c r="G994" s="20">
        <f t="shared" si="160"/>
        <v>0</v>
      </c>
      <c r="H994" s="20">
        <f t="shared" si="161"/>
        <v>0</v>
      </c>
      <c r="I994" s="20" t="b">
        <f t="shared" si="162"/>
        <v>1</v>
      </c>
      <c r="J994" s="20"/>
      <c r="K994" s="20"/>
    </row>
    <row r="995" spans="1:11" ht="15.5" x14ac:dyDescent="0.35">
      <c r="A995" s="3" t="s">
        <v>85</v>
      </c>
      <c r="B995" s="1">
        <v>22</v>
      </c>
      <c r="C995" s="20">
        <v>18500</v>
      </c>
      <c r="D995" s="1">
        <v>5</v>
      </c>
      <c r="E995" s="1">
        <v>17</v>
      </c>
      <c r="F995" s="20">
        <f t="shared" si="159"/>
        <v>407000</v>
      </c>
      <c r="G995" s="20">
        <f t="shared" si="160"/>
        <v>92500</v>
      </c>
      <c r="H995" s="20">
        <f t="shared" si="161"/>
        <v>314500</v>
      </c>
      <c r="I995" s="20" t="b">
        <f t="shared" si="162"/>
        <v>1</v>
      </c>
      <c r="J995" s="20"/>
      <c r="K995" s="20"/>
    </row>
    <row r="996" spans="1:11" ht="15.5" x14ac:dyDescent="0.35">
      <c r="A996" s="3" t="s">
        <v>86</v>
      </c>
      <c r="B996" s="1">
        <v>3</v>
      </c>
      <c r="C996" s="20">
        <v>18500</v>
      </c>
      <c r="D996" s="1">
        <v>3</v>
      </c>
      <c r="E996" s="1"/>
      <c r="F996" s="20">
        <f t="shared" si="159"/>
        <v>55500</v>
      </c>
      <c r="G996" s="20">
        <f t="shared" si="160"/>
        <v>55500</v>
      </c>
      <c r="H996" s="20">
        <f t="shared" si="161"/>
        <v>0</v>
      </c>
      <c r="I996" s="20" t="b">
        <f t="shared" si="162"/>
        <v>1</v>
      </c>
      <c r="J996" s="20"/>
      <c r="K996" s="20"/>
    </row>
    <row r="997" spans="1:11" ht="15.5" x14ac:dyDescent="0.35">
      <c r="A997" s="3" t="s">
        <v>87</v>
      </c>
      <c r="B997" s="1"/>
      <c r="C997" s="20">
        <v>18500</v>
      </c>
      <c r="D997" s="1"/>
      <c r="E997" s="1"/>
      <c r="F997" s="20">
        <f t="shared" si="159"/>
        <v>0</v>
      </c>
      <c r="G997" s="20">
        <f t="shared" si="160"/>
        <v>0</v>
      </c>
      <c r="H997" s="20">
        <f t="shared" si="161"/>
        <v>0</v>
      </c>
      <c r="I997" s="20" t="b">
        <f t="shared" si="162"/>
        <v>1</v>
      </c>
      <c r="J997" s="20"/>
      <c r="K997" s="20"/>
    </row>
    <row r="998" spans="1:11" ht="15.5" x14ac:dyDescent="0.35">
      <c r="A998" s="3" t="s">
        <v>88</v>
      </c>
      <c r="B998" s="1"/>
      <c r="C998" s="20">
        <v>18500</v>
      </c>
      <c r="D998" s="1"/>
      <c r="E998" s="1"/>
      <c r="F998" s="20">
        <f t="shared" si="159"/>
        <v>0</v>
      </c>
      <c r="G998" s="20">
        <f t="shared" si="160"/>
        <v>0</v>
      </c>
      <c r="H998" s="20">
        <f t="shared" si="161"/>
        <v>0</v>
      </c>
      <c r="I998" s="20" t="b">
        <f t="shared" si="162"/>
        <v>1</v>
      </c>
      <c r="J998" s="20"/>
      <c r="K998" s="20"/>
    </row>
    <row r="999" spans="1:11" ht="15.5" x14ac:dyDescent="0.35">
      <c r="A999" s="19" t="s">
        <v>89</v>
      </c>
      <c r="B999" s="1"/>
      <c r="C999" s="20"/>
      <c r="D999" s="1"/>
      <c r="E999" s="1"/>
      <c r="F999" s="20"/>
      <c r="G999" s="20"/>
      <c r="H999" s="20">
        <f t="shared" si="161"/>
        <v>0</v>
      </c>
      <c r="I999" s="20" t="b">
        <f t="shared" si="162"/>
        <v>1</v>
      </c>
      <c r="J999" s="20"/>
      <c r="K999" s="20"/>
    </row>
    <row r="1000" spans="1:11" ht="15.5" x14ac:dyDescent="0.35">
      <c r="A1000" s="3" t="s">
        <v>92</v>
      </c>
      <c r="B1000" s="1">
        <v>31</v>
      </c>
      <c r="C1000" s="20">
        <v>21500</v>
      </c>
      <c r="D1000" s="1">
        <v>8</v>
      </c>
      <c r="E1000" s="1">
        <v>23</v>
      </c>
      <c r="F1000" s="20">
        <f t="shared" ref="F1000:F1002" si="163">C1000*B1000</f>
        <v>666500</v>
      </c>
      <c r="G1000" s="20">
        <f t="shared" ref="G1000:G1002" si="164">D1000*C1000</f>
        <v>172000</v>
      </c>
      <c r="H1000" s="20">
        <f t="shared" si="161"/>
        <v>494500</v>
      </c>
      <c r="I1000" s="20" t="b">
        <f t="shared" si="162"/>
        <v>1</v>
      </c>
      <c r="J1000" s="20"/>
      <c r="K1000" s="20"/>
    </row>
    <row r="1001" spans="1:11" ht="15.5" x14ac:dyDescent="0.35">
      <c r="A1001" s="3" t="s">
        <v>93</v>
      </c>
      <c r="B1001" s="1">
        <v>7</v>
      </c>
      <c r="C1001" s="20">
        <v>21500</v>
      </c>
      <c r="D1001" s="1">
        <v>4</v>
      </c>
      <c r="E1001" s="1">
        <v>3</v>
      </c>
      <c r="F1001" s="20">
        <f t="shared" si="163"/>
        <v>150500</v>
      </c>
      <c r="G1001" s="20">
        <f t="shared" si="164"/>
        <v>86000</v>
      </c>
      <c r="H1001" s="20">
        <f t="shared" si="161"/>
        <v>64500</v>
      </c>
      <c r="I1001" s="20" t="b">
        <f t="shared" si="162"/>
        <v>1</v>
      </c>
      <c r="J1001" s="20"/>
      <c r="K1001" s="20"/>
    </row>
    <row r="1002" spans="1:11" ht="15.5" x14ac:dyDescent="0.35">
      <c r="A1002" s="3" t="s">
        <v>94</v>
      </c>
      <c r="B1002" s="1"/>
      <c r="C1002" s="20">
        <v>21500</v>
      </c>
      <c r="D1002" s="1"/>
      <c r="E1002" s="1"/>
      <c r="F1002" s="20">
        <f t="shared" si="163"/>
        <v>0</v>
      </c>
      <c r="G1002" s="20">
        <f t="shared" si="164"/>
        <v>0</v>
      </c>
      <c r="H1002" s="20">
        <f t="shared" si="161"/>
        <v>0</v>
      </c>
      <c r="I1002" s="20" t="b">
        <f t="shared" si="162"/>
        <v>1</v>
      </c>
      <c r="J1002" s="20"/>
      <c r="K1002" s="20"/>
    </row>
    <row r="1003" spans="1:11" ht="15.5" x14ac:dyDescent="0.35">
      <c r="A1003" s="19"/>
      <c r="B1003" s="22">
        <f>SUM(B986:B1002)</f>
        <v>214</v>
      </c>
      <c r="C1003" s="20"/>
      <c r="D1003" s="1"/>
      <c r="E1003" s="1"/>
      <c r="F1003" s="23">
        <f>SUM(F986:F1002)</f>
        <v>3947500</v>
      </c>
      <c r="G1003" s="23">
        <f>SUM(G986:G1002)</f>
        <v>1270000</v>
      </c>
      <c r="H1003" s="23">
        <f>SUM(H986:H1002)</f>
        <v>2677500</v>
      </c>
      <c r="I1003" s="23"/>
      <c r="J1003" s="23">
        <f>SUM(J986:J1002)</f>
        <v>447500</v>
      </c>
      <c r="K1003" s="23">
        <f>H1003-J1003</f>
        <v>2230000</v>
      </c>
    </row>
    <row r="1004" spans="1:11" ht="15.5" x14ac:dyDescent="0.35">
      <c r="A1004" s="19" t="s">
        <v>95</v>
      </c>
      <c r="B1004" s="1"/>
      <c r="C1004" s="20"/>
      <c r="D1004" s="1"/>
      <c r="E1004" s="1"/>
      <c r="F1004" s="20"/>
      <c r="G1004" s="20"/>
      <c r="H1004" s="20" t="s">
        <v>192</v>
      </c>
      <c r="I1004" s="20"/>
      <c r="J1004" s="20"/>
      <c r="K1004" s="20"/>
    </row>
    <row r="1005" spans="1:11" ht="15.5" x14ac:dyDescent="0.35">
      <c r="A1005" s="3" t="s">
        <v>96</v>
      </c>
      <c r="B1005" s="1"/>
      <c r="C1005" s="20">
        <v>3000</v>
      </c>
      <c r="D1005" s="1"/>
      <c r="E1005" s="20"/>
      <c r="F1005" s="20">
        <f t="shared" ref="F1005:F1008" si="165">C1005*B1005</f>
        <v>0</v>
      </c>
      <c r="G1005" s="20"/>
      <c r="H1005" s="20"/>
      <c r="I1005" s="20"/>
      <c r="J1005" s="20"/>
      <c r="K1005" s="20"/>
    </row>
    <row r="1006" spans="1:11" ht="15.5" x14ac:dyDescent="0.35">
      <c r="A1006" s="3" t="s">
        <v>97</v>
      </c>
      <c r="B1006" s="1"/>
      <c r="C1006" s="20">
        <v>2500</v>
      </c>
      <c r="D1006" s="1"/>
      <c r="E1006" s="1"/>
      <c r="F1006" s="20">
        <f t="shared" si="165"/>
        <v>0</v>
      </c>
      <c r="G1006" s="20"/>
      <c r="H1006" s="20"/>
      <c r="I1006" s="20"/>
      <c r="J1006" s="20"/>
      <c r="K1006" s="20"/>
    </row>
    <row r="1007" spans="1:11" ht="15.5" x14ac:dyDescent="0.35">
      <c r="A1007" s="3" t="s">
        <v>98</v>
      </c>
      <c r="B1007" s="1"/>
      <c r="C1007" s="20">
        <v>1800</v>
      </c>
      <c r="D1007" s="1"/>
      <c r="E1007" s="1"/>
      <c r="F1007" s="20">
        <f t="shared" si="165"/>
        <v>0</v>
      </c>
      <c r="G1007" s="20"/>
      <c r="H1007" s="20"/>
      <c r="I1007" s="20"/>
      <c r="J1007" s="20"/>
      <c r="K1007" s="20"/>
    </row>
    <row r="1008" spans="1:11" ht="15.5" x14ac:dyDescent="0.35">
      <c r="A1008" s="3" t="s">
        <v>99</v>
      </c>
      <c r="B1008" s="1">
        <v>8</v>
      </c>
      <c r="C1008" s="20">
        <v>3500</v>
      </c>
      <c r="D1008" s="1">
        <v>2</v>
      </c>
      <c r="E1008" s="1">
        <v>6</v>
      </c>
      <c r="F1008" s="20">
        <f t="shared" si="165"/>
        <v>28000</v>
      </c>
      <c r="G1008" s="20"/>
      <c r="H1008" s="20"/>
      <c r="I1008" s="20"/>
      <c r="J1008" s="20"/>
      <c r="K1008" s="20"/>
    </row>
    <row r="1009" spans="1:11" ht="15.5" x14ac:dyDescent="0.35">
      <c r="A1009" s="18"/>
      <c r="F1009" s="21"/>
    </row>
    <row r="1010" spans="1:11" ht="15.5" x14ac:dyDescent="0.35">
      <c r="A1010" s="24" t="s">
        <v>108</v>
      </c>
      <c r="K1010" s="21"/>
    </row>
    <row r="1011" spans="1:11" ht="15.5" x14ac:dyDescent="0.35">
      <c r="A1011" s="18" t="s">
        <v>114</v>
      </c>
      <c r="B1011" s="67">
        <v>60000</v>
      </c>
    </row>
    <row r="1012" spans="1:11" ht="15.5" x14ac:dyDescent="0.35">
      <c r="A1012" s="18" t="s">
        <v>112</v>
      </c>
      <c r="B1012" s="67">
        <v>60000</v>
      </c>
    </row>
    <row r="1013" spans="1:11" ht="15.5" x14ac:dyDescent="0.35">
      <c r="A1013" s="18" t="s">
        <v>309</v>
      </c>
      <c r="B1013" s="67"/>
    </row>
    <row r="1014" spans="1:11" ht="15.5" x14ac:dyDescent="0.35">
      <c r="A1014" s="18" t="s">
        <v>110</v>
      </c>
      <c r="B1014" s="67">
        <v>60000</v>
      </c>
    </row>
    <row r="1015" spans="1:11" ht="15.5" x14ac:dyDescent="0.35">
      <c r="A1015" s="18" t="s">
        <v>111</v>
      </c>
      <c r="B1015" s="67">
        <v>60000</v>
      </c>
    </row>
    <row r="1016" spans="1:11" ht="15.5" x14ac:dyDescent="0.35">
      <c r="A1016" s="24" t="s">
        <v>4</v>
      </c>
      <c r="B1016" s="75">
        <f>SUM(B1011:B1015)</f>
        <v>240000</v>
      </c>
    </row>
  </sheetData>
  <mergeCells count="96">
    <mergeCell ref="A981:K981"/>
    <mergeCell ref="A982:K982"/>
    <mergeCell ref="A983:K983"/>
    <mergeCell ref="A984:K984"/>
    <mergeCell ref="A388:K388"/>
    <mergeCell ref="A389:K389"/>
    <mergeCell ref="A390:K390"/>
    <mergeCell ref="A391:K391"/>
    <mergeCell ref="A726:K726"/>
    <mergeCell ref="A514:K514"/>
    <mergeCell ref="A433:K433"/>
    <mergeCell ref="A474:K474"/>
    <mergeCell ref="A475:K475"/>
    <mergeCell ref="A476:K476"/>
    <mergeCell ref="A477:K477"/>
    <mergeCell ref="A434:K434"/>
    <mergeCell ref="A554:K554"/>
    <mergeCell ref="A555:K555"/>
    <mergeCell ref="A556:K556"/>
    <mergeCell ref="A302:K302"/>
    <mergeCell ref="A303:K303"/>
    <mergeCell ref="A304:K304"/>
    <mergeCell ref="A344:K344"/>
    <mergeCell ref="A345:K345"/>
    <mergeCell ref="A1:K1"/>
    <mergeCell ref="A2:K2"/>
    <mergeCell ref="A3:K3"/>
    <mergeCell ref="A4:K4"/>
    <mergeCell ref="A45:K45"/>
    <mergeCell ref="A46:K46"/>
    <mergeCell ref="A47:K47"/>
    <mergeCell ref="A48:K48"/>
    <mergeCell ref="A89:K89"/>
    <mergeCell ref="A90:K90"/>
    <mergeCell ref="A91:K91"/>
    <mergeCell ref="A92:K92"/>
    <mergeCell ref="A133:K133"/>
    <mergeCell ref="A134:K134"/>
    <mergeCell ref="A135:K135"/>
    <mergeCell ref="A136:K136"/>
    <mergeCell ref="A177:K177"/>
    <mergeCell ref="A178:K178"/>
    <mergeCell ref="A179:K179"/>
    <mergeCell ref="A180:K180"/>
    <mergeCell ref="A221:K221"/>
    <mergeCell ref="A222:K222"/>
    <mergeCell ref="A511:K511"/>
    <mergeCell ref="A512:K512"/>
    <mergeCell ref="A513:K513"/>
    <mergeCell ref="A223:K223"/>
    <mergeCell ref="A224:K224"/>
    <mergeCell ref="A258:K258"/>
    <mergeCell ref="A259:K259"/>
    <mergeCell ref="A260:K260"/>
    <mergeCell ref="A431:K431"/>
    <mergeCell ref="A432:K432"/>
    <mergeCell ref="A261:K261"/>
    <mergeCell ref="A301:K301"/>
    <mergeCell ref="A346:K346"/>
    <mergeCell ref="A347:K347"/>
    <mergeCell ref="A557:K557"/>
    <mergeCell ref="A597:K597"/>
    <mergeCell ref="A598:K598"/>
    <mergeCell ref="A851:K851"/>
    <mergeCell ref="A852:K852"/>
    <mergeCell ref="A729:K729"/>
    <mergeCell ref="A809:K809"/>
    <mergeCell ref="A810:K810"/>
    <mergeCell ref="A811:K811"/>
    <mergeCell ref="A764:K764"/>
    <mergeCell ref="A765:K765"/>
    <mergeCell ref="A766:K766"/>
    <mergeCell ref="A767:K767"/>
    <mergeCell ref="A808:K808"/>
    <mergeCell ref="A853:K853"/>
    <mergeCell ref="A854:K854"/>
    <mergeCell ref="A599:K599"/>
    <mergeCell ref="A600:K600"/>
    <mergeCell ref="A640:K640"/>
    <mergeCell ref="A641:K641"/>
    <mergeCell ref="A686:K686"/>
    <mergeCell ref="A642:K642"/>
    <mergeCell ref="A643:K643"/>
    <mergeCell ref="A683:K683"/>
    <mergeCell ref="A684:K684"/>
    <mergeCell ref="A685:K685"/>
    <mergeCell ref="A727:K727"/>
    <mergeCell ref="A728:K728"/>
    <mergeCell ref="A939:K939"/>
    <mergeCell ref="A940:K940"/>
    <mergeCell ref="A941:K941"/>
    <mergeCell ref="A894:K894"/>
    <mergeCell ref="A895:K895"/>
    <mergeCell ref="A896:K896"/>
    <mergeCell ref="A897:K897"/>
    <mergeCell ref="A938:K93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C29C-65A8-4733-947B-8007B488E51E}">
  <dimension ref="A1:K1102"/>
  <sheetViews>
    <sheetView topLeftCell="A1032" zoomScale="102" workbookViewId="0">
      <selection activeCell="E1048" sqref="E1048"/>
    </sheetView>
  </sheetViews>
  <sheetFormatPr baseColWidth="10" defaultRowHeight="14.5" x14ac:dyDescent="0.35"/>
  <cols>
    <col min="1" max="1" width="39.54296875" bestFit="1" customWidth="1"/>
    <col min="9" max="9" width="11.81640625" bestFit="1" customWidth="1"/>
    <col min="11" max="11" width="13.7265625" bestFit="1" customWidth="1"/>
  </cols>
  <sheetData>
    <row r="1" spans="1:11" ht="18.5" x14ac:dyDescent="0.45">
      <c r="A1" s="150" t="s">
        <v>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8.5" x14ac:dyDescent="0.45">
      <c r="A2" s="150" t="s">
        <v>74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1" ht="18.5" x14ac:dyDescent="0.45">
      <c r="A3" s="149">
        <v>46083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ht="18.5" x14ac:dyDescent="0.45">
      <c r="A4" s="150"/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8.5" x14ac:dyDescent="0.45">
      <c r="A5" s="2" t="s">
        <v>75</v>
      </c>
      <c r="B5" s="2" t="s">
        <v>3</v>
      </c>
      <c r="C5" s="2" t="s">
        <v>100</v>
      </c>
      <c r="D5" s="2" t="s">
        <v>90</v>
      </c>
      <c r="E5" s="2" t="s">
        <v>91</v>
      </c>
      <c r="F5" s="2" t="s">
        <v>4</v>
      </c>
      <c r="G5" s="2" t="s">
        <v>101</v>
      </c>
      <c r="H5" s="2" t="s">
        <v>104</v>
      </c>
      <c r="I5" s="2"/>
      <c r="J5" s="2" t="s">
        <v>105</v>
      </c>
      <c r="K5" s="2" t="s">
        <v>106</v>
      </c>
    </row>
    <row r="6" spans="1:11" ht="15.5" x14ac:dyDescent="0.35">
      <c r="A6" s="3" t="s">
        <v>76</v>
      </c>
      <c r="B6" s="1">
        <v>135</v>
      </c>
      <c r="C6" s="20">
        <v>17500</v>
      </c>
      <c r="D6" s="1">
        <v>67</v>
      </c>
      <c r="E6" s="1">
        <v>68</v>
      </c>
      <c r="F6" s="20">
        <f>C6*B6</f>
        <v>2362500</v>
      </c>
      <c r="G6" s="20">
        <f>D6*C6</f>
        <v>1172500</v>
      </c>
      <c r="H6" s="20">
        <f>E6*C6</f>
        <v>1190000</v>
      </c>
      <c r="I6" s="20" t="b">
        <f>D6+E6=B6</f>
        <v>1</v>
      </c>
      <c r="J6" s="20">
        <f>B41</f>
        <v>400000</v>
      </c>
      <c r="K6" s="20" t="s">
        <v>117</v>
      </c>
    </row>
    <row r="7" spans="1:11" ht="15.5" x14ac:dyDescent="0.35">
      <c r="A7" s="3" t="s">
        <v>77</v>
      </c>
      <c r="B7" s="1">
        <v>14</v>
      </c>
      <c r="C7" s="20">
        <v>16000</v>
      </c>
      <c r="D7" s="1">
        <v>5</v>
      </c>
      <c r="E7" s="1">
        <v>9</v>
      </c>
      <c r="F7" s="20">
        <f t="shared" ref="F7:G18" si="0">C7*B7</f>
        <v>224000</v>
      </c>
      <c r="G7" s="20">
        <f t="shared" si="0"/>
        <v>80000</v>
      </c>
      <c r="H7" s="20">
        <f t="shared" ref="H7:H22" si="1">E7*C7</f>
        <v>144000</v>
      </c>
      <c r="I7" s="20" t="b">
        <f t="shared" ref="I7:I22" si="2">D7+E7=B7</f>
        <v>1</v>
      </c>
      <c r="J7" s="20">
        <v>308000</v>
      </c>
      <c r="K7" s="20" t="s">
        <v>107</v>
      </c>
    </row>
    <row r="8" spans="1:11" ht="15.5" x14ac:dyDescent="0.35">
      <c r="A8" s="3" t="s">
        <v>78</v>
      </c>
      <c r="B8" s="1">
        <v>66</v>
      </c>
      <c r="C8" s="20">
        <v>17500</v>
      </c>
      <c r="D8" s="1">
        <v>35</v>
      </c>
      <c r="E8" s="1">
        <v>31</v>
      </c>
      <c r="F8" s="20">
        <f t="shared" si="0"/>
        <v>1155000</v>
      </c>
      <c r="G8" s="20">
        <f t="shared" si="0"/>
        <v>612500</v>
      </c>
      <c r="H8" s="20">
        <f t="shared" si="1"/>
        <v>542500</v>
      </c>
      <c r="I8" s="20" t="b">
        <f t="shared" si="2"/>
        <v>1</v>
      </c>
      <c r="J8" s="20">
        <v>30000</v>
      </c>
      <c r="K8" s="20" t="s">
        <v>362</v>
      </c>
    </row>
    <row r="9" spans="1:11" ht="15.5" x14ac:dyDescent="0.35">
      <c r="A9" s="3" t="s">
        <v>79</v>
      </c>
      <c r="B9" s="1">
        <v>26</v>
      </c>
      <c r="C9" s="20">
        <v>18500</v>
      </c>
      <c r="D9" s="1">
        <v>11</v>
      </c>
      <c r="E9" s="1">
        <v>15</v>
      </c>
      <c r="F9" s="20">
        <f t="shared" si="0"/>
        <v>481000</v>
      </c>
      <c r="G9" s="20">
        <f t="shared" si="0"/>
        <v>203500</v>
      </c>
      <c r="H9" s="20">
        <f t="shared" si="1"/>
        <v>277500</v>
      </c>
      <c r="I9" s="20" t="b">
        <f t="shared" si="2"/>
        <v>1</v>
      </c>
      <c r="J9" s="20">
        <v>13000</v>
      </c>
      <c r="K9" s="20" t="s">
        <v>107</v>
      </c>
    </row>
    <row r="10" spans="1:11" ht="15.5" x14ac:dyDescent="0.35">
      <c r="A10" s="3" t="s">
        <v>80</v>
      </c>
      <c r="B10" s="1"/>
      <c r="C10" s="20">
        <v>18500</v>
      </c>
      <c r="D10" s="1"/>
      <c r="E10" s="1"/>
      <c r="F10" s="20">
        <f t="shared" si="0"/>
        <v>0</v>
      </c>
      <c r="G10" s="20">
        <f t="shared" si="0"/>
        <v>0</v>
      </c>
      <c r="H10" s="20">
        <f t="shared" si="1"/>
        <v>0</v>
      </c>
      <c r="I10" s="20" t="b">
        <f t="shared" si="2"/>
        <v>1</v>
      </c>
      <c r="J10" s="20"/>
      <c r="K10" s="20"/>
    </row>
    <row r="11" spans="1:11" ht="15.5" x14ac:dyDescent="0.35">
      <c r="A11" s="3" t="s">
        <v>81</v>
      </c>
      <c r="B11" s="1"/>
      <c r="C11" s="20">
        <v>23000</v>
      </c>
      <c r="D11" s="1"/>
      <c r="E11" s="1"/>
      <c r="F11" s="20">
        <f t="shared" si="0"/>
        <v>0</v>
      </c>
      <c r="G11" s="20">
        <f t="shared" si="0"/>
        <v>0</v>
      </c>
      <c r="H11" s="20">
        <f t="shared" si="1"/>
        <v>0</v>
      </c>
      <c r="I11" s="20" t="b">
        <f t="shared" si="2"/>
        <v>1</v>
      </c>
      <c r="J11" s="20"/>
      <c r="K11" s="20"/>
    </row>
    <row r="12" spans="1:11" ht="15.5" x14ac:dyDescent="0.35">
      <c r="A12" s="3" t="s">
        <v>82</v>
      </c>
      <c r="B12" s="1">
        <v>31</v>
      </c>
      <c r="C12" s="20">
        <v>18000</v>
      </c>
      <c r="D12" s="1">
        <v>7</v>
      </c>
      <c r="E12" s="1">
        <v>24</v>
      </c>
      <c r="F12" s="20">
        <f t="shared" si="0"/>
        <v>558000</v>
      </c>
      <c r="G12" s="20">
        <f t="shared" si="0"/>
        <v>126000</v>
      </c>
      <c r="H12" s="20">
        <f t="shared" si="1"/>
        <v>432000</v>
      </c>
      <c r="I12" s="20" t="b">
        <f t="shared" si="2"/>
        <v>1</v>
      </c>
      <c r="J12" s="20"/>
      <c r="K12" s="20"/>
    </row>
    <row r="13" spans="1:11" ht="15.5" x14ac:dyDescent="0.35">
      <c r="A13" s="3" t="s">
        <v>83</v>
      </c>
      <c r="B13" s="1"/>
      <c r="C13" s="20">
        <v>18000</v>
      </c>
      <c r="D13" s="1"/>
      <c r="E13" s="1"/>
      <c r="F13" s="20">
        <f t="shared" si="0"/>
        <v>0</v>
      </c>
      <c r="G13" s="20">
        <f t="shared" si="0"/>
        <v>0</v>
      </c>
      <c r="H13" s="20">
        <f t="shared" si="1"/>
        <v>0</v>
      </c>
      <c r="I13" s="20" t="b">
        <f t="shared" si="2"/>
        <v>1</v>
      </c>
      <c r="J13" s="20"/>
      <c r="K13" s="20"/>
    </row>
    <row r="14" spans="1:11" ht="15.5" x14ac:dyDescent="0.35">
      <c r="A14" s="3" t="s">
        <v>84</v>
      </c>
      <c r="B14" s="1"/>
      <c r="C14" s="20">
        <v>18500</v>
      </c>
      <c r="D14" s="1"/>
      <c r="E14" s="1"/>
      <c r="F14" s="20">
        <f t="shared" si="0"/>
        <v>0</v>
      </c>
      <c r="G14" s="20">
        <f t="shared" si="0"/>
        <v>0</v>
      </c>
      <c r="H14" s="20">
        <f t="shared" si="1"/>
        <v>0</v>
      </c>
      <c r="I14" s="20" t="b">
        <f t="shared" si="2"/>
        <v>1</v>
      </c>
      <c r="J14" s="20"/>
      <c r="K14" s="20"/>
    </row>
    <row r="15" spans="1:11" ht="15.5" x14ac:dyDescent="0.35">
      <c r="A15" s="3" t="s">
        <v>85</v>
      </c>
      <c r="B15" s="1"/>
      <c r="C15" s="20">
        <v>18500</v>
      </c>
      <c r="D15" s="1"/>
      <c r="E15" s="1"/>
      <c r="F15" s="20">
        <f t="shared" si="0"/>
        <v>0</v>
      </c>
      <c r="G15" s="20">
        <f t="shared" si="0"/>
        <v>0</v>
      </c>
      <c r="H15" s="20">
        <f t="shared" si="1"/>
        <v>0</v>
      </c>
      <c r="I15" s="20" t="b">
        <f t="shared" si="2"/>
        <v>1</v>
      </c>
      <c r="J15" s="20"/>
      <c r="K15" s="20"/>
    </row>
    <row r="16" spans="1:11" ht="15.5" x14ac:dyDescent="0.35">
      <c r="A16" s="3" t="s">
        <v>86</v>
      </c>
      <c r="B16" s="1">
        <v>7</v>
      </c>
      <c r="C16" s="20">
        <v>18500</v>
      </c>
      <c r="D16" s="1">
        <v>3</v>
      </c>
      <c r="E16" s="1">
        <v>4</v>
      </c>
      <c r="F16" s="20">
        <f t="shared" si="0"/>
        <v>129500</v>
      </c>
      <c r="G16" s="20">
        <f t="shared" si="0"/>
        <v>55500</v>
      </c>
      <c r="H16" s="20">
        <f t="shared" si="1"/>
        <v>74000</v>
      </c>
      <c r="I16" s="20" t="b">
        <f t="shared" si="2"/>
        <v>1</v>
      </c>
      <c r="J16" s="20"/>
      <c r="K16" s="20"/>
    </row>
    <row r="17" spans="1:11" ht="15.5" x14ac:dyDescent="0.35">
      <c r="A17" s="3" t="s">
        <v>87</v>
      </c>
      <c r="B17" s="1"/>
      <c r="C17" s="20">
        <v>18500</v>
      </c>
      <c r="D17" s="1"/>
      <c r="E17" s="1"/>
      <c r="F17" s="20">
        <f t="shared" si="0"/>
        <v>0</v>
      </c>
      <c r="G17" s="20">
        <f t="shared" si="0"/>
        <v>0</v>
      </c>
      <c r="H17" s="20">
        <f t="shared" si="1"/>
        <v>0</v>
      </c>
      <c r="I17" s="20" t="b">
        <f t="shared" si="2"/>
        <v>1</v>
      </c>
      <c r="J17" s="20"/>
      <c r="K17" s="20"/>
    </row>
    <row r="18" spans="1:11" ht="15.5" x14ac:dyDescent="0.35">
      <c r="A18" s="3" t="s">
        <v>88</v>
      </c>
      <c r="B18" s="1">
        <v>13</v>
      </c>
      <c r="C18" s="20">
        <v>18500</v>
      </c>
      <c r="D18" s="1">
        <v>8</v>
      </c>
      <c r="E18" s="1">
        <v>5</v>
      </c>
      <c r="F18" s="20">
        <f t="shared" si="0"/>
        <v>240500</v>
      </c>
      <c r="G18" s="20">
        <f t="shared" si="0"/>
        <v>148000</v>
      </c>
      <c r="H18" s="20">
        <f t="shared" si="1"/>
        <v>92500</v>
      </c>
      <c r="I18" s="20" t="b">
        <f t="shared" si="2"/>
        <v>1</v>
      </c>
      <c r="J18" s="20"/>
      <c r="K18" s="20"/>
    </row>
    <row r="19" spans="1:11" ht="15.5" x14ac:dyDescent="0.35">
      <c r="A19" s="19" t="s">
        <v>89</v>
      </c>
      <c r="B19" s="1"/>
      <c r="C19" s="20"/>
      <c r="D19" s="1"/>
      <c r="E19" s="1"/>
      <c r="F19" s="20"/>
      <c r="G19" s="20"/>
      <c r="H19" s="20">
        <f t="shared" si="1"/>
        <v>0</v>
      </c>
      <c r="I19" s="20" t="b">
        <f t="shared" si="2"/>
        <v>1</v>
      </c>
      <c r="J19" s="20"/>
      <c r="K19" s="20"/>
    </row>
    <row r="20" spans="1:11" ht="15.5" x14ac:dyDescent="0.35">
      <c r="A20" s="3" t="s">
        <v>92</v>
      </c>
      <c r="B20" s="1">
        <v>31</v>
      </c>
      <c r="C20" s="20">
        <v>21500</v>
      </c>
      <c r="D20" s="1">
        <v>14</v>
      </c>
      <c r="E20" s="1">
        <v>17</v>
      </c>
      <c r="F20" s="20">
        <f t="shared" ref="F20:G22" si="3">C20*B20</f>
        <v>666500</v>
      </c>
      <c r="G20" s="20">
        <f t="shared" si="3"/>
        <v>301000</v>
      </c>
      <c r="H20" s="20">
        <f t="shared" si="1"/>
        <v>365500</v>
      </c>
      <c r="I20" s="20" t="b">
        <f t="shared" si="2"/>
        <v>1</v>
      </c>
      <c r="J20" s="20"/>
      <c r="K20" s="20"/>
    </row>
    <row r="21" spans="1:11" ht="15.5" x14ac:dyDescent="0.35">
      <c r="A21" s="3" t="s">
        <v>93</v>
      </c>
      <c r="B21" s="1"/>
      <c r="C21" s="20">
        <v>21500</v>
      </c>
      <c r="D21" s="1"/>
      <c r="E21" s="1"/>
      <c r="F21" s="20">
        <f t="shared" si="3"/>
        <v>0</v>
      </c>
      <c r="G21" s="20">
        <f t="shared" si="3"/>
        <v>0</v>
      </c>
      <c r="H21" s="20">
        <f t="shared" si="1"/>
        <v>0</v>
      </c>
      <c r="I21" s="20" t="b">
        <f t="shared" si="2"/>
        <v>1</v>
      </c>
      <c r="J21" s="20"/>
      <c r="K21" s="20"/>
    </row>
    <row r="22" spans="1:11" ht="15.5" x14ac:dyDescent="0.35">
      <c r="A22" s="3" t="s">
        <v>94</v>
      </c>
      <c r="B22" s="1">
        <v>25</v>
      </c>
      <c r="C22" s="20">
        <v>21500</v>
      </c>
      <c r="D22" s="1">
        <v>15</v>
      </c>
      <c r="E22" s="1">
        <v>10</v>
      </c>
      <c r="F22" s="20">
        <f t="shared" si="3"/>
        <v>537500</v>
      </c>
      <c r="G22" s="20">
        <f t="shared" si="3"/>
        <v>322500</v>
      </c>
      <c r="H22" s="20">
        <f t="shared" si="1"/>
        <v>215000</v>
      </c>
      <c r="I22" s="20" t="b">
        <f t="shared" si="2"/>
        <v>1</v>
      </c>
      <c r="J22" s="20"/>
      <c r="K22" s="20"/>
    </row>
    <row r="23" spans="1:11" ht="15.5" x14ac:dyDescent="0.35">
      <c r="A23" s="19"/>
      <c r="B23" s="22">
        <f>SUM(B6:B22)</f>
        <v>348</v>
      </c>
      <c r="C23" s="20"/>
      <c r="D23" s="1"/>
      <c r="E23" s="1"/>
      <c r="F23" s="23">
        <f>SUM(F6:F22)</f>
        <v>6354500</v>
      </c>
      <c r="G23" s="23">
        <f>SUM(G6:G22)</f>
        <v>3021500</v>
      </c>
      <c r="H23" s="23">
        <f>SUM(H6:H22)</f>
        <v>3333000</v>
      </c>
      <c r="I23" s="23"/>
      <c r="J23" s="23">
        <f>SUM(J6:J22)</f>
        <v>751000</v>
      </c>
      <c r="K23" s="23">
        <f>H23-J23</f>
        <v>2582000</v>
      </c>
    </row>
    <row r="24" spans="1:11" ht="15.5" x14ac:dyDescent="0.35">
      <c r="A24" s="19" t="s">
        <v>95</v>
      </c>
      <c r="B24" s="1"/>
      <c r="C24" s="20"/>
      <c r="D24" s="1"/>
      <c r="E24" s="1"/>
      <c r="F24" s="20"/>
      <c r="G24" s="20"/>
      <c r="H24" s="20" t="s">
        <v>192</v>
      </c>
      <c r="I24" s="20"/>
      <c r="J24" s="20"/>
      <c r="K24" s="20"/>
    </row>
    <row r="25" spans="1:11" ht="15.5" x14ac:dyDescent="0.35">
      <c r="A25" s="3" t="s">
        <v>96</v>
      </c>
      <c r="B25" s="1"/>
      <c r="C25" s="20">
        <v>3000</v>
      </c>
      <c r="D25" s="1"/>
      <c r="E25" s="20"/>
      <c r="F25" s="20">
        <f t="shared" ref="F25:F28" si="4">C25*B25</f>
        <v>0</v>
      </c>
      <c r="G25" s="20"/>
      <c r="H25" s="20"/>
      <c r="I25" s="20"/>
      <c r="J25" s="20"/>
      <c r="K25" s="20"/>
    </row>
    <row r="26" spans="1:11" ht="15.5" x14ac:dyDescent="0.35">
      <c r="A26" s="3" t="s">
        <v>97</v>
      </c>
      <c r="B26" s="1"/>
      <c r="C26" s="20">
        <v>2500</v>
      </c>
      <c r="D26" s="1"/>
      <c r="E26" s="1"/>
      <c r="F26" s="20">
        <f t="shared" si="4"/>
        <v>0</v>
      </c>
      <c r="G26" s="20"/>
      <c r="H26" s="20"/>
      <c r="I26" s="20"/>
      <c r="J26" s="20"/>
      <c r="K26" s="20"/>
    </row>
    <row r="27" spans="1:11" ht="15.5" x14ac:dyDescent="0.35">
      <c r="A27" s="3" t="s">
        <v>98</v>
      </c>
      <c r="B27" s="1"/>
      <c r="C27" s="20">
        <v>1800</v>
      </c>
      <c r="D27" s="1"/>
      <c r="E27" s="1"/>
      <c r="F27" s="20">
        <f t="shared" si="4"/>
        <v>0</v>
      </c>
      <c r="G27" s="20"/>
      <c r="H27" s="20"/>
      <c r="I27" s="20"/>
      <c r="J27" s="20"/>
      <c r="K27" s="20"/>
    </row>
    <row r="28" spans="1:11" ht="15.5" x14ac:dyDescent="0.35">
      <c r="A28" s="3" t="s">
        <v>99</v>
      </c>
      <c r="B28" s="1">
        <v>3</v>
      </c>
      <c r="C28" s="20">
        <v>3500</v>
      </c>
      <c r="D28" s="1">
        <v>1</v>
      </c>
      <c r="E28" s="1">
        <v>2</v>
      </c>
      <c r="F28" s="20">
        <f t="shared" si="4"/>
        <v>10500</v>
      </c>
      <c r="G28" s="20"/>
      <c r="H28" s="20"/>
      <c r="I28" s="20"/>
      <c r="J28" s="20"/>
      <c r="K28" s="20"/>
    </row>
    <row r="29" spans="1:11" ht="15.5" x14ac:dyDescent="0.35">
      <c r="A29" s="18"/>
      <c r="F29" s="21"/>
    </row>
    <row r="30" spans="1:11" ht="15.5" x14ac:dyDescent="0.35">
      <c r="A30" s="24" t="s">
        <v>108</v>
      </c>
      <c r="K30" s="21"/>
    </row>
    <row r="31" spans="1:11" ht="15.5" x14ac:dyDescent="0.35">
      <c r="A31" s="18" t="s">
        <v>114</v>
      </c>
      <c r="B31" s="67">
        <v>40000</v>
      </c>
    </row>
    <row r="32" spans="1:11" ht="15.5" x14ac:dyDescent="0.35">
      <c r="A32" s="18" t="s">
        <v>112</v>
      </c>
      <c r="B32" s="67">
        <v>40000</v>
      </c>
    </row>
    <row r="33" spans="1:11" ht="15.5" x14ac:dyDescent="0.35">
      <c r="A33" s="18" t="s">
        <v>309</v>
      </c>
      <c r="B33" s="67">
        <v>60000</v>
      </c>
    </row>
    <row r="34" spans="1:11" ht="15.5" x14ac:dyDescent="0.35">
      <c r="A34" s="18" t="s">
        <v>110</v>
      </c>
      <c r="B34" s="67">
        <v>40000</v>
      </c>
    </row>
    <row r="35" spans="1:11" ht="15.5" x14ac:dyDescent="0.35">
      <c r="A35" s="18" t="s">
        <v>111</v>
      </c>
      <c r="B35" s="67">
        <v>40000</v>
      </c>
    </row>
    <row r="36" spans="1:11" ht="15.5" x14ac:dyDescent="0.35">
      <c r="A36" s="18" t="s">
        <v>196</v>
      </c>
      <c r="B36" s="67">
        <v>40000</v>
      </c>
    </row>
    <row r="37" spans="1:11" ht="15.5" x14ac:dyDescent="0.35">
      <c r="A37" s="18" t="s">
        <v>113</v>
      </c>
      <c r="B37" s="67">
        <v>40000</v>
      </c>
    </row>
    <row r="38" spans="1:11" ht="15.5" x14ac:dyDescent="0.35">
      <c r="A38" s="18" t="s">
        <v>209</v>
      </c>
      <c r="B38" s="67">
        <v>40000</v>
      </c>
    </row>
    <row r="39" spans="1:11" ht="15.5" x14ac:dyDescent="0.35">
      <c r="A39" s="18" t="s">
        <v>115</v>
      </c>
      <c r="B39" s="67">
        <v>60000</v>
      </c>
    </row>
    <row r="40" spans="1:11" ht="15.5" x14ac:dyDescent="0.35">
      <c r="A40" s="18" t="s">
        <v>109</v>
      </c>
      <c r="B40" s="67"/>
      <c r="C40" t="s">
        <v>255</v>
      </c>
    </row>
    <row r="41" spans="1:11" ht="15.5" x14ac:dyDescent="0.35">
      <c r="A41" s="24" t="s">
        <v>4</v>
      </c>
      <c r="B41" s="75">
        <f>SUM(B31:B40)</f>
        <v>400000</v>
      </c>
    </row>
    <row r="42" spans="1:11" ht="15.5" x14ac:dyDescent="0.35">
      <c r="A42" s="24"/>
      <c r="B42" s="17"/>
    </row>
    <row r="43" spans="1:11" ht="15.5" x14ac:dyDescent="0.35">
      <c r="A43" s="24"/>
      <c r="B43" s="17"/>
    </row>
    <row r="45" spans="1:11" ht="18.5" x14ac:dyDescent="0.45">
      <c r="A45" s="150" t="s">
        <v>1</v>
      </c>
      <c r="B45" s="150"/>
      <c r="C45" s="150"/>
      <c r="D45" s="150"/>
      <c r="E45" s="150"/>
      <c r="F45" s="150"/>
      <c r="G45" s="150"/>
      <c r="H45" s="150"/>
      <c r="I45" s="150"/>
      <c r="J45" s="150"/>
      <c r="K45" s="150"/>
    </row>
    <row r="46" spans="1:11" ht="18.5" x14ac:dyDescent="0.45">
      <c r="A46" s="150" t="s">
        <v>74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</row>
    <row r="47" spans="1:11" ht="18.5" x14ac:dyDescent="0.45">
      <c r="A47" s="149">
        <v>46084</v>
      </c>
      <c r="B47" s="149"/>
      <c r="C47" s="149"/>
      <c r="D47" s="149"/>
      <c r="E47" s="149"/>
      <c r="F47" s="149"/>
      <c r="G47" s="149"/>
      <c r="H47" s="149"/>
      <c r="I47" s="149"/>
      <c r="J47" s="149"/>
      <c r="K47" s="149"/>
    </row>
    <row r="48" spans="1:11" ht="18.5" x14ac:dyDescent="0.45">
      <c r="A48" s="150"/>
      <c r="B48" s="150"/>
      <c r="C48" s="150"/>
      <c r="D48" s="150"/>
      <c r="E48" s="150"/>
      <c r="F48" s="150"/>
      <c r="G48" s="150"/>
      <c r="H48" s="150"/>
      <c r="I48" s="150"/>
      <c r="J48" s="150"/>
      <c r="K48" s="150"/>
    </row>
    <row r="49" spans="1:11" ht="18.5" x14ac:dyDescent="0.45">
      <c r="A49" s="2" t="s">
        <v>75</v>
      </c>
      <c r="B49" s="2" t="s">
        <v>3</v>
      </c>
      <c r="C49" s="2" t="s">
        <v>100</v>
      </c>
      <c r="D49" s="2" t="s">
        <v>90</v>
      </c>
      <c r="E49" s="2" t="s">
        <v>91</v>
      </c>
      <c r="F49" s="2" t="s">
        <v>4</v>
      </c>
      <c r="G49" s="2" t="s">
        <v>101</v>
      </c>
      <c r="H49" s="2" t="s">
        <v>104</v>
      </c>
      <c r="I49" s="2"/>
      <c r="J49" s="2" t="s">
        <v>105</v>
      </c>
      <c r="K49" s="2" t="s">
        <v>106</v>
      </c>
    </row>
    <row r="50" spans="1:11" ht="15.5" x14ac:dyDescent="0.35">
      <c r="A50" s="3" t="s">
        <v>76</v>
      </c>
      <c r="B50" s="1">
        <v>100</v>
      </c>
      <c r="C50" s="20">
        <v>17500</v>
      </c>
      <c r="D50" s="1">
        <v>65</v>
      </c>
      <c r="E50" s="1">
        <v>35</v>
      </c>
      <c r="F50" s="20">
        <f>C50*B50</f>
        <v>1750000</v>
      </c>
      <c r="G50" s="20">
        <f>D50*C50</f>
        <v>1137500</v>
      </c>
      <c r="H50" s="20">
        <f>E50*C50</f>
        <v>612500</v>
      </c>
      <c r="I50" s="20" t="b">
        <f>D50+E50=B50</f>
        <v>1</v>
      </c>
      <c r="J50" s="20">
        <f>B85</f>
        <v>440000</v>
      </c>
      <c r="K50" s="20" t="s">
        <v>117</v>
      </c>
    </row>
    <row r="51" spans="1:11" ht="15.5" x14ac:dyDescent="0.35">
      <c r="A51" s="3" t="s">
        <v>77</v>
      </c>
      <c r="B51" s="1">
        <v>9</v>
      </c>
      <c r="C51" s="20">
        <v>16000</v>
      </c>
      <c r="D51" s="1">
        <v>5</v>
      </c>
      <c r="E51" s="1">
        <v>4</v>
      </c>
      <c r="F51" s="20">
        <f t="shared" ref="F51:F62" si="5">C51*B51</f>
        <v>144000</v>
      </c>
      <c r="G51" s="20">
        <f t="shared" ref="G51:G62" si="6">D51*C51</f>
        <v>80000</v>
      </c>
      <c r="H51" s="20">
        <f t="shared" ref="H51:H66" si="7">E51*C51</f>
        <v>64000</v>
      </c>
      <c r="I51" s="20" t="b">
        <f t="shared" ref="I51:I66" si="8">D51+E51=B51</f>
        <v>1</v>
      </c>
      <c r="J51" s="20">
        <v>308000</v>
      </c>
      <c r="K51" s="20" t="s">
        <v>107</v>
      </c>
    </row>
    <row r="52" spans="1:11" ht="15.5" x14ac:dyDescent="0.35">
      <c r="A52" s="3" t="s">
        <v>78</v>
      </c>
      <c r="B52" s="1">
        <v>61</v>
      </c>
      <c r="C52" s="20">
        <v>17500</v>
      </c>
      <c r="D52" s="1">
        <v>29</v>
      </c>
      <c r="E52" s="1">
        <v>32</v>
      </c>
      <c r="F52" s="20">
        <f t="shared" si="5"/>
        <v>1067500</v>
      </c>
      <c r="G52" s="20">
        <f t="shared" si="6"/>
        <v>507500</v>
      </c>
      <c r="H52" s="20">
        <f t="shared" si="7"/>
        <v>560000</v>
      </c>
      <c r="I52" s="20" t="b">
        <f t="shared" si="8"/>
        <v>1</v>
      </c>
      <c r="J52" s="20">
        <v>8000</v>
      </c>
      <c r="K52" s="20" t="s">
        <v>363</v>
      </c>
    </row>
    <row r="53" spans="1:11" ht="15.5" x14ac:dyDescent="0.35">
      <c r="A53" s="3" t="s">
        <v>79</v>
      </c>
      <c r="B53" s="1">
        <v>27</v>
      </c>
      <c r="C53" s="20">
        <v>18500</v>
      </c>
      <c r="D53" s="1">
        <v>12</v>
      </c>
      <c r="E53" s="1">
        <v>15</v>
      </c>
      <c r="F53" s="20">
        <f t="shared" si="5"/>
        <v>499500</v>
      </c>
      <c r="G53" s="20">
        <f t="shared" si="6"/>
        <v>222000</v>
      </c>
      <c r="H53" s="20">
        <f t="shared" si="7"/>
        <v>277500</v>
      </c>
      <c r="I53" s="20" t="b">
        <f t="shared" si="8"/>
        <v>1</v>
      </c>
      <c r="J53" s="20"/>
      <c r="K53" s="20"/>
    </row>
    <row r="54" spans="1:11" ht="15.5" x14ac:dyDescent="0.35">
      <c r="A54" s="3" t="s">
        <v>80</v>
      </c>
      <c r="B54" s="1"/>
      <c r="C54" s="20">
        <v>18500</v>
      </c>
      <c r="D54" s="1"/>
      <c r="E54" s="1"/>
      <c r="F54" s="20">
        <f t="shared" si="5"/>
        <v>0</v>
      </c>
      <c r="G54" s="20">
        <f t="shared" si="6"/>
        <v>0</v>
      </c>
      <c r="H54" s="20">
        <f t="shared" si="7"/>
        <v>0</v>
      </c>
      <c r="I54" s="20" t="b">
        <f t="shared" si="8"/>
        <v>1</v>
      </c>
      <c r="J54" s="20"/>
      <c r="K54" s="20"/>
    </row>
    <row r="55" spans="1:11" ht="15.5" x14ac:dyDescent="0.35">
      <c r="A55" s="3" t="s">
        <v>81</v>
      </c>
      <c r="B55" s="1"/>
      <c r="C55" s="20">
        <v>23000</v>
      </c>
      <c r="D55" s="1"/>
      <c r="E55" s="1"/>
      <c r="F55" s="20">
        <f t="shared" si="5"/>
        <v>0</v>
      </c>
      <c r="G55" s="20">
        <f t="shared" si="6"/>
        <v>0</v>
      </c>
      <c r="H55" s="20">
        <f t="shared" si="7"/>
        <v>0</v>
      </c>
      <c r="I55" s="20" t="b">
        <f t="shared" si="8"/>
        <v>1</v>
      </c>
      <c r="J55" s="20"/>
      <c r="K55" s="20"/>
    </row>
    <row r="56" spans="1:11" ht="15.5" x14ac:dyDescent="0.35">
      <c r="A56" s="3" t="s">
        <v>82</v>
      </c>
      <c r="B56" s="1"/>
      <c r="C56" s="20">
        <v>18000</v>
      </c>
      <c r="D56" s="1"/>
      <c r="E56" s="1"/>
      <c r="F56" s="20">
        <f t="shared" si="5"/>
        <v>0</v>
      </c>
      <c r="G56" s="20">
        <f t="shared" si="6"/>
        <v>0</v>
      </c>
      <c r="H56" s="20">
        <f t="shared" si="7"/>
        <v>0</v>
      </c>
      <c r="I56" s="20" t="b">
        <f t="shared" si="8"/>
        <v>1</v>
      </c>
      <c r="J56" s="20"/>
      <c r="K56" s="20"/>
    </row>
    <row r="57" spans="1:11" ht="15.5" x14ac:dyDescent="0.35">
      <c r="A57" s="3" t="s">
        <v>83</v>
      </c>
      <c r="B57" s="1"/>
      <c r="C57" s="20">
        <v>18000</v>
      </c>
      <c r="D57" s="1"/>
      <c r="E57" s="1"/>
      <c r="F57" s="20">
        <f t="shared" si="5"/>
        <v>0</v>
      </c>
      <c r="G57" s="20">
        <f t="shared" si="6"/>
        <v>0</v>
      </c>
      <c r="H57" s="20">
        <f t="shared" si="7"/>
        <v>0</v>
      </c>
      <c r="I57" s="20" t="b">
        <f t="shared" si="8"/>
        <v>1</v>
      </c>
      <c r="J57" s="20"/>
      <c r="K57" s="20"/>
    </row>
    <row r="58" spans="1:11" ht="15.5" x14ac:dyDescent="0.35">
      <c r="A58" s="3" t="s">
        <v>84</v>
      </c>
      <c r="B58" s="1"/>
      <c r="C58" s="20">
        <v>18500</v>
      </c>
      <c r="D58" s="1"/>
      <c r="E58" s="1"/>
      <c r="F58" s="20">
        <f t="shared" si="5"/>
        <v>0</v>
      </c>
      <c r="G58" s="20">
        <f t="shared" si="6"/>
        <v>0</v>
      </c>
      <c r="H58" s="20">
        <f t="shared" si="7"/>
        <v>0</v>
      </c>
      <c r="I58" s="20" t="b">
        <f t="shared" si="8"/>
        <v>1</v>
      </c>
      <c r="J58" s="20"/>
      <c r="K58" s="20"/>
    </row>
    <row r="59" spans="1:11" ht="15.5" x14ac:dyDescent="0.35">
      <c r="A59" s="3" t="s">
        <v>85</v>
      </c>
      <c r="B59" s="1">
        <v>48</v>
      </c>
      <c r="C59" s="20">
        <v>18500</v>
      </c>
      <c r="D59" s="1">
        <v>15</v>
      </c>
      <c r="E59" s="1">
        <v>33</v>
      </c>
      <c r="F59" s="20">
        <f t="shared" si="5"/>
        <v>888000</v>
      </c>
      <c r="G59" s="20">
        <f t="shared" si="6"/>
        <v>277500</v>
      </c>
      <c r="H59" s="20">
        <f t="shared" si="7"/>
        <v>610500</v>
      </c>
      <c r="I59" s="20" t="b">
        <f t="shared" si="8"/>
        <v>1</v>
      </c>
      <c r="J59" s="20"/>
      <c r="K59" s="20"/>
    </row>
    <row r="60" spans="1:11" ht="15.5" x14ac:dyDescent="0.35">
      <c r="A60" s="3" t="s">
        <v>86</v>
      </c>
      <c r="B60" s="1"/>
      <c r="C60" s="20">
        <v>18500</v>
      </c>
      <c r="D60" s="1"/>
      <c r="E60" s="1"/>
      <c r="F60" s="20">
        <f t="shared" si="5"/>
        <v>0</v>
      </c>
      <c r="G60" s="20">
        <f t="shared" si="6"/>
        <v>0</v>
      </c>
      <c r="H60" s="20">
        <f t="shared" si="7"/>
        <v>0</v>
      </c>
      <c r="I60" s="20" t="b">
        <f t="shared" si="8"/>
        <v>1</v>
      </c>
      <c r="J60" s="20"/>
      <c r="K60" s="20"/>
    </row>
    <row r="61" spans="1:11" ht="15.5" x14ac:dyDescent="0.35">
      <c r="A61" s="3" t="s">
        <v>87</v>
      </c>
      <c r="B61" s="1">
        <v>12</v>
      </c>
      <c r="C61" s="20">
        <v>18500</v>
      </c>
      <c r="D61" s="1">
        <v>6</v>
      </c>
      <c r="E61" s="1">
        <v>6</v>
      </c>
      <c r="F61" s="20">
        <f t="shared" si="5"/>
        <v>222000</v>
      </c>
      <c r="G61" s="20">
        <f t="shared" si="6"/>
        <v>111000</v>
      </c>
      <c r="H61" s="20">
        <f t="shared" si="7"/>
        <v>111000</v>
      </c>
      <c r="I61" s="20" t="b">
        <f t="shared" si="8"/>
        <v>1</v>
      </c>
      <c r="J61" s="20"/>
      <c r="K61" s="20"/>
    </row>
    <row r="62" spans="1:11" ht="15.5" x14ac:dyDescent="0.35">
      <c r="A62" s="3" t="s">
        <v>88</v>
      </c>
      <c r="B62" s="1">
        <v>12</v>
      </c>
      <c r="C62" s="20">
        <v>18500</v>
      </c>
      <c r="D62" s="1">
        <v>4</v>
      </c>
      <c r="E62" s="1">
        <v>8</v>
      </c>
      <c r="F62" s="20">
        <f t="shared" si="5"/>
        <v>222000</v>
      </c>
      <c r="G62" s="20">
        <f t="shared" si="6"/>
        <v>74000</v>
      </c>
      <c r="H62" s="20">
        <f t="shared" si="7"/>
        <v>148000</v>
      </c>
      <c r="I62" s="20" t="b">
        <f t="shared" si="8"/>
        <v>1</v>
      </c>
      <c r="J62" s="20"/>
      <c r="K62" s="20"/>
    </row>
    <row r="63" spans="1:11" ht="15.5" x14ac:dyDescent="0.35">
      <c r="A63" s="19" t="s">
        <v>89</v>
      </c>
      <c r="B63" s="1"/>
      <c r="C63" s="20"/>
      <c r="D63" s="1"/>
      <c r="E63" s="1"/>
      <c r="F63" s="20"/>
      <c r="G63" s="20"/>
      <c r="H63" s="20">
        <f t="shared" si="7"/>
        <v>0</v>
      </c>
      <c r="I63" s="20" t="b">
        <f t="shared" si="8"/>
        <v>1</v>
      </c>
      <c r="J63" s="20"/>
      <c r="K63" s="20"/>
    </row>
    <row r="64" spans="1:11" ht="15.5" x14ac:dyDescent="0.35">
      <c r="A64" s="3" t="s">
        <v>92</v>
      </c>
      <c r="B64" s="1"/>
      <c r="C64" s="20">
        <v>21500</v>
      </c>
      <c r="D64" s="1"/>
      <c r="E64" s="1"/>
      <c r="F64" s="20">
        <f t="shared" ref="F64:F66" si="9">C64*B64</f>
        <v>0</v>
      </c>
      <c r="G64" s="20">
        <f t="shared" ref="G64:G66" si="10">D64*C64</f>
        <v>0</v>
      </c>
      <c r="H64" s="20">
        <f t="shared" si="7"/>
        <v>0</v>
      </c>
      <c r="I64" s="20" t="b">
        <f t="shared" si="8"/>
        <v>1</v>
      </c>
      <c r="J64" s="20"/>
      <c r="K64" s="20"/>
    </row>
    <row r="65" spans="1:11" ht="15.5" x14ac:dyDescent="0.35">
      <c r="A65" s="3" t="s">
        <v>93</v>
      </c>
      <c r="B65" s="1">
        <v>28</v>
      </c>
      <c r="C65" s="20">
        <v>21500</v>
      </c>
      <c r="D65" s="1">
        <v>8</v>
      </c>
      <c r="E65" s="1">
        <v>20</v>
      </c>
      <c r="F65" s="20">
        <f t="shared" si="9"/>
        <v>602000</v>
      </c>
      <c r="G65" s="20">
        <f t="shared" si="10"/>
        <v>172000</v>
      </c>
      <c r="H65" s="20">
        <f t="shared" si="7"/>
        <v>430000</v>
      </c>
      <c r="I65" s="20" t="b">
        <f t="shared" si="8"/>
        <v>1</v>
      </c>
      <c r="J65" s="20"/>
      <c r="K65" s="20"/>
    </row>
    <row r="66" spans="1:11" ht="15.5" x14ac:dyDescent="0.35">
      <c r="A66" s="3" t="s">
        <v>94</v>
      </c>
      <c r="B66" s="1">
        <v>15</v>
      </c>
      <c r="C66" s="20">
        <v>21500</v>
      </c>
      <c r="D66" s="1">
        <v>6</v>
      </c>
      <c r="E66" s="1">
        <v>9</v>
      </c>
      <c r="F66" s="20">
        <f t="shared" si="9"/>
        <v>322500</v>
      </c>
      <c r="G66" s="20">
        <f t="shared" si="10"/>
        <v>129000</v>
      </c>
      <c r="H66" s="20">
        <f t="shared" si="7"/>
        <v>193500</v>
      </c>
      <c r="I66" s="20" t="b">
        <f t="shared" si="8"/>
        <v>1</v>
      </c>
      <c r="J66" s="20"/>
      <c r="K66" s="20"/>
    </row>
    <row r="67" spans="1:11" ht="15.5" x14ac:dyDescent="0.35">
      <c r="A67" s="19"/>
      <c r="B67" s="22">
        <f>SUM(B50:B66)</f>
        <v>312</v>
      </c>
      <c r="C67" s="20"/>
      <c r="D67" s="1"/>
      <c r="E67" s="1"/>
      <c r="F67" s="23">
        <f>SUM(F50:F66)</f>
        <v>5717500</v>
      </c>
      <c r="G67" s="23">
        <f>SUM(G50:G66)</f>
        <v>2710500</v>
      </c>
      <c r="H67" s="23">
        <f>SUM(H50:H66)</f>
        <v>3007000</v>
      </c>
      <c r="I67" s="23"/>
      <c r="J67" s="23">
        <f>SUM(J50:J66)</f>
        <v>756000</v>
      </c>
      <c r="K67" s="23">
        <f>H67-J67</f>
        <v>2251000</v>
      </c>
    </row>
    <row r="68" spans="1:11" ht="15.5" x14ac:dyDescent="0.35">
      <c r="A68" s="19" t="s">
        <v>95</v>
      </c>
      <c r="B68" s="1"/>
      <c r="C68" s="20"/>
      <c r="D68" s="1"/>
      <c r="E68" s="1"/>
      <c r="F68" s="20"/>
      <c r="G68" s="20"/>
      <c r="H68" s="20" t="s">
        <v>192</v>
      </c>
      <c r="I68" s="20"/>
      <c r="J68" s="20"/>
      <c r="K68" s="20"/>
    </row>
    <row r="69" spans="1:11" ht="15.5" x14ac:dyDescent="0.35">
      <c r="A69" s="3" t="s">
        <v>96</v>
      </c>
      <c r="B69" s="1"/>
      <c r="C69" s="20">
        <v>3000</v>
      </c>
      <c r="D69" s="1"/>
      <c r="E69" s="20"/>
      <c r="F69" s="20">
        <f t="shared" ref="F69:F72" si="11">C69*B69</f>
        <v>0</v>
      </c>
      <c r="G69" s="20"/>
      <c r="H69" s="20"/>
      <c r="I69" s="20"/>
      <c r="J69" s="20"/>
      <c r="K69" s="20"/>
    </row>
    <row r="70" spans="1:11" ht="15.5" x14ac:dyDescent="0.35">
      <c r="A70" s="3" t="s">
        <v>97</v>
      </c>
      <c r="B70" s="1"/>
      <c r="C70" s="20">
        <v>2500</v>
      </c>
      <c r="D70" s="1"/>
      <c r="E70" s="1"/>
      <c r="F70" s="20">
        <f t="shared" si="11"/>
        <v>0</v>
      </c>
      <c r="G70" s="20"/>
      <c r="H70" s="20"/>
      <c r="I70" s="20"/>
      <c r="J70" s="20"/>
      <c r="K70" s="20"/>
    </row>
    <row r="71" spans="1:11" ht="15.5" x14ac:dyDescent="0.35">
      <c r="A71" s="3" t="s">
        <v>98</v>
      </c>
      <c r="B71" s="1"/>
      <c r="C71" s="20">
        <v>1800</v>
      </c>
      <c r="D71" s="1"/>
      <c r="E71" s="1"/>
      <c r="F71" s="20">
        <f t="shared" si="11"/>
        <v>0</v>
      </c>
      <c r="G71" s="20"/>
      <c r="H71" s="20"/>
      <c r="I71" s="20"/>
      <c r="J71" s="20"/>
      <c r="K71" s="20"/>
    </row>
    <row r="72" spans="1:11" ht="15.5" x14ac:dyDescent="0.35">
      <c r="A72" s="3" t="s">
        <v>99</v>
      </c>
      <c r="B72" s="1"/>
      <c r="C72" s="20">
        <v>3500</v>
      </c>
      <c r="D72" s="1"/>
      <c r="E72" s="1"/>
      <c r="F72" s="20">
        <f t="shared" si="11"/>
        <v>0</v>
      </c>
      <c r="G72" s="20"/>
      <c r="H72" s="20"/>
      <c r="I72" s="20"/>
      <c r="J72" s="20"/>
      <c r="K72" s="20"/>
    </row>
    <row r="73" spans="1:11" ht="15.5" x14ac:dyDescent="0.35">
      <c r="A73" s="18"/>
      <c r="F73" s="21"/>
    </row>
    <row r="74" spans="1:11" ht="15.5" x14ac:dyDescent="0.35">
      <c r="A74" s="24" t="s">
        <v>108</v>
      </c>
      <c r="K74" s="21"/>
    </row>
    <row r="75" spans="1:11" ht="15.5" x14ac:dyDescent="0.35">
      <c r="A75" s="18" t="s">
        <v>114</v>
      </c>
      <c r="B75" s="67">
        <v>40000</v>
      </c>
    </row>
    <row r="76" spans="1:11" ht="15.5" x14ac:dyDescent="0.35">
      <c r="A76" s="18" t="s">
        <v>112</v>
      </c>
      <c r="B76" s="67">
        <v>40000</v>
      </c>
    </row>
    <row r="77" spans="1:11" ht="15.5" x14ac:dyDescent="0.35">
      <c r="A77" s="18" t="s">
        <v>309</v>
      </c>
      <c r="B77" s="67">
        <v>60000</v>
      </c>
    </row>
    <row r="78" spans="1:11" ht="15.5" x14ac:dyDescent="0.35">
      <c r="A78" s="18" t="s">
        <v>110</v>
      </c>
      <c r="B78" s="67">
        <v>40000</v>
      </c>
    </row>
    <row r="79" spans="1:11" ht="15.5" x14ac:dyDescent="0.35">
      <c r="A79" s="18" t="s">
        <v>111</v>
      </c>
      <c r="B79" s="67">
        <v>40000</v>
      </c>
    </row>
    <row r="80" spans="1:11" ht="15.5" x14ac:dyDescent="0.35">
      <c r="A80" s="18" t="s">
        <v>196</v>
      </c>
      <c r="B80" s="67">
        <v>40000</v>
      </c>
    </row>
    <row r="81" spans="1:11" ht="15.5" x14ac:dyDescent="0.35">
      <c r="A81" s="18" t="s">
        <v>113</v>
      </c>
      <c r="B81" s="67">
        <v>40000</v>
      </c>
    </row>
    <row r="82" spans="1:11" ht="15.5" x14ac:dyDescent="0.35">
      <c r="A82" s="18" t="s">
        <v>209</v>
      </c>
      <c r="B82" s="67">
        <v>40000</v>
      </c>
    </row>
    <row r="83" spans="1:11" ht="15.5" x14ac:dyDescent="0.35">
      <c r="A83" s="18" t="s">
        <v>115</v>
      </c>
      <c r="B83" s="67">
        <v>60000</v>
      </c>
    </row>
    <row r="84" spans="1:11" ht="15.5" x14ac:dyDescent="0.35">
      <c r="A84" s="18" t="s">
        <v>109</v>
      </c>
      <c r="B84" s="67">
        <v>40000</v>
      </c>
    </row>
    <row r="85" spans="1:11" ht="15.5" x14ac:dyDescent="0.35">
      <c r="A85" s="24" t="s">
        <v>4</v>
      </c>
      <c r="B85" s="75">
        <f>SUM(B75:B84)</f>
        <v>440000</v>
      </c>
    </row>
    <row r="88" spans="1:11" ht="18.5" x14ac:dyDescent="0.45">
      <c r="A88" s="150" t="s">
        <v>1</v>
      </c>
      <c r="B88" s="150"/>
      <c r="C88" s="150"/>
      <c r="D88" s="150"/>
      <c r="E88" s="150"/>
      <c r="F88" s="150"/>
      <c r="G88" s="150"/>
      <c r="H88" s="150"/>
      <c r="I88" s="150"/>
      <c r="J88" s="150"/>
      <c r="K88" s="150"/>
    </row>
    <row r="89" spans="1:11" ht="18.5" x14ac:dyDescent="0.45">
      <c r="A89" s="150" t="s">
        <v>74</v>
      </c>
      <c r="B89" s="150"/>
      <c r="C89" s="150"/>
      <c r="D89" s="150"/>
      <c r="E89" s="150"/>
      <c r="F89" s="150"/>
      <c r="G89" s="150"/>
      <c r="H89" s="150"/>
      <c r="I89" s="150"/>
      <c r="J89" s="150"/>
      <c r="K89" s="150"/>
    </row>
    <row r="90" spans="1:11" ht="18.5" x14ac:dyDescent="0.45">
      <c r="A90" s="149">
        <v>46085</v>
      </c>
      <c r="B90" s="149"/>
      <c r="C90" s="149"/>
      <c r="D90" s="149"/>
      <c r="E90" s="149"/>
      <c r="F90" s="149"/>
      <c r="G90" s="149"/>
      <c r="H90" s="149"/>
      <c r="I90" s="149"/>
      <c r="J90" s="149"/>
      <c r="K90" s="149"/>
    </row>
    <row r="91" spans="1:11" ht="18.5" x14ac:dyDescent="0.45">
      <c r="A91" s="150"/>
      <c r="B91" s="150"/>
      <c r="C91" s="150"/>
      <c r="D91" s="150"/>
      <c r="E91" s="150"/>
      <c r="F91" s="150"/>
      <c r="G91" s="150"/>
      <c r="H91" s="150"/>
      <c r="I91" s="150"/>
      <c r="J91" s="150"/>
      <c r="K91" s="150"/>
    </row>
    <row r="92" spans="1:11" ht="18.5" x14ac:dyDescent="0.45">
      <c r="A92" s="2" t="s">
        <v>75</v>
      </c>
      <c r="B92" s="2" t="s">
        <v>3</v>
      </c>
      <c r="C92" s="2" t="s">
        <v>100</v>
      </c>
      <c r="D92" s="2" t="s">
        <v>90</v>
      </c>
      <c r="E92" s="2" t="s">
        <v>91</v>
      </c>
      <c r="F92" s="2" t="s">
        <v>4</v>
      </c>
      <c r="G92" s="2" t="s">
        <v>101</v>
      </c>
      <c r="H92" s="2" t="s">
        <v>104</v>
      </c>
      <c r="I92" s="2"/>
      <c r="J92" s="2" t="s">
        <v>105</v>
      </c>
      <c r="K92" s="2" t="s">
        <v>106</v>
      </c>
    </row>
    <row r="93" spans="1:11" ht="15.5" x14ac:dyDescent="0.35">
      <c r="A93" s="3" t="s">
        <v>76</v>
      </c>
      <c r="B93" s="1">
        <v>98</v>
      </c>
      <c r="C93" s="20">
        <v>17500</v>
      </c>
      <c r="D93" s="1">
        <v>50</v>
      </c>
      <c r="E93" s="1">
        <v>48</v>
      </c>
      <c r="F93" s="20">
        <f>C93*B93</f>
        <v>1715000</v>
      </c>
      <c r="G93" s="20">
        <f>D93*C93</f>
        <v>875000</v>
      </c>
      <c r="H93" s="20">
        <f>E93*C93</f>
        <v>840000</v>
      </c>
      <c r="I93" s="20" t="b">
        <f>D93+E93=B93</f>
        <v>1</v>
      </c>
      <c r="J93" s="20">
        <f>B128</f>
        <v>440000</v>
      </c>
      <c r="K93" s="20" t="s">
        <v>117</v>
      </c>
    </row>
    <row r="94" spans="1:11" ht="15.5" x14ac:dyDescent="0.35">
      <c r="A94" s="3" t="s">
        <v>77</v>
      </c>
      <c r="B94" s="1">
        <v>9</v>
      </c>
      <c r="C94" s="20">
        <v>16000</v>
      </c>
      <c r="D94" s="1">
        <v>3</v>
      </c>
      <c r="E94" s="1">
        <v>6</v>
      </c>
      <c r="F94" s="20">
        <f t="shared" ref="F94:F105" si="12">C94*B94</f>
        <v>144000</v>
      </c>
      <c r="G94" s="20">
        <f t="shared" ref="G94:G105" si="13">D94*C94</f>
        <v>48000</v>
      </c>
      <c r="H94" s="20">
        <f t="shared" ref="H94:H109" si="14">E94*C94</f>
        <v>96000</v>
      </c>
      <c r="I94" s="20" t="b">
        <f t="shared" ref="I94:I109" si="15">D94+E94=B94</f>
        <v>1</v>
      </c>
      <c r="J94" s="20">
        <v>135000</v>
      </c>
      <c r="K94" s="20" t="s">
        <v>364</v>
      </c>
    </row>
    <row r="95" spans="1:11" ht="15.5" x14ac:dyDescent="0.35">
      <c r="A95" s="3" t="s">
        <v>78</v>
      </c>
      <c r="B95" s="1">
        <v>49</v>
      </c>
      <c r="C95" s="20">
        <v>17500</v>
      </c>
      <c r="D95" s="1">
        <v>17</v>
      </c>
      <c r="E95" s="1">
        <v>32</v>
      </c>
      <c r="F95" s="20">
        <f t="shared" si="12"/>
        <v>857500</v>
      </c>
      <c r="G95" s="20">
        <f t="shared" si="13"/>
        <v>297500</v>
      </c>
      <c r="H95" s="20">
        <f t="shared" si="14"/>
        <v>560000</v>
      </c>
      <c r="I95" s="20" t="b">
        <f t="shared" si="15"/>
        <v>1</v>
      </c>
      <c r="J95" s="20">
        <v>30000</v>
      </c>
      <c r="K95" s="20" t="s">
        <v>365</v>
      </c>
    </row>
    <row r="96" spans="1:11" ht="15.5" x14ac:dyDescent="0.35">
      <c r="A96" s="3" t="s">
        <v>79</v>
      </c>
      <c r="B96" s="1"/>
      <c r="C96" s="20">
        <v>18500</v>
      </c>
      <c r="D96" s="1"/>
      <c r="E96" s="1"/>
      <c r="F96" s="20">
        <f t="shared" si="12"/>
        <v>0</v>
      </c>
      <c r="G96" s="20">
        <f t="shared" si="13"/>
        <v>0</v>
      </c>
      <c r="H96" s="20">
        <f t="shared" si="14"/>
        <v>0</v>
      </c>
      <c r="I96" s="20" t="b">
        <f t="shared" si="15"/>
        <v>1</v>
      </c>
      <c r="J96" s="20"/>
      <c r="K96" s="20"/>
    </row>
    <row r="97" spans="1:11" ht="15.5" x14ac:dyDescent="0.35">
      <c r="A97" s="3" t="s">
        <v>80</v>
      </c>
      <c r="B97" s="1">
        <v>44</v>
      </c>
      <c r="C97" s="20">
        <v>18500</v>
      </c>
      <c r="D97" s="1">
        <v>16</v>
      </c>
      <c r="E97" s="1">
        <v>28</v>
      </c>
      <c r="F97" s="20">
        <f t="shared" si="12"/>
        <v>814000</v>
      </c>
      <c r="G97" s="20">
        <f t="shared" si="13"/>
        <v>296000</v>
      </c>
      <c r="H97" s="20">
        <f t="shared" si="14"/>
        <v>518000</v>
      </c>
      <c r="I97" s="20" t="b">
        <f t="shared" si="15"/>
        <v>1</v>
      </c>
      <c r="J97" s="20"/>
      <c r="K97" s="20"/>
    </row>
    <row r="98" spans="1:11" ht="15.5" x14ac:dyDescent="0.35">
      <c r="A98" s="3" t="s">
        <v>81</v>
      </c>
      <c r="B98" s="1"/>
      <c r="C98" s="20">
        <v>23000</v>
      </c>
      <c r="D98" s="1"/>
      <c r="E98" s="1"/>
      <c r="F98" s="20">
        <f t="shared" si="12"/>
        <v>0</v>
      </c>
      <c r="G98" s="20">
        <f t="shared" si="13"/>
        <v>0</v>
      </c>
      <c r="H98" s="20">
        <f t="shared" si="14"/>
        <v>0</v>
      </c>
      <c r="I98" s="20" t="b">
        <f t="shared" si="15"/>
        <v>1</v>
      </c>
      <c r="J98" s="20"/>
      <c r="K98" s="20"/>
    </row>
    <row r="99" spans="1:11" ht="15.5" x14ac:dyDescent="0.35">
      <c r="A99" s="3" t="s">
        <v>82</v>
      </c>
      <c r="B99" s="1"/>
      <c r="C99" s="20">
        <v>18000</v>
      </c>
      <c r="D99" s="1"/>
      <c r="E99" s="1"/>
      <c r="F99" s="20">
        <f t="shared" si="12"/>
        <v>0</v>
      </c>
      <c r="G99" s="20">
        <f t="shared" si="13"/>
        <v>0</v>
      </c>
      <c r="H99" s="20">
        <f t="shared" si="14"/>
        <v>0</v>
      </c>
      <c r="I99" s="20" t="b">
        <f t="shared" si="15"/>
        <v>1</v>
      </c>
      <c r="J99" s="20"/>
      <c r="K99" s="20"/>
    </row>
    <row r="100" spans="1:11" ht="15.5" x14ac:dyDescent="0.35">
      <c r="A100" s="3" t="s">
        <v>83</v>
      </c>
      <c r="B100" s="1">
        <v>37</v>
      </c>
      <c r="C100" s="20">
        <v>18000</v>
      </c>
      <c r="D100" s="1">
        <v>11</v>
      </c>
      <c r="E100" s="1">
        <v>26</v>
      </c>
      <c r="F100" s="20">
        <f t="shared" si="12"/>
        <v>666000</v>
      </c>
      <c r="G100" s="20">
        <f t="shared" si="13"/>
        <v>198000</v>
      </c>
      <c r="H100" s="20">
        <f t="shared" si="14"/>
        <v>468000</v>
      </c>
      <c r="I100" s="20" t="b">
        <f t="shared" si="15"/>
        <v>1</v>
      </c>
      <c r="J100" s="20"/>
      <c r="K100" s="20"/>
    </row>
    <row r="101" spans="1:11" ht="15.5" x14ac:dyDescent="0.35">
      <c r="A101" s="3" t="s">
        <v>84</v>
      </c>
      <c r="B101" s="1"/>
      <c r="C101" s="20">
        <v>18500</v>
      </c>
      <c r="D101" s="1"/>
      <c r="E101" s="1"/>
      <c r="F101" s="20">
        <f t="shared" si="12"/>
        <v>0</v>
      </c>
      <c r="G101" s="20">
        <f t="shared" si="13"/>
        <v>0</v>
      </c>
      <c r="H101" s="20">
        <f t="shared" si="14"/>
        <v>0</v>
      </c>
      <c r="I101" s="20" t="b">
        <f t="shared" si="15"/>
        <v>1</v>
      </c>
      <c r="J101" s="20"/>
      <c r="K101" s="20"/>
    </row>
    <row r="102" spans="1:11" ht="15.5" x14ac:dyDescent="0.35">
      <c r="A102" s="3" t="s">
        <v>85</v>
      </c>
      <c r="B102" s="1"/>
      <c r="C102" s="20">
        <v>18500</v>
      </c>
      <c r="D102" s="1"/>
      <c r="E102" s="1"/>
      <c r="F102" s="20">
        <f t="shared" si="12"/>
        <v>0</v>
      </c>
      <c r="G102" s="20">
        <f t="shared" si="13"/>
        <v>0</v>
      </c>
      <c r="H102" s="20">
        <f t="shared" si="14"/>
        <v>0</v>
      </c>
      <c r="I102" s="20" t="b">
        <f t="shared" si="15"/>
        <v>1</v>
      </c>
      <c r="J102" s="20"/>
      <c r="K102" s="20"/>
    </row>
    <row r="103" spans="1:11" ht="15.5" x14ac:dyDescent="0.35">
      <c r="A103" s="3" t="s">
        <v>86</v>
      </c>
      <c r="B103" s="1">
        <v>9</v>
      </c>
      <c r="C103" s="20">
        <v>18500</v>
      </c>
      <c r="D103" s="1">
        <v>1</v>
      </c>
      <c r="E103" s="1">
        <v>8</v>
      </c>
      <c r="F103" s="20">
        <f t="shared" si="12"/>
        <v>166500</v>
      </c>
      <c r="G103" s="20">
        <f t="shared" si="13"/>
        <v>18500</v>
      </c>
      <c r="H103" s="20">
        <f t="shared" si="14"/>
        <v>148000</v>
      </c>
      <c r="I103" s="20" t="b">
        <f t="shared" si="15"/>
        <v>1</v>
      </c>
      <c r="J103" s="20"/>
      <c r="K103" s="20"/>
    </row>
    <row r="104" spans="1:11" ht="15.5" x14ac:dyDescent="0.35">
      <c r="A104" s="3" t="s">
        <v>87</v>
      </c>
      <c r="B104" s="1"/>
      <c r="C104" s="20">
        <v>18500</v>
      </c>
      <c r="D104" s="1"/>
      <c r="E104" s="1"/>
      <c r="F104" s="20">
        <f t="shared" si="12"/>
        <v>0</v>
      </c>
      <c r="G104" s="20">
        <f t="shared" si="13"/>
        <v>0</v>
      </c>
      <c r="H104" s="20">
        <f t="shared" si="14"/>
        <v>0</v>
      </c>
      <c r="I104" s="20" t="b">
        <f t="shared" si="15"/>
        <v>1</v>
      </c>
      <c r="J104" s="20"/>
      <c r="K104" s="20"/>
    </row>
    <row r="105" spans="1:11" ht="15.5" x14ac:dyDescent="0.35">
      <c r="A105" s="3" t="s">
        <v>88</v>
      </c>
      <c r="B105" s="1">
        <v>11</v>
      </c>
      <c r="C105" s="20">
        <v>18500</v>
      </c>
      <c r="D105" s="1">
        <v>2</v>
      </c>
      <c r="E105" s="1">
        <v>9</v>
      </c>
      <c r="F105" s="20">
        <f t="shared" si="12"/>
        <v>203500</v>
      </c>
      <c r="G105" s="20">
        <f t="shared" si="13"/>
        <v>37000</v>
      </c>
      <c r="H105" s="20">
        <f t="shared" si="14"/>
        <v>166500</v>
      </c>
      <c r="I105" s="20" t="b">
        <f t="shared" si="15"/>
        <v>1</v>
      </c>
      <c r="J105" s="20"/>
      <c r="K105" s="20"/>
    </row>
    <row r="106" spans="1:11" ht="15.5" x14ac:dyDescent="0.35">
      <c r="A106" s="19" t="s">
        <v>89</v>
      </c>
      <c r="B106" s="1"/>
      <c r="C106" s="20"/>
      <c r="D106" s="1"/>
      <c r="E106" s="1"/>
      <c r="F106" s="20"/>
      <c r="G106" s="20"/>
      <c r="H106" s="20">
        <f t="shared" si="14"/>
        <v>0</v>
      </c>
      <c r="I106" s="20" t="b">
        <f t="shared" si="15"/>
        <v>1</v>
      </c>
      <c r="J106" s="20"/>
      <c r="K106" s="20"/>
    </row>
    <row r="107" spans="1:11" ht="15.5" x14ac:dyDescent="0.35">
      <c r="A107" s="3" t="s">
        <v>92</v>
      </c>
      <c r="B107" s="1">
        <v>31</v>
      </c>
      <c r="C107" s="20">
        <v>21500</v>
      </c>
      <c r="D107" s="1">
        <v>15</v>
      </c>
      <c r="E107" s="1">
        <v>16</v>
      </c>
      <c r="F107" s="20">
        <f t="shared" ref="F107:F109" si="16">C107*B107</f>
        <v>666500</v>
      </c>
      <c r="G107" s="20">
        <f t="shared" ref="G107:G109" si="17">D107*C107</f>
        <v>322500</v>
      </c>
      <c r="H107" s="20">
        <f t="shared" si="14"/>
        <v>344000</v>
      </c>
      <c r="I107" s="20" t="b">
        <f t="shared" si="15"/>
        <v>1</v>
      </c>
      <c r="J107" s="20"/>
      <c r="K107" s="20"/>
    </row>
    <row r="108" spans="1:11" ht="15.5" x14ac:dyDescent="0.35">
      <c r="A108" s="3" t="s">
        <v>93</v>
      </c>
      <c r="B108" s="1">
        <v>7</v>
      </c>
      <c r="C108" s="20">
        <v>21500</v>
      </c>
      <c r="D108" s="1">
        <v>5</v>
      </c>
      <c r="E108" s="1">
        <v>2</v>
      </c>
      <c r="F108" s="20">
        <f t="shared" si="16"/>
        <v>150500</v>
      </c>
      <c r="G108" s="20">
        <f t="shared" si="17"/>
        <v>107500</v>
      </c>
      <c r="H108" s="20">
        <f t="shared" si="14"/>
        <v>43000</v>
      </c>
      <c r="I108" s="20" t="b">
        <f t="shared" si="15"/>
        <v>1</v>
      </c>
      <c r="J108" s="20"/>
      <c r="K108" s="20"/>
    </row>
    <row r="109" spans="1:11" ht="15.5" x14ac:dyDescent="0.35">
      <c r="A109" s="3" t="s">
        <v>94</v>
      </c>
      <c r="B109" s="1">
        <v>26</v>
      </c>
      <c r="C109" s="20">
        <v>21500</v>
      </c>
      <c r="D109" s="1">
        <v>11</v>
      </c>
      <c r="E109" s="1">
        <v>15</v>
      </c>
      <c r="F109" s="20">
        <f t="shared" si="16"/>
        <v>559000</v>
      </c>
      <c r="G109" s="20">
        <f t="shared" si="17"/>
        <v>236500</v>
      </c>
      <c r="H109" s="20">
        <f t="shared" si="14"/>
        <v>322500</v>
      </c>
      <c r="I109" s="20" t="b">
        <f t="shared" si="15"/>
        <v>1</v>
      </c>
      <c r="J109" s="20"/>
      <c r="K109" s="20"/>
    </row>
    <row r="110" spans="1:11" ht="15.5" x14ac:dyDescent="0.35">
      <c r="A110" s="19"/>
      <c r="B110" s="22">
        <f>SUM(B93:B109)</f>
        <v>321</v>
      </c>
      <c r="C110" s="20"/>
      <c r="D110" s="1"/>
      <c r="E110" s="1"/>
      <c r="F110" s="23">
        <f>SUM(F93:F109)</f>
        <v>5942500</v>
      </c>
      <c r="G110" s="23">
        <f>SUM(G93:G109)</f>
        <v>2436500</v>
      </c>
      <c r="H110" s="23">
        <f>SUM(H93:H109)</f>
        <v>3506000</v>
      </c>
      <c r="I110" s="23"/>
      <c r="J110" s="23">
        <f>SUM(J93:J109)</f>
        <v>605000</v>
      </c>
      <c r="K110" s="23">
        <f>H110-J110</f>
        <v>2901000</v>
      </c>
    </row>
    <row r="111" spans="1:11" ht="15.5" x14ac:dyDescent="0.35">
      <c r="A111" s="19" t="s">
        <v>95</v>
      </c>
      <c r="B111" s="1"/>
      <c r="C111" s="20"/>
      <c r="D111" s="1"/>
      <c r="E111" s="1"/>
      <c r="F111" s="20"/>
      <c r="G111" s="20"/>
      <c r="H111" s="20" t="s">
        <v>192</v>
      </c>
      <c r="I111" s="20"/>
      <c r="J111" s="20"/>
      <c r="K111" s="20"/>
    </row>
    <row r="112" spans="1:11" ht="15.5" x14ac:dyDescent="0.35">
      <c r="A112" s="3" t="s">
        <v>96</v>
      </c>
      <c r="B112" s="1"/>
      <c r="C112" s="20">
        <v>3000</v>
      </c>
      <c r="D112" s="1"/>
      <c r="E112" s="20"/>
      <c r="F112" s="20">
        <f t="shared" ref="F112:F115" si="18">C112*B112</f>
        <v>0</v>
      </c>
      <c r="G112" s="20"/>
      <c r="H112" s="20"/>
      <c r="I112" s="20"/>
      <c r="J112" s="20"/>
      <c r="K112" s="20"/>
    </row>
    <row r="113" spans="1:11" ht="15.5" x14ac:dyDescent="0.35">
      <c r="A113" s="3" t="s">
        <v>97</v>
      </c>
      <c r="B113" s="1"/>
      <c r="C113" s="20">
        <v>2500</v>
      </c>
      <c r="D113" s="1"/>
      <c r="E113" s="1"/>
      <c r="F113" s="20">
        <f t="shared" si="18"/>
        <v>0</v>
      </c>
      <c r="G113" s="20"/>
      <c r="H113" s="20"/>
      <c r="I113" s="20"/>
      <c r="J113" s="20"/>
      <c r="K113" s="20"/>
    </row>
    <row r="114" spans="1:11" ht="15.5" x14ac:dyDescent="0.35">
      <c r="A114" s="3" t="s">
        <v>98</v>
      </c>
      <c r="B114" s="1"/>
      <c r="C114" s="20">
        <v>1800</v>
      </c>
      <c r="D114" s="1"/>
      <c r="E114" s="1"/>
      <c r="F114" s="20">
        <f t="shared" si="18"/>
        <v>0</v>
      </c>
      <c r="G114" s="20"/>
      <c r="H114" s="20"/>
      <c r="I114" s="20"/>
      <c r="J114" s="20"/>
      <c r="K114" s="20"/>
    </row>
    <row r="115" spans="1:11" ht="15.5" x14ac:dyDescent="0.35">
      <c r="A115" s="3" t="s">
        <v>99</v>
      </c>
      <c r="B115" s="1"/>
      <c r="C115" s="20">
        <v>3500</v>
      </c>
      <c r="D115" s="1"/>
      <c r="E115" s="1"/>
      <c r="F115" s="20">
        <f t="shared" si="18"/>
        <v>0</v>
      </c>
      <c r="G115" s="20"/>
      <c r="H115" s="20"/>
      <c r="I115" s="20"/>
      <c r="J115" s="20"/>
      <c r="K115" s="20"/>
    </row>
    <row r="116" spans="1:11" ht="15.5" x14ac:dyDescent="0.35">
      <c r="A116" s="18"/>
      <c r="F116" s="21"/>
    </row>
    <row r="117" spans="1:11" ht="15.5" x14ac:dyDescent="0.35">
      <c r="A117" s="24" t="s">
        <v>108</v>
      </c>
      <c r="K117" s="21"/>
    </row>
    <row r="118" spans="1:11" ht="15.5" x14ac:dyDescent="0.35">
      <c r="A118" s="18" t="s">
        <v>114</v>
      </c>
      <c r="B118" s="67">
        <v>40000</v>
      </c>
    </row>
    <row r="119" spans="1:11" ht="15.5" x14ac:dyDescent="0.35">
      <c r="A119" s="18" t="s">
        <v>112</v>
      </c>
      <c r="B119" s="67">
        <v>40000</v>
      </c>
    </row>
    <row r="120" spans="1:11" ht="15.5" x14ac:dyDescent="0.35">
      <c r="A120" s="18" t="s">
        <v>309</v>
      </c>
      <c r="B120" s="67">
        <v>60000</v>
      </c>
    </row>
    <row r="121" spans="1:11" ht="15.5" x14ac:dyDescent="0.35">
      <c r="A121" s="18" t="s">
        <v>110</v>
      </c>
      <c r="B121" s="67">
        <v>40000</v>
      </c>
    </row>
    <row r="122" spans="1:11" ht="15.5" x14ac:dyDescent="0.35">
      <c r="A122" s="18" t="s">
        <v>111</v>
      </c>
      <c r="B122" s="67">
        <v>40000</v>
      </c>
    </row>
    <row r="123" spans="1:11" ht="15.5" x14ac:dyDescent="0.35">
      <c r="A123" s="18" t="s">
        <v>196</v>
      </c>
      <c r="B123" s="67">
        <v>40000</v>
      </c>
    </row>
    <row r="124" spans="1:11" ht="15.5" x14ac:dyDescent="0.35">
      <c r="A124" s="18" t="s">
        <v>113</v>
      </c>
      <c r="B124" s="67">
        <v>40000</v>
      </c>
    </row>
    <row r="125" spans="1:11" ht="15.5" x14ac:dyDescent="0.35">
      <c r="A125" s="18" t="s">
        <v>209</v>
      </c>
      <c r="B125" s="67">
        <v>40000</v>
      </c>
    </row>
    <row r="126" spans="1:11" ht="15.5" x14ac:dyDescent="0.35">
      <c r="A126" s="18" t="s">
        <v>115</v>
      </c>
      <c r="B126" s="67">
        <v>60000</v>
      </c>
    </row>
    <row r="127" spans="1:11" ht="15.5" x14ac:dyDescent="0.35">
      <c r="A127" s="18" t="s">
        <v>109</v>
      </c>
      <c r="B127" s="67">
        <v>40000</v>
      </c>
    </row>
    <row r="128" spans="1:11" ht="15.5" x14ac:dyDescent="0.35">
      <c r="A128" s="24" t="s">
        <v>4</v>
      </c>
      <c r="B128" s="75">
        <f>SUM(B118:B127)</f>
        <v>440000</v>
      </c>
    </row>
    <row r="129" spans="1:11" ht="15.5" x14ac:dyDescent="0.35">
      <c r="A129" s="24"/>
      <c r="B129" s="17"/>
    </row>
    <row r="131" spans="1:11" ht="18.5" x14ac:dyDescent="0.45">
      <c r="A131" s="150" t="s">
        <v>1</v>
      </c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</row>
    <row r="132" spans="1:11" ht="18.5" x14ac:dyDescent="0.45">
      <c r="A132" s="150" t="s">
        <v>74</v>
      </c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</row>
    <row r="133" spans="1:11" ht="18.5" x14ac:dyDescent="0.45">
      <c r="A133" s="149">
        <v>46086</v>
      </c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</row>
    <row r="134" spans="1:11" ht="18.5" x14ac:dyDescent="0.45">
      <c r="A134" s="150"/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</row>
    <row r="135" spans="1:11" ht="18.5" x14ac:dyDescent="0.45">
      <c r="A135" s="2" t="s">
        <v>75</v>
      </c>
      <c r="B135" s="2" t="s">
        <v>3</v>
      </c>
      <c r="C135" s="2" t="s">
        <v>100</v>
      </c>
      <c r="D135" s="2" t="s">
        <v>90</v>
      </c>
      <c r="E135" s="2" t="s">
        <v>91</v>
      </c>
      <c r="F135" s="2" t="s">
        <v>4</v>
      </c>
      <c r="G135" s="2" t="s">
        <v>101</v>
      </c>
      <c r="H135" s="2" t="s">
        <v>104</v>
      </c>
      <c r="I135" s="2"/>
      <c r="J135" s="2" t="s">
        <v>105</v>
      </c>
      <c r="K135" s="2" t="s">
        <v>106</v>
      </c>
    </row>
    <row r="136" spans="1:11" ht="15.5" x14ac:dyDescent="0.35">
      <c r="A136" s="3" t="s">
        <v>76</v>
      </c>
      <c r="B136" s="1">
        <v>141</v>
      </c>
      <c r="C136" s="20">
        <v>17500</v>
      </c>
      <c r="D136" s="1">
        <v>55</v>
      </c>
      <c r="E136" s="1">
        <v>86</v>
      </c>
      <c r="F136" s="20">
        <f>C136*B136</f>
        <v>2467500</v>
      </c>
      <c r="G136" s="20">
        <f>D136*C136</f>
        <v>962500</v>
      </c>
      <c r="H136" s="20">
        <f>E136*C136</f>
        <v>1505000</v>
      </c>
      <c r="I136" s="20" t="b">
        <f>D136+E136=B136</f>
        <v>1</v>
      </c>
      <c r="J136" s="20">
        <f>B171</f>
        <v>440000</v>
      </c>
      <c r="K136" s="20" t="s">
        <v>117</v>
      </c>
    </row>
    <row r="137" spans="1:11" ht="15.5" x14ac:dyDescent="0.35">
      <c r="A137" s="3" t="s">
        <v>77</v>
      </c>
      <c r="B137" s="1">
        <v>6</v>
      </c>
      <c r="C137" s="20">
        <v>16000</v>
      </c>
      <c r="D137" s="1">
        <v>4</v>
      </c>
      <c r="E137" s="1">
        <v>2</v>
      </c>
      <c r="F137" s="20">
        <f t="shared" ref="F137:F148" si="19">C137*B137</f>
        <v>96000</v>
      </c>
      <c r="G137" s="20">
        <f t="shared" ref="G137:G148" si="20">D137*C137</f>
        <v>64000</v>
      </c>
      <c r="H137" s="20">
        <f t="shared" ref="H137:H152" si="21">E137*C137</f>
        <v>32000</v>
      </c>
      <c r="I137" s="20" t="b">
        <f t="shared" ref="I137:I152" si="22">D137+E137=B137</f>
        <v>1</v>
      </c>
      <c r="J137" s="20">
        <v>66000</v>
      </c>
      <c r="K137" s="20" t="s">
        <v>107</v>
      </c>
    </row>
    <row r="138" spans="1:11" ht="15.5" x14ac:dyDescent="0.35">
      <c r="A138" s="3" t="s">
        <v>78</v>
      </c>
      <c r="B138" s="1">
        <v>67</v>
      </c>
      <c r="C138" s="20">
        <v>17500</v>
      </c>
      <c r="D138" s="1">
        <v>32</v>
      </c>
      <c r="E138" s="1">
        <v>35</v>
      </c>
      <c r="F138" s="20">
        <f t="shared" si="19"/>
        <v>1172500</v>
      </c>
      <c r="G138" s="20">
        <f t="shared" si="20"/>
        <v>560000</v>
      </c>
      <c r="H138" s="20">
        <f t="shared" si="21"/>
        <v>612500</v>
      </c>
      <c r="I138" s="20" t="b">
        <f t="shared" si="22"/>
        <v>1</v>
      </c>
      <c r="J138" s="20">
        <v>47800</v>
      </c>
      <c r="K138" s="20" t="s">
        <v>366</v>
      </c>
    </row>
    <row r="139" spans="1:11" ht="15.5" x14ac:dyDescent="0.35">
      <c r="A139" s="3" t="s">
        <v>79</v>
      </c>
      <c r="B139" s="1">
        <v>28</v>
      </c>
      <c r="C139" s="20">
        <v>18500</v>
      </c>
      <c r="D139" s="1">
        <v>6</v>
      </c>
      <c r="E139" s="1">
        <v>22</v>
      </c>
      <c r="F139" s="20">
        <f t="shared" si="19"/>
        <v>518000</v>
      </c>
      <c r="G139" s="20">
        <f t="shared" si="20"/>
        <v>111000</v>
      </c>
      <c r="H139" s="20">
        <f t="shared" si="21"/>
        <v>407000</v>
      </c>
      <c r="I139" s="20" t="b">
        <f t="shared" si="22"/>
        <v>1</v>
      </c>
      <c r="J139" s="20"/>
      <c r="K139" s="20"/>
    </row>
    <row r="140" spans="1:11" ht="15.5" x14ac:dyDescent="0.35">
      <c r="A140" s="3" t="s">
        <v>80</v>
      </c>
      <c r="B140" s="1"/>
      <c r="C140" s="20">
        <v>18500</v>
      </c>
      <c r="D140" s="1"/>
      <c r="E140" s="1"/>
      <c r="F140" s="20">
        <f t="shared" si="19"/>
        <v>0</v>
      </c>
      <c r="G140" s="20">
        <f t="shared" si="20"/>
        <v>0</v>
      </c>
      <c r="H140" s="20">
        <f t="shared" si="21"/>
        <v>0</v>
      </c>
      <c r="I140" s="20" t="b">
        <f t="shared" si="22"/>
        <v>1</v>
      </c>
      <c r="J140" s="20"/>
      <c r="K140" s="20"/>
    </row>
    <row r="141" spans="1:11" ht="15.5" x14ac:dyDescent="0.35">
      <c r="A141" s="3" t="s">
        <v>81</v>
      </c>
      <c r="B141" s="1"/>
      <c r="C141" s="20">
        <v>23000</v>
      </c>
      <c r="D141" s="1"/>
      <c r="E141" s="1"/>
      <c r="F141" s="20">
        <f t="shared" si="19"/>
        <v>0</v>
      </c>
      <c r="G141" s="20">
        <f t="shared" si="20"/>
        <v>0</v>
      </c>
      <c r="H141" s="20">
        <f t="shared" si="21"/>
        <v>0</v>
      </c>
      <c r="I141" s="20" t="b">
        <f t="shared" si="22"/>
        <v>1</v>
      </c>
      <c r="J141" s="20"/>
      <c r="K141" s="20"/>
    </row>
    <row r="142" spans="1:11" ht="15.5" x14ac:dyDescent="0.35">
      <c r="A142" s="3" t="s">
        <v>82</v>
      </c>
      <c r="B142" s="1"/>
      <c r="C142" s="20">
        <v>18000</v>
      </c>
      <c r="D142" s="1"/>
      <c r="E142" s="1"/>
      <c r="F142" s="20">
        <f t="shared" si="19"/>
        <v>0</v>
      </c>
      <c r="G142" s="20">
        <f t="shared" si="20"/>
        <v>0</v>
      </c>
      <c r="H142" s="20">
        <f t="shared" si="21"/>
        <v>0</v>
      </c>
      <c r="I142" s="20" t="b">
        <f t="shared" si="22"/>
        <v>1</v>
      </c>
      <c r="J142" s="20"/>
      <c r="K142" s="20"/>
    </row>
    <row r="143" spans="1:11" ht="15.5" x14ac:dyDescent="0.35">
      <c r="A143" s="3" t="s">
        <v>83</v>
      </c>
      <c r="B143" s="1"/>
      <c r="C143" s="20">
        <v>18000</v>
      </c>
      <c r="D143" s="1"/>
      <c r="E143" s="1"/>
      <c r="F143" s="20">
        <f t="shared" si="19"/>
        <v>0</v>
      </c>
      <c r="G143" s="20">
        <f t="shared" si="20"/>
        <v>0</v>
      </c>
      <c r="H143" s="20">
        <f t="shared" si="21"/>
        <v>0</v>
      </c>
      <c r="I143" s="20" t="b">
        <f t="shared" si="22"/>
        <v>1</v>
      </c>
      <c r="J143" s="20"/>
      <c r="K143" s="20"/>
    </row>
    <row r="144" spans="1:11" ht="15.5" x14ac:dyDescent="0.35">
      <c r="A144" s="3" t="s">
        <v>84</v>
      </c>
      <c r="B144" s="1">
        <v>46</v>
      </c>
      <c r="C144" s="20">
        <v>18500</v>
      </c>
      <c r="D144" s="1">
        <v>16</v>
      </c>
      <c r="E144" s="1">
        <v>30</v>
      </c>
      <c r="F144" s="20">
        <f t="shared" si="19"/>
        <v>851000</v>
      </c>
      <c r="G144" s="20">
        <f t="shared" si="20"/>
        <v>296000</v>
      </c>
      <c r="H144" s="20">
        <f t="shared" si="21"/>
        <v>555000</v>
      </c>
      <c r="I144" s="20" t="b">
        <f t="shared" si="22"/>
        <v>1</v>
      </c>
      <c r="J144" s="20"/>
      <c r="K144" s="20"/>
    </row>
    <row r="145" spans="1:11" ht="15.5" x14ac:dyDescent="0.35">
      <c r="A145" s="3" t="s">
        <v>85</v>
      </c>
      <c r="B145" s="1"/>
      <c r="C145" s="20">
        <v>18500</v>
      </c>
      <c r="D145" s="1"/>
      <c r="E145" s="1"/>
      <c r="F145" s="20">
        <f t="shared" si="19"/>
        <v>0</v>
      </c>
      <c r="G145" s="20">
        <f t="shared" si="20"/>
        <v>0</v>
      </c>
      <c r="H145" s="20">
        <f t="shared" si="21"/>
        <v>0</v>
      </c>
      <c r="I145" s="20" t="b">
        <f t="shared" si="22"/>
        <v>1</v>
      </c>
      <c r="J145" s="20"/>
      <c r="K145" s="20"/>
    </row>
    <row r="146" spans="1:11" ht="15.5" x14ac:dyDescent="0.35">
      <c r="A146" s="3" t="s">
        <v>86</v>
      </c>
      <c r="B146" s="1"/>
      <c r="C146" s="20">
        <v>18500</v>
      </c>
      <c r="D146" s="1"/>
      <c r="E146" s="1"/>
      <c r="F146" s="20">
        <f t="shared" si="19"/>
        <v>0</v>
      </c>
      <c r="G146" s="20">
        <f t="shared" si="20"/>
        <v>0</v>
      </c>
      <c r="H146" s="20">
        <f t="shared" si="21"/>
        <v>0</v>
      </c>
      <c r="I146" s="20" t="b">
        <f t="shared" si="22"/>
        <v>1</v>
      </c>
      <c r="J146" s="20"/>
      <c r="K146" s="20"/>
    </row>
    <row r="147" spans="1:11" ht="15.5" x14ac:dyDescent="0.35">
      <c r="A147" s="3" t="s">
        <v>87</v>
      </c>
      <c r="B147" s="1">
        <v>7</v>
      </c>
      <c r="C147" s="20">
        <v>18500</v>
      </c>
      <c r="D147" s="1">
        <v>4</v>
      </c>
      <c r="E147" s="1">
        <v>3</v>
      </c>
      <c r="F147" s="20">
        <f t="shared" si="19"/>
        <v>129500</v>
      </c>
      <c r="G147" s="20">
        <f t="shared" si="20"/>
        <v>74000</v>
      </c>
      <c r="H147" s="20">
        <f t="shared" si="21"/>
        <v>55500</v>
      </c>
      <c r="I147" s="20" t="b">
        <f t="shared" si="22"/>
        <v>1</v>
      </c>
      <c r="J147" s="20"/>
      <c r="K147" s="20"/>
    </row>
    <row r="148" spans="1:11" ht="15.5" x14ac:dyDescent="0.35">
      <c r="A148" s="3" t="s">
        <v>88</v>
      </c>
      <c r="B148" s="1">
        <v>6</v>
      </c>
      <c r="C148" s="20">
        <v>18500</v>
      </c>
      <c r="D148" s="1">
        <v>3</v>
      </c>
      <c r="E148" s="1">
        <v>3</v>
      </c>
      <c r="F148" s="20">
        <f t="shared" si="19"/>
        <v>111000</v>
      </c>
      <c r="G148" s="20">
        <f t="shared" si="20"/>
        <v>55500</v>
      </c>
      <c r="H148" s="20">
        <f t="shared" si="21"/>
        <v>55500</v>
      </c>
      <c r="I148" s="20" t="b">
        <f t="shared" si="22"/>
        <v>1</v>
      </c>
      <c r="J148" s="20"/>
      <c r="K148" s="20"/>
    </row>
    <row r="149" spans="1:11" ht="15.5" x14ac:dyDescent="0.35">
      <c r="A149" s="19" t="s">
        <v>89</v>
      </c>
      <c r="B149" s="1"/>
      <c r="C149" s="20"/>
      <c r="D149" s="1"/>
      <c r="E149" s="1"/>
      <c r="F149" s="20"/>
      <c r="G149" s="20"/>
      <c r="H149" s="20">
        <f t="shared" si="21"/>
        <v>0</v>
      </c>
      <c r="I149" s="20" t="b">
        <f t="shared" si="22"/>
        <v>1</v>
      </c>
      <c r="J149" s="20"/>
      <c r="K149" s="20"/>
    </row>
    <row r="150" spans="1:11" ht="15.5" x14ac:dyDescent="0.35">
      <c r="A150" s="3" t="s">
        <v>92</v>
      </c>
      <c r="B150" s="1"/>
      <c r="C150" s="20">
        <v>21500</v>
      </c>
      <c r="D150" s="1"/>
      <c r="E150" s="1"/>
      <c r="F150" s="20">
        <f t="shared" ref="F150:F152" si="23">C150*B150</f>
        <v>0</v>
      </c>
      <c r="G150" s="20">
        <f t="shared" ref="G150:G152" si="24">D150*C150</f>
        <v>0</v>
      </c>
      <c r="H150" s="20">
        <f t="shared" si="21"/>
        <v>0</v>
      </c>
      <c r="I150" s="20" t="b">
        <f t="shared" si="22"/>
        <v>1</v>
      </c>
      <c r="J150" s="20"/>
      <c r="K150" s="20"/>
    </row>
    <row r="151" spans="1:11" ht="15.5" x14ac:dyDescent="0.35">
      <c r="A151" s="3" t="s">
        <v>93</v>
      </c>
      <c r="B151" s="1">
        <v>32</v>
      </c>
      <c r="C151" s="20">
        <v>21500</v>
      </c>
      <c r="D151" s="1">
        <v>12</v>
      </c>
      <c r="E151" s="1">
        <v>20</v>
      </c>
      <c r="F151" s="20">
        <f t="shared" si="23"/>
        <v>688000</v>
      </c>
      <c r="G151" s="20">
        <f t="shared" si="24"/>
        <v>258000</v>
      </c>
      <c r="H151" s="20">
        <f t="shared" si="21"/>
        <v>430000</v>
      </c>
      <c r="I151" s="20" t="b">
        <f t="shared" si="22"/>
        <v>1</v>
      </c>
      <c r="J151" s="20"/>
      <c r="K151" s="20"/>
    </row>
    <row r="152" spans="1:11" ht="15.5" x14ac:dyDescent="0.35">
      <c r="A152" s="3" t="s">
        <v>94</v>
      </c>
      <c r="B152" s="1">
        <v>30</v>
      </c>
      <c r="C152" s="20">
        <v>21500</v>
      </c>
      <c r="D152" s="1">
        <v>20</v>
      </c>
      <c r="E152" s="1">
        <v>10</v>
      </c>
      <c r="F152" s="20">
        <f t="shared" si="23"/>
        <v>645000</v>
      </c>
      <c r="G152" s="20">
        <f t="shared" si="24"/>
        <v>430000</v>
      </c>
      <c r="H152" s="20">
        <f t="shared" si="21"/>
        <v>215000</v>
      </c>
      <c r="I152" s="20" t="b">
        <f t="shared" si="22"/>
        <v>1</v>
      </c>
      <c r="J152" s="20"/>
      <c r="K152" s="20"/>
    </row>
    <row r="153" spans="1:11" ht="15.5" x14ac:dyDescent="0.35">
      <c r="A153" s="19"/>
      <c r="B153" s="22">
        <f>SUM(B136:B152)</f>
        <v>363</v>
      </c>
      <c r="C153" s="20"/>
      <c r="D153" s="1"/>
      <c r="E153" s="1"/>
      <c r="F153" s="23">
        <f>SUM(F136:F152)</f>
        <v>6678500</v>
      </c>
      <c r="G153" s="23">
        <f>SUM(G136:G152)</f>
        <v>2811000</v>
      </c>
      <c r="H153" s="23">
        <f>SUM(H136:H152)</f>
        <v>3867500</v>
      </c>
      <c r="I153" s="23"/>
      <c r="J153" s="23">
        <f>SUM(J136:J152)</f>
        <v>553800</v>
      </c>
      <c r="K153" s="23">
        <f>H153-J153</f>
        <v>3313700</v>
      </c>
    </row>
    <row r="154" spans="1:11" ht="15.5" x14ac:dyDescent="0.35">
      <c r="A154" s="19" t="s">
        <v>95</v>
      </c>
      <c r="B154" s="1"/>
      <c r="C154" s="20"/>
      <c r="D154" s="1"/>
      <c r="E154" s="1"/>
      <c r="F154" s="20"/>
      <c r="G154" s="20"/>
      <c r="H154" s="20" t="s">
        <v>192</v>
      </c>
      <c r="I154" s="20"/>
      <c r="J154" s="20"/>
      <c r="K154" s="20"/>
    </row>
    <row r="155" spans="1:11" ht="15.5" x14ac:dyDescent="0.35">
      <c r="A155" s="3" t="s">
        <v>96</v>
      </c>
      <c r="B155" s="1"/>
      <c r="C155" s="20">
        <v>3000</v>
      </c>
      <c r="D155" s="1"/>
      <c r="E155" s="20"/>
      <c r="F155" s="20">
        <f t="shared" ref="F155:F158" si="25">C155*B155</f>
        <v>0</v>
      </c>
      <c r="G155" s="20"/>
      <c r="H155" s="20"/>
      <c r="I155" s="20"/>
      <c r="J155" s="20"/>
      <c r="K155" s="20"/>
    </row>
    <row r="156" spans="1:11" ht="15.5" x14ac:dyDescent="0.35">
      <c r="A156" s="3" t="s">
        <v>97</v>
      </c>
      <c r="B156" s="1"/>
      <c r="C156" s="20">
        <v>2500</v>
      </c>
      <c r="D156" s="1"/>
      <c r="E156" s="1"/>
      <c r="F156" s="20">
        <f t="shared" si="25"/>
        <v>0</v>
      </c>
      <c r="G156" s="20"/>
      <c r="H156" s="20"/>
      <c r="I156" s="20"/>
      <c r="J156" s="20"/>
      <c r="K156" s="20"/>
    </row>
    <row r="157" spans="1:11" ht="15.5" x14ac:dyDescent="0.35">
      <c r="A157" s="3" t="s">
        <v>98</v>
      </c>
      <c r="B157" s="1"/>
      <c r="C157" s="20">
        <v>1800</v>
      </c>
      <c r="D157" s="1"/>
      <c r="E157" s="1"/>
      <c r="F157" s="20">
        <f t="shared" si="25"/>
        <v>0</v>
      </c>
      <c r="G157" s="20"/>
      <c r="H157" s="20"/>
      <c r="I157" s="20"/>
      <c r="J157" s="20"/>
      <c r="K157" s="20"/>
    </row>
    <row r="158" spans="1:11" ht="15.5" x14ac:dyDescent="0.35">
      <c r="A158" s="3" t="s">
        <v>99</v>
      </c>
      <c r="B158" s="1"/>
      <c r="C158" s="20">
        <v>3500</v>
      </c>
      <c r="D158" s="1"/>
      <c r="E158" s="1"/>
      <c r="F158" s="20">
        <f t="shared" si="25"/>
        <v>0</v>
      </c>
      <c r="G158" s="20"/>
      <c r="H158" s="20"/>
      <c r="I158" s="20"/>
      <c r="J158" s="20"/>
      <c r="K158" s="20"/>
    </row>
    <row r="159" spans="1:11" ht="15.5" x14ac:dyDescent="0.35">
      <c r="A159" s="18"/>
      <c r="F159" s="21"/>
    </row>
    <row r="160" spans="1:11" ht="15.5" x14ac:dyDescent="0.35">
      <c r="A160" s="24" t="s">
        <v>108</v>
      </c>
      <c r="K160" s="21"/>
    </row>
    <row r="161" spans="1:11" ht="15.5" x14ac:dyDescent="0.35">
      <c r="A161" s="18" t="s">
        <v>114</v>
      </c>
      <c r="B161" s="67">
        <v>40000</v>
      </c>
    </row>
    <row r="162" spans="1:11" ht="15.5" x14ac:dyDescent="0.35">
      <c r="A162" s="18" t="s">
        <v>112</v>
      </c>
      <c r="B162" s="67">
        <v>40000</v>
      </c>
    </row>
    <row r="163" spans="1:11" ht="15.5" x14ac:dyDescent="0.35">
      <c r="A163" s="18" t="s">
        <v>309</v>
      </c>
      <c r="B163" s="67">
        <v>60000</v>
      </c>
    </row>
    <row r="164" spans="1:11" ht="15.5" x14ac:dyDescent="0.35">
      <c r="A164" s="18" t="s">
        <v>110</v>
      </c>
      <c r="B164" s="67">
        <v>40000</v>
      </c>
    </row>
    <row r="165" spans="1:11" ht="15.5" x14ac:dyDescent="0.35">
      <c r="A165" s="18" t="s">
        <v>111</v>
      </c>
      <c r="B165" s="67">
        <v>40000</v>
      </c>
    </row>
    <row r="166" spans="1:11" ht="15.5" x14ac:dyDescent="0.35">
      <c r="A166" s="18" t="s">
        <v>196</v>
      </c>
      <c r="B166" s="67">
        <v>40000</v>
      </c>
    </row>
    <row r="167" spans="1:11" ht="15.5" x14ac:dyDescent="0.35">
      <c r="A167" s="18" t="s">
        <v>113</v>
      </c>
      <c r="B167" s="67">
        <v>40000</v>
      </c>
    </row>
    <row r="168" spans="1:11" ht="15.5" x14ac:dyDescent="0.35">
      <c r="A168" s="18" t="s">
        <v>209</v>
      </c>
      <c r="B168" s="67">
        <v>40000</v>
      </c>
    </row>
    <row r="169" spans="1:11" ht="15.5" x14ac:dyDescent="0.35">
      <c r="A169" s="18" t="s">
        <v>115</v>
      </c>
      <c r="B169" s="67">
        <v>60000</v>
      </c>
    </row>
    <row r="170" spans="1:11" ht="15.5" x14ac:dyDescent="0.35">
      <c r="A170" s="18" t="s">
        <v>109</v>
      </c>
      <c r="B170" s="67">
        <v>40000</v>
      </c>
    </row>
    <row r="171" spans="1:11" ht="15.5" x14ac:dyDescent="0.35">
      <c r="A171" s="24" t="s">
        <v>4</v>
      </c>
      <c r="B171" s="75">
        <f>SUM(B161:B170)</f>
        <v>440000</v>
      </c>
    </row>
    <row r="172" spans="1:11" ht="15.5" x14ac:dyDescent="0.35">
      <c r="A172" s="24"/>
      <c r="B172" s="17"/>
    </row>
    <row r="173" spans="1:11" ht="18.5" x14ac:dyDescent="0.45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</row>
    <row r="174" spans="1:11" ht="18.5" x14ac:dyDescent="0.45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</row>
    <row r="175" spans="1:11" ht="18.5" x14ac:dyDescent="0.45">
      <c r="A175" s="151" t="s">
        <v>1</v>
      </c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</row>
    <row r="176" spans="1:11" ht="18.5" x14ac:dyDescent="0.45">
      <c r="A176" s="150" t="s">
        <v>74</v>
      </c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</row>
    <row r="177" spans="1:11" ht="18.5" x14ac:dyDescent="0.45">
      <c r="A177" s="149">
        <v>46087</v>
      </c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</row>
    <row r="178" spans="1:11" ht="18.5" x14ac:dyDescent="0.45">
      <c r="A178" s="150"/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</row>
    <row r="179" spans="1:11" ht="18.5" x14ac:dyDescent="0.45">
      <c r="A179" s="2" t="s">
        <v>75</v>
      </c>
      <c r="B179" s="2" t="s">
        <v>3</v>
      </c>
      <c r="C179" s="2" t="s">
        <v>100</v>
      </c>
      <c r="D179" s="2" t="s">
        <v>90</v>
      </c>
      <c r="E179" s="2" t="s">
        <v>91</v>
      </c>
      <c r="F179" s="2" t="s">
        <v>4</v>
      </c>
      <c r="G179" s="2" t="s">
        <v>101</v>
      </c>
      <c r="H179" s="2" t="s">
        <v>104</v>
      </c>
      <c r="I179" s="2"/>
      <c r="J179" s="2" t="s">
        <v>105</v>
      </c>
      <c r="K179" s="2" t="s">
        <v>106</v>
      </c>
    </row>
    <row r="180" spans="1:11" ht="15.5" x14ac:dyDescent="0.35">
      <c r="A180" s="3" t="s">
        <v>76</v>
      </c>
      <c r="B180" s="1">
        <v>151</v>
      </c>
      <c r="C180" s="20">
        <v>17500</v>
      </c>
      <c r="D180" s="1">
        <v>63</v>
      </c>
      <c r="E180" s="1">
        <v>88</v>
      </c>
      <c r="F180" s="20">
        <f>C180*B180</f>
        <v>2642500</v>
      </c>
      <c r="G180" s="20">
        <f>D180*C180</f>
        <v>1102500</v>
      </c>
      <c r="H180" s="20">
        <f>E180*C180</f>
        <v>1540000</v>
      </c>
      <c r="I180" s="20" t="b">
        <f>D180+E180=B180</f>
        <v>1</v>
      </c>
      <c r="J180" s="20">
        <f>B215</f>
        <v>440000</v>
      </c>
      <c r="K180" s="20" t="s">
        <v>117</v>
      </c>
    </row>
    <row r="181" spans="1:11" ht="15.5" x14ac:dyDescent="0.35">
      <c r="A181" s="3" t="s">
        <v>77</v>
      </c>
      <c r="B181" s="1">
        <v>19</v>
      </c>
      <c r="C181" s="20">
        <v>16000</v>
      </c>
      <c r="D181" s="1">
        <v>10</v>
      </c>
      <c r="E181" s="1">
        <v>9</v>
      </c>
      <c r="F181" s="20">
        <f t="shared" ref="F181:F192" si="26">C181*B181</f>
        <v>304000</v>
      </c>
      <c r="G181" s="20">
        <f t="shared" ref="G181:G192" si="27">D181*C181</f>
        <v>160000</v>
      </c>
      <c r="H181" s="20">
        <f t="shared" ref="H181:H196" si="28">E181*C181</f>
        <v>144000</v>
      </c>
      <c r="I181" s="20" t="b">
        <f t="shared" ref="I181:I196" si="29">D181+E181=B181</f>
        <v>1</v>
      </c>
      <c r="J181" s="20">
        <v>400000</v>
      </c>
      <c r="K181" s="20" t="s">
        <v>107</v>
      </c>
    </row>
    <row r="182" spans="1:11" ht="15.5" x14ac:dyDescent="0.35">
      <c r="A182" s="3" t="s">
        <v>78</v>
      </c>
      <c r="B182" s="1">
        <v>50</v>
      </c>
      <c r="C182" s="20">
        <v>17500</v>
      </c>
      <c r="D182" s="1">
        <v>24</v>
      </c>
      <c r="E182" s="1">
        <v>26</v>
      </c>
      <c r="F182" s="20">
        <f t="shared" si="26"/>
        <v>875000</v>
      </c>
      <c r="G182" s="20">
        <f t="shared" si="27"/>
        <v>420000</v>
      </c>
      <c r="H182" s="20">
        <f t="shared" si="28"/>
        <v>455000</v>
      </c>
      <c r="I182" s="20" t="b">
        <f t="shared" si="29"/>
        <v>1</v>
      </c>
      <c r="J182" s="20">
        <v>186000</v>
      </c>
      <c r="K182" s="20" t="s">
        <v>199</v>
      </c>
    </row>
    <row r="183" spans="1:11" ht="15.5" x14ac:dyDescent="0.35">
      <c r="A183" s="3" t="s">
        <v>79</v>
      </c>
      <c r="B183" s="1">
        <v>27</v>
      </c>
      <c r="C183" s="20">
        <v>18500</v>
      </c>
      <c r="D183" s="1">
        <v>9</v>
      </c>
      <c r="E183" s="1">
        <v>18</v>
      </c>
      <c r="F183" s="20">
        <f t="shared" si="26"/>
        <v>499500</v>
      </c>
      <c r="G183" s="20">
        <f t="shared" si="27"/>
        <v>166500</v>
      </c>
      <c r="H183" s="20">
        <f t="shared" si="28"/>
        <v>333000</v>
      </c>
      <c r="I183" s="20" t="b">
        <f t="shared" si="29"/>
        <v>1</v>
      </c>
      <c r="J183" s="20">
        <v>75000</v>
      </c>
      <c r="K183" s="20" t="s">
        <v>212</v>
      </c>
    </row>
    <row r="184" spans="1:11" ht="15.5" x14ac:dyDescent="0.35">
      <c r="A184" s="3" t="s">
        <v>80</v>
      </c>
      <c r="B184" s="1"/>
      <c r="C184" s="20">
        <v>18500</v>
      </c>
      <c r="D184" s="1"/>
      <c r="E184" s="1"/>
      <c r="F184" s="20">
        <f t="shared" si="26"/>
        <v>0</v>
      </c>
      <c r="G184" s="20">
        <f t="shared" si="27"/>
        <v>0</v>
      </c>
      <c r="H184" s="20">
        <f t="shared" si="28"/>
        <v>0</v>
      </c>
      <c r="I184" s="20" t="b">
        <f t="shared" si="29"/>
        <v>1</v>
      </c>
      <c r="J184" s="20"/>
      <c r="K184" s="20"/>
    </row>
    <row r="185" spans="1:11" ht="15.5" x14ac:dyDescent="0.35">
      <c r="A185" s="3" t="s">
        <v>81</v>
      </c>
      <c r="B185" s="1"/>
      <c r="C185" s="20">
        <v>23000</v>
      </c>
      <c r="D185" s="1"/>
      <c r="E185" s="1"/>
      <c r="F185" s="20">
        <f t="shared" si="26"/>
        <v>0</v>
      </c>
      <c r="G185" s="20">
        <f t="shared" si="27"/>
        <v>0</v>
      </c>
      <c r="H185" s="20">
        <f t="shared" si="28"/>
        <v>0</v>
      </c>
      <c r="I185" s="20" t="b">
        <f t="shared" si="29"/>
        <v>1</v>
      </c>
      <c r="J185" s="20"/>
      <c r="K185" s="20"/>
    </row>
    <row r="186" spans="1:11" ht="15.5" x14ac:dyDescent="0.35">
      <c r="A186" s="3" t="s">
        <v>82</v>
      </c>
      <c r="B186" s="1"/>
      <c r="C186" s="20">
        <v>18000</v>
      </c>
      <c r="D186" s="1"/>
      <c r="E186" s="1"/>
      <c r="F186" s="20">
        <f t="shared" si="26"/>
        <v>0</v>
      </c>
      <c r="G186" s="20">
        <f t="shared" si="27"/>
        <v>0</v>
      </c>
      <c r="H186" s="20">
        <f t="shared" si="28"/>
        <v>0</v>
      </c>
      <c r="I186" s="20" t="b">
        <f t="shared" si="29"/>
        <v>1</v>
      </c>
      <c r="J186" s="20"/>
      <c r="K186" s="20"/>
    </row>
    <row r="187" spans="1:11" ht="15.5" x14ac:dyDescent="0.35">
      <c r="A187" s="3" t="s">
        <v>83</v>
      </c>
      <c r="B187" s="1"/>
      <c r="C187" s="20">
        <v>18000</v>
      </c>
      <c r="D187" s="1"/>
      <c r="E187" s="1"/>
      <c r="F187" s="20">
        <f t="shared" si="26"/>
        <v>0</v>
      </c>
      <c r="G187" s="20">
        <f t="shared" si="27"/>
        <v>0</v>
      </c>
      <c r="H187" s="20">
        <f t="shared" si="28"/>
        <v>0</v>
      </c>
      <c r="I187" s="20" t="b">
        <f t="shared" si="29"/>
        <v>1</v>
      </c>
      <c r="J187" s="20"/>
      <c r="K187" s="20"/>
    </row>
    <row r="188" spans="1:11" ht="15.5" x14ac:dyDescent="0.35">
      <c r="A188" s="3" t="s">
        <v>84</v>
      </c>
      <c r="B188" s="1"/>
      <c r="C188" s="20">
        <v>18500</v>
      </c>
      <c r="D188" s="1"/>
      <c r="E188" s="1"/>
      <c r="F188" s="20">
        <f t="shared" si="26"/>
        <v>0</v>
      </c>
      <c r="G188" s="20">
        <f t="shared" si="27"/>
        <v>0</v>
      </c>
      <c r="H188" s="20">
        <f t="shared" si="28"/>
        <v>0</v>
      </c>
      <c r="I188" s="20" t="b">
        <f t="shared" si="29"/>
        <v>1</v>
      </c>
      <c r="J188" s="20"/>
      <c r="K188" s="20"/>
    </row>
    <row r="189" spans="1:11" ht="15.5" x14ac:dyDescent="0.35">
      <c r="A189" s="3" t="s">
        <v>85</v>
      </c>
      <c r="B189" s="1">
        <v>48</v>
      </c>
      <c r="C189" s="20">
        <v>18500</v>
      </c>
      <c r="D189" s="1">
        <v>23</v>
      </c>
      <c r="E189" s="1">
        <v>25</v>
      </c>
      <c r="F189" s="20">
        <f t="shared" si="26"/>
        <v>888000</v>
      </c>
      <c r="G189" s="20">
        <f t="shared" si="27"/>
        <v>425500</v>
      </c>
      <c r="H189" s="20">
        <f t="shared" si="28"/>
        <v>462500</v>
      </c>
      <c r="I189" s="20" t="b">
        <f t="shared" si="29"/>
        <v>1</v>
      </c>
      <c r="J189" s="20"/>
      <c r="K189" s="20"/>
    </row>
    <row r="190" spans="1:11" ht="15.5" x14ac:dyDescent="0.35">
      <c r="A190" s="3" t="s">
        <v>86</v>
      </c>
      <c r="B190" s="1">
        <v>6</v>
      </c>
      <c r="C190" s="20">
        <v>18500</v>
      </c>
      <c r="D190" s="1"/>
      <c r="E190" s="1">
        <v>6</v>
      </c>
      <c r="F190" s="20">
        <f t="shared" si="26"/>
        <v>111000</v>
      </c>
      <c r="G190" s="20">
        <f t="shared" si="27"/>
        <v>0</v>
      </c>
      <c r="H190" s="20">
        <f t="shared" si="28"/>
        <v>111000</v>
      </c>
      <c r="I190" s="20" t="b">
        <f t="shared" si="29"/>
        <v>1</v>
      </c>
      <c r="J190" s="20"/>
      <c r="K190" s="20"/>
    </row>
    <row r="191" spans="1:11" ht="15.5" x14ac:dyDescent="0.35">
      <c r="A191" s="3" t="s">
        <v>87</v>
      </c>
      <c r="B191" s="1"/>
      <c r="C191" s="20">
        <v>18500</v>
      </c>
      <c r="D191" s="1"/>
      <c r="E191" s="1"/>
      <c r="F191" s="20">
        <f t="shared" si="26"/>
        <v>0</v>
      </c>
      <c r="G191" s="20">
        <f t="shared" si="27"/>
        <v>0</v>
      </c>
      <c r="H191" s="20">
        <f t="shared" si="28"/>
        <v>0</v>
      </c>
      <c r="I191" s="20" t="b">
        <f t="shared" si="29"/>
        <v>1</v>
      </c>
      <c r="J191" s="20"/>
      <c r="K191" s="20"/>
    </row>
    <row r="192" spans="1:11" ht="15.5" x14ac:dyDescent="0.35">
      <c r="A192" s="3" t="s">
        <v>88</v>
      </c>
      <c r="B192" s="1">
        <v>10</v>
      </c>
      <c r="C192" s="20">
        <v>18500</v>
      </c>
      <c r="D192" s="1">
        <v>4</v>
      </c>
      <c r="E192" s="1">
        <v>6</v>
      </c>
      <c r="F192" s="20">
        <f t="shared" si="26"/>
        <v>185000</v>
      </c>
      <c r="G192" s="20">
        <f t="shared" si="27"/>
        <v>74000</v>
      </c>
      <c r="H192" s="20">
        <f t="shared" si="28"/>
        <v>111000</v>
      </c>
      <c r="I192" s="20" t="b">
        <f t="shared" si="29"/>
        <v>1</v>
      </c>
      <c r="J192" s="20"/>
      <c r="K192" s="20"/>
    </row>
    <row r="193" spans="1:11" ht="15.5" x14ac:dyDescent="0.35">
      <c r="A193" s="19" t="s">
        <v>89</v>
      </c>
      <c r="B193" s="1"/>
      <c r="C193" s="20"/>
      <c r="D193" s="1"/>
      <c r="E193" s="1"/>
      <c r="F193" s="20"/>
      <c r="G193" s="20"/>
      <c r="H193" s="20">
        <f t="shared" si="28"/>
        <v>0</v>
      </c>
      <c r="I193" s="20" t="b">
        <f t="shared" si="29"/>
        <v>1</v>
      </c>
      <c r="J193" s="20"/>
      <c r="K193" s="20"/>
    </row>
    <row r="194" spans="1:11" ht="15.5" x14ac:dyDescent="0.35">
      <c r="A194" s="3" t="s">
        <v>92</v>
      </c>
      <c r="B194" s="1">
        <v>29</v>
      </c>
      <c r="C194" s="20">
        <v>21500</v>
      </c>
      <c r="D194" s="1">
        <v>20</v>
      </c>
      <c r="E194" s="1">
        <v>9</v>
      </c>
      <c r="F194" s="20">
        <f t="shared" ref="F194:F196" si="30">C194*B194</f>
        <v>623500</v>
      </c>
      <c r="G194" s="20">
        <f t="shared" ref="G194:G196" si="31">D194*C194</f>
        <v>430000</v>
      </c>
      <c r="H194" s="20">
        <f t="shared" si="28"/>
        <v>193500</v>
      </c>
      <c r="I194" s="20" t="b">
        <f t="shared" si="29"/>
        <v>1</v>
      </c>
      <c r="J194" s="20"/>
      <c r="K194" s="20"/>
    </row>
    <row r="195" spans="1:11" ht="15.5" x14ac:dyDescent="0.35">
      <c r="A195" s="3" t="s">
        <v>93</v>
      </c>
      <c r="B195" s="1"/>
      <c r="C195" s="20">
        <v>21500</v>
      </c>
      <c r="D195" s="1"/>
      <c r="E195" s="1"/>
      <c r="F195" s="20">
        <f t="shared" si="30"/>
        <v>0</v>
      </c>
      <c r="G195" s="20">
        <f t="shared" si="31"/>
        <v>0</v>
      </c>
      <c r="H195" s="20">
        <f t="shared" si="28"/>
        <v>0</v>
      </c>
      <c r="I195" s="20" t="b">
        <f t="shared" si="29"/>
        <v>1</v>
      </c>
      <c r="J195" s="20"/>
      <c r="K195" s="20"/>
    </row>
    <row r="196" spans="1:11" ht="15.5" x14ac:dyDescent="0.35">
      <c r="A196" s="3" t="s">
        <v>94</v>
      </c>
      <c r="B196" s="1">
        <v>25</v>
      </c>
      <c r="C196" s="20">
        <v>21500</v>
      </c>
      <c r="D196" s="1">
        <v>14</v>
      </c>
      <c r="E196" s="1">
        <v>11</v>
      </c>
      <c r="F196" s="20">
        <f t="shared" si="30"/>
        <v>537500</v>
      </c>
      <c r="G196" s="20">
        <f t="shared" si="31"/>
        <v>301000</v>
      </c>
      <c r="H196" s="20">
        <f t="shared" si="28"/>
        <v>236500</v>
      </c>
      <c r="I196" s="20" t="b">
        <f t="shared" si="29"/>
        <v>1</v>
      </c>
      <c r="J196" s="20"/>
      <c r="K196" s="20"/>
    </row>
    <row r="197" spans="1:11" ht="15.5" x14ac:dyDescent="0.35">
      <c r="A197" s="19"/>
      <c r="B197" s="22">
        <f>SUM(B180:B196)</f>
        <v>365</v>
      </c>
      <c r="C197" s="20"/>
      <c r="D197" s="1"/>
      <c r="E197" s="1"/>
      <c r="F197" s="23">
        <f>SUM(F180:F196)</f>
        <v>6666000</v>
      </c>
      <c r="G197" s="23">
        <f>SUM(G180:G196)</f>
        <v>3079500</v>
      </c>
      <c r="H197" s="23">
        <f>SUM(H180:H196)</f>
        <v>3586500</v>
      </c>
      <c r="I197" s="23"/>
      <c r="J197" s="23">
        <f>SUM(J180:J196)</f>
        <v>1101000</v>
      </c>
      <c r="K197" s="23">
        <f>H197-J197</f>
        <v>2485500</v>
      </c>
    </row>
    <row r="198" spans="1:11" ht="15.5" x14ac:dyDescent="0.35">
      <c r="A198" s="19" t="s">
        <v>95</v>
      </c>
      <c r="B198" s="1"/>
      <c r="C198" s="20"/>
      <c r="D198" s="1"/>
      <c r="E198" s="1"/>
      <c r="F198" s="20"/>
      <c r="G198" s="20"/>
      <c r="H198" s="20" t="s">
        <v>192</v>
      </c>
      <c r="I198" s="20"/>
      <c r="J198" s="20"/>
      <c r="K198" s="20"/>
    </row>
    <row r="199" spans="1:11" ht="15.5" x14ac:dyDescent="0.35">
      <c r="A199" s="3" t="s">
        <v>96</v>
      </c>
      <c r="B199" s="1"/>
      <c r="C199" s="20">
        <v>3000</v>
      </c>
      <c r="D199" s="1"/>
      <c r="E199" s="20"/>
      <c r="F199" s="20">
        <f t="shared" ref="F199:F202" si="32">C199*B199</f>
        <v>0</v>
      </c>
      <c r="G199" s="20"/>
      <c r="H199" s="20"/>
      <c r="I199" s="20"/>
      <c r="J199" s="20"/>
      <c r="K199" s="20"/>
    </row>
    <row r="200" spans="1:11" ht="15.5" x14ac:dyDescent="0.35">
      <c r="A200" s="3" t="s">
        <v>97</v>
      </c>
      <c r="B200" s="1"/>
      <c r="C200" s="20">
        <v>2500</v>
      </c>
      <c r="D200" s="1"/>
      <c r="E200" s="1"/>
      <c r="F200" s="20">
        <f t="shared" si="32"/>
        <v>0</v>
      </c>
      <c r="G200" s="20"/>
      <c r="H200" s="20"/>
      <c r="I200" s="20"/>
      <c r="J200" s="20"/>
      <c r="K200" s="20"/>
    </row>
    <row r="201" spans="1:11" ht="15.5" x14ac:dyDescent="0.35">
      <c r="A201" s="3" t="s">
        <v>98</v>
      </c>
      <c r="B201" s="1"/>
      <c r="C201" s="20">
        <v>1800</v>
      </c>
      <c r="D201" s="1"/>
      <c r="E201" s="1"/>
      <c r="F201" s="20">
        <f t="shared" si="32"/>
        <v>0</v>
      </c>
      <c r="G201" s="20"/>
      <c r="H201" s="20"/>
      <c r="I201" s="20"/>
      <c r="J201" s="20"/>
      <c r="K201" s="20"/>
    </row>
    <row r="202" spans="1:11" ht="15.5" x14ac:dyDescent="0.35">
      <c r="A202" s="3" t="s">
        <v>99</v>
      </c>
      <c r="B202" s="1">
        <v>1</v>
      </c>
      <c r="C202" s="20">
        <v>3500</v>
      </c>
      <c r="D202" s="1"/>
      <c r="E202" s="1">
        <v>1</v>
      </c>
      <c r="F202" s="20">
        <f t="shared" si="32"/>
        <v>3500</v>
      </c>
      <c r="G202" s="20"/>
      <c r="H202" s="20"/>
      <c r="I202" s="20"/>
      <c r="J202" s="20"/>
      <c r="K202" s="20"/>
    </row>
    <row r="203" spans="1:11" ht="15.5" x14ac:dyDescent="0.35">
      <c r="A203" s="18"/>
      <c r="F203" s="21"/>
    </row>
    <row r="204" spans="1:11" ht="15.5" x14ac:dyDescent="0.35">
      <c r="A204" s="24" t="s">
        <v>108</v>
      </c>
      <c r="K204" s="21"/>
    </row>
    <row r="205" spans="1:11" ht="15.5" x14ac:dyDescent="0.35">
      <c r="A205" s="18" t="s">
        <v>114</v>
      </c>
      <c r="B205" s="67">
        <v>40000</v>
      </c>
    </row>
    <row r="206" spans="1:11" ht="15.5" x14ac:dyDescent="0.35">
      <c r="A206" s="18" t="s">
        <v>112</v>
      </c>
      <c r="B206" s="67">
        <v>40000</v>
      </c>
    </row>
    <row r="207" spans="1:11" ht="15.5" x14ac:dyDescent="0.35">
      <c r="A207" s="18" t="s">
        <v>309</v>
      </c>
      <c r="B207" s="67">
        <v>60000</v>
      </c>
    </row>
    <row r="208" spans="1:11" ht="15.5" x14ac:dyDescent="0.35">
      <c r="A208" s="18" t="s">
        <v>110</v>
      </c>
      <c r="B208" s="67">
        <v>40000</v>
      </c>
    </row>
    <row r="209" spans="1:11" ht="15.5" x14ac:dyDescent="0.35">
      <c r="A209" s="18" t="s">
        <v>111</v>
      </c>
      <c r="B209" s="67">
        <v>40000</v>
      </c>
    </row>
    <row r="210" spans="1:11" ht="15.5" x14ac:dyDescent="0.35">
      <c r="A210" s="18" t="s">
        <v>196</v>
      </c>
      <c r="B210" s="67">
        <v>40000</v>
      </c>
    </row>
    <row r="211" spans="1:11" ht="15.5" x14ac:dyDescent="0.35">
      <c r="A211" s="18" t="s">
        <v>113</v>
      </c>
      <c r="B211" s="67">
        <v>40000</v>
      </c>
    </row>
    <row r="212" spans="1:11" ht="15.5" x14ac:dyDescent="0.35">
      <c r="A212" s="18" t="s">
        <v>209</v>
      </c>
      <c r="B212" s="67">
        <v>40000</v>
      </c>
    </row>
    <row r="213" spans="1:11" ht="15.5" x14ac:dyDescent="0.35">
      <c r="A213" s="18" t="s">
        <v>115</v>
      </c>
      <c r="B213" s="67">
        <v>60000</v>
      </c>
    </row>
    <row r="214" spans="1:11" ht="15.5" x14ac:dyDescent="0.35">
      <c r="A214" s="18" t="s">
        <v>109</v>
      </c>
      <c r="B214" s="67">
        <v>40000</v>
      </c>
    </row>
    <row r="215" spans="1:11" ht="15.5" x14ac:dyDescent="0.35">
      <c r="A215" s="24" t="s">
        <v>4</v>
      </c>
      <c r="B215" s="75">
        <f>SUM(B205:B214)</f>
        <v>440000</v>
      </c>
    </row>
    <row r="216" spans="1:11" ht="15.5" x14ac:dyDescent="0.35">
      <c r="A216" s="24"/>
      <c r="B216" s="17"/>
    </row>
    <row r="217" spans="1:11" ht="15.5" x14ac:dyDescent="0.35">
      <c r="A217" s="24"/>
      <c r="B217" s="17"/>
    </row>
    <row r="218" spans="1:11" ht="15.5" x14ac:dyDescent="0.35">
      <c r="A218" s="24"/>
      <c r="B218" s="17"/>
    </row>
    <row r="219" spans="1:11" ht="18.5" x14ac:dyDescent="0.45">
      <c r="A219" s="151" t="s">
        <v>1</v>
      </c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</row>
    <row r="220" spans="1:11" ht="18.5" x14ac:dyDescent="0.45">
      <c r="A220" s="150" t="s">
        <v>74</v>
      </c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</row>
    <row r="221" spans="1:11" ht="18.5" x14ac:dyDescent="0.45">
      <c r="A221" s="149">
        <v>46088</v>
      </c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</row>
    <row r="222" spans="1:11" ht="18.5" x14ac:dyDescent="0.45">
      <c r="A222" s="150"/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</row>
    <row r="223" spans="1:11" ht="18.5" x14ac:dyDescent="0.45">
      <c r="A223" s="2" t="s">
        <v>75</v>
      </c>
      <c r="B223" s="2" t="s">
        <v>3</v>
      </c>
      <c r="C223" s="2" t="s">
        <v>100</v>
      </c>
      <c r="D223" s="2" t="s">
        <v>90</v>
      </c>
      <c r="E223" s="2" t="s">
        <v>91</v>
      </c>
      <c r="F223" s="2" t="s">
        <v>4</v>
      </c>
      <c r="G223" s="2" t="s">
        <v>101</v>
      </c>
      <c r="H223" s="2" t="s">
        <v>104</v>
      </c>
      <c r="I223" s="2"/>
      <c r="J223" s="2" t="s">
        <v>105</v>
      </c>
      <c r="K223" s="2" t="s">
        <v>106</v>
      </c>
    </row>
    <row r="224" spans="1:11" ht="15.5" x14ac:dyDescent="0.35">
      <c r="A224" s="3" t="s">
        <v>76</v>
      </c>
      <c r="B224" s="1">
        <v>75</v>
      </c>
      <c r="C224" s="20">
        <v>17500</v>
      </c>
      <c r="D224" s="1"/>
      <c r="E224" s="1"/>
      <c r="F224" s="20">
        <f>C224*B224</f>
        <v>1312500</v>
      </c>
      <c r="G224" s="20">
        <f>D224*C224</f>
        <v>0</v>
      </c>
      <c r="H224" s="20">
        <f>E224*C224</f>
        <v>0</v>
      </c>
      <c r="I224" s="20" t="b">
        <f>D224+E224=B224</f>
        <v>0</v>
      </c>
      <c r="J224" s="20">
        <f>B253</f>
        <v>240000</v>
      </c>
      <c r="K224" s="20" t="s">
        <v>117</v>
      </c>
    </row>
    <row r="225" spans="1:11" ht="15.5" x14ac:dyDescent="0.35">
      <c r="A225" s="3" t="s">
        <v>77</v>
      </c>
      <c r="B225" s="1">
        <v>14</v>
      </c>
      <c r="C225" s="20">
        <v>16000</v>
      </c>
      <c r="D225" s="1"/>
      <c r="E225" s="1"/>
      <c r="F225" s="20">
        <f t="shared" ref="F225:F236" si="33">C225*B225</f>
        <v>224000</v>
      </c>
      <c r="G225" s="20">
        <f t="shared" ref="G225:G236" si="34">D225*C225</f>
        <v>0</v>
      </c>
      <c r="H225" s="20">
        <f t="shared" ref="H225:H240" si="35">E225*C225</f>
        <v>0</v>
      </c>
      <c r="I225" s="20" t="b">
        <f t="shared" ref="I225:I240" si="36">D225+E225=B225</f>
        <v>0</v>
      </c>
      <c r="J225" s="20">
        <v>236000</v>
      </c>
      <c r="K225" s="20" t="s">
        <v>107</v>
      </c>
    </row>
    <row r="226" spans="1:11" ht="15.5" x14ac:dyDescent="0.35">
      <c r="A226" s="3" t="s">
        <v>78</v>
      </c>
      <c r="B226" s="1">
        <v>34</v>
      </c>
      <c r="C226" s="20">
        <v>17500</v>
      </c>
      <c r="D226" s="1"/>
      <c r="E226" s="1"/>
      <c r="F226" s="20">
        <f t="shared" si="33"/>
        <v>595000</v>
      </c>
      <c r="G226" s="20">
        <f t="shared" si="34"/>
        <v>0</v>
      </c>
      <c r="H226" s="20">
        <f t="shared" si="35"/>
        <v>0</v>
      </c>
      <c r="I226" s="20" t="b">
        <f t="shared" si="36"/>
        <v>0</v>
      </c>
      <c r="J226" s="20"/>
      <c r="K226" s="20"/>
    </row>
    <row r="227" spans="1:11" ht="15.5" x14ac:dyDescent="0.35">
      <c r="A227" s="3" t="s">
        <v>79</v>
      </c>
      <c r="B227" s="1">
        <v>12</v>
      </c>
      <c r="C227" s="20">
        <v>18500</v>
      </c>
      <c r="D227" s="1"/>
      <c r="E227" s="1"/>
      <c r="F227" s="20">
        <f t="shared" si="33"/>
        <v>222000</v>
      </c>
      <c r="G227" s="20">
        <f t="shared" si="34"/>
        <v>0</v>
      </c>
      <c r="H227" s="20">
        <f t="shared" si="35"/>
        <v>0</v>
      </c>
      <c r="I227" s="20" t="b">
        <f t="shared" si="36"/>
        <v>0</v>
      </c>
      <c r="J227" s="20"/>
      <c r="K227" s="20"/>
    </row>
    <row r="228" spans="1:11" ht="15.5" x14ac:dyDescent="0.35">
      <c r="A228" s="3" t="s">
        <v>80</v>
      </c>
      <c r="B228" s="1">
        <v>18</v>
      </c>
      <c r="C228" s="20">
        <v>18500</v>
      </c>
      <c r="D228" s="1"/>
      <c r="E228" s="1"/>
      <c r="F228" s="20">
        <f t="shared" si="33"/>
        <v>333000</v>
      </c>
      <c r="G228" s="20">
        <f t="shared" si="34"/>
        <v>0</v>
      </c>
      <c r="H228" s="20">
        <f t="shared" si="35"/>
        <v>0</v>
      </c>
      <c r="I228" s="20" t="b">
        <f t="shared" si="36"/>
        <v>0</v>
      </c>
      <c r="J228" s="20"/>
      <c r="K228" s="20"/>
    </row>
    <row r="229" spans="1:11" ht="15.5" x14ac:dyDescent="0.35">
      <c r="A229" s="3" t="s">
        <v>81</v>
      </c>
      <c r="B229" s="1">
        <v>15</v>
      </c>
      <c r="C229" s="20">
        <v>23000</v>
      </c>
      <c r="D229" s="1"/>
      <c r="E229" s="1"/>
      <c r="F229" s="20">
        <f t="shared" si="33"/>
        <v>345000</v>
      </c>
      <c r="G229" s="20">
        <f t="shared" si="34"/>
        <v>0</v>
      </c>
      <c r="H229" s="20">
        <f t="shared" si="35"/>
        <v>0</v>
      </c>
      <c r="I229" s="20" t="b">
        <f t="shared" si="36"/>
        <v>0</v>
      </c>
      <c r="J229" s="20"/>
      <c r="K229" s="20"/>
    </row>
    <row r="230" spans="1:11" ht="15.5" x14ac:dyDescent="0.35">
      <c r="A230" s="3" t="s">
        <v>82</v>
      </c>
      <c r="B230" s="1"/>
      <c r="C230" s="20">
        <v>18000</v>
      </c>
      <c r="D230" s="1"/>
      <c r="E230" s="1"/>
      <c r="F230" s="20">
        <f t="shared" si="33"/>
        <v>0</v>
      </c>
      <c r="G230" s="20">
        <f t="shared" si="34"/>
        <v>0</v>
      </c>
      <c r="H230" s="20">
        <f t="shared" si="35"/>
        <v>0</v>
      </c>
      <c r="I230" s="20" t="b">
        <f t="shared" si="36"/>
        <v>1</v>
      </c>
      <c r="J230" s="20"/>
      <c r="K230" s="20"/>
    </row>
    <row r="231" spans="1:11" ht="15.5" x14ac:dyDescent="0.35">
      <c r="A231" s="3" t="s">
        <v>83</v>
      </c>
      <c r="B231" s="1"/>
      <c r="C231" s="20">
        <v>18000</v>
      </c>
      <c r="D231" s="1"/>
      <c r="E231" s="1"/>
      <c r="F231" s="20">
        <f t="shared" si="33"/>
        <v>0</v>
      </c>
      <c r="G231" s="20">
        <f t="shared" si="34"/>
        <v>0</v>
      </c>
      <c r="H231" s="20">
        <f t="shared" si="35"/>
        <v>0</v>
      </c>
      <c r="I231" s="20" t="b">
        <f t="shared" si="36"/>
        <v>1</v>
      </c>
      <c r="J231" s="20"/>
      <c r="K231" s="20"/>
    </row>
    <row r="232" spans="1:11" ht="15.5" x14ac:dyDescent="0.35">
      <c r="A232" s="3" t="s">
        <v>84</v>
      </c>
      <c r="B232" s="1"/>
      <c r="C232" s="20">
        <v>18500</v>
      </c>
      <c r="D232" s="1"/>
      <c r="E232" s="1"/>
      <c r="F232" s="20">
        <f t="shared" si="33"/>
        <v>0</v>
      </c>
      <c r="G232" s="20">
        <f t="shared" si="34"/>
        <v>0</v>
      </c>
      <c r="H232" s="20">
        <f t="shared" si="35"/>
        <v>0</v>
      </c>
      <c r="I232" s="20" t="b">
        <f t="shared" si="36"/>
        <v>1</v>
      </c>
      <c r="J232" s="20"/>
      <c r="K232" s="20"/>
    </row>
    <row r="233" spans="1:11" ht="15.5" x14ac:dyDescent="0.35">
      <c r="A233" s="3" t="s">
        <v>85</v>
      </c>
      <c r="B233" s="1">
        <v>23</v>
      </c>
      <c r="C233" s="20">
        <v>18500</v>
      </c>
      <c r="D233" s="1"/>
      <c r="E233" s="1"/>
      <c r="F233" s="20">
        <f t="shared" si="33"/>
        <v>425500</v>
      </c>
      <c r="G233" s="20">
        <f t="shared" si="34"/>
        <v>0</v>
      </c>
      <c r="H233" s="20">
        <f t="shared" si="35"/>
        <v>0</v>
      </c>
      <c r="I233" s="20" t="b">
        <f t="shared" si="36"/>
        <v>0</v>
      </c>
      <c r="J233" s="20"/>
      <c r="K233" s="20"/>
    </row>
    <row r="234" spans="1:11" ht="15.5" x14ac:dyDescent="0.35">
      <c r="A234" s="3" t="s">
        <v>86</v>
      </c>
      <c r="B234" s="1">
        <v>8</v>
      </c>
      <c r="C234" s="20">
        <v>18500</v>
      </c>
      <c r="D234" s="1"/>
      <c r="E234" s="1"/>
      <c r="F234" s="20">
        <f t="shared" si="33"/>
        <v>148000</v>
      </c>
      <c r="G234" s="20">
        <f t="shared" si="34"/>
        <v>0</v>
      </c>
      <c r="H234" s="20">
        <f t="shared" si="35"/>
        <v>0</v>
      </c>
      <c r="I234" s="20" t="b">
        <f t="shared" si="36"/>
        <v>0</v>
      </c>
      <c r="J234" s="20"/>
      <c r="K234" s="20"/>
    </row>
    <row r="235" spans="1:11" ht="15.5" x14ac:dyDescent="0.35">
      <c r="A235" s="3" t="s">
        <v>87</v>
      </c>
      <c r="B235" s="1"/>
      <c r="C235" s="20">
        <v>18500</v>
      </c>
      <c r="D235" s="1"/>
      <c r="E235" s="1"/>
      <c r="F235" s="20">
        <f t="shared" si="33"/>
        <v>0</v>
      </c>
      <c r="G235" s="20">
        <f t="shared" si="34"/>
        <v>0</v>
      </c>
      <c r="H235" s="20">
        <f t="shared" si="35"/>
        <v>0</v>
      </c>
      <c r="I235" s="20" t="b">
        <f t="shared" si="36"/>
        <v>1</v>
      </c>
      <c r="J235" s="20"/>
      <c r="K235" s="20"/>
    </row>
    <row r="236" spans="1:11" ht="15.5" x14ac:dyDescent="0.35">
      <c r="A236" s="3" t="s">
        <v>88</v>
      </c>
      <c r="B236" s="1"/>
      <c r="C236" s="20">
        <v>18500</v>
      </c>
      <c r="D236" s="1"/>
      <c r="E236" s="1"/>
      <c r="F236" s="20">
        <f t="shared" si="33"/>
        <v>0</v>
      </c>
      <c r="G236" s="20">
        <f t="shared" si="34"/>
        <v>0</v>
      </c>
      <c r="H236" s="20">
        <f t="shared" si="35"/>
        <v>0</v>
      </c>
      <c r="I236" s="20" t="b">
        <f t="shared" si="36"/>
        <v>1</v>
      </c>
      <c r="J236" s="20"/>
      <c r="K236" s="20"/>
    </row>
    <row r="237" spans="1:11" ht="15.5" x14ac:dyDescent="0.35">
      <c r="A237" s="19" t="s">
        <v>89</v>
      </c>
      <c r="B237" s="1"/>
      <c r="C237" s="20"/>
      <c r="D237" s="1"/>
      <c r="E237" s="1"/>
      <c r="F237" s="20"/>
      <c r="G237" s="20"/>
      <c r="H237" s="20">
        <f t="shared" si="35"/>
        <v>0</v>
      </c>
      <c r="I237" s="20" t="b">
        <f t="shared" si="36"/>
        <v>1</v>
      </c>
      <c r="J237" s="20"/>
      <c r="K237" s="20"/>
    </row>
    <row r="238" spans="1:11" ht="15.5" x14ac:dyDescent="0.35">
      <c r="A238" s="3" t="s">
        <v>92</v>
      </c>
      <c r="B238" s="1">
        <v>23</v>
      </c>
      <c r="C238" s="20">
        <v>21500</v>
      </c>
      <c r="D238" s="1"/>
      <c r="E238" s="1"/>
      <c r="F238" s="20">
        <f t="shared" ref="F238:F240" si="37">C238*B238</f>
        <v>494500</v>
      </c>
      <c r="G238" s="20">
        <f t="shared" ref="G238:G240" si="38">D238*C238</f>
        <v>0</v>
      </c>
      <c r="H238" s="20">
        <f t="shared" si="35"/>
        <v>0</v>
      </c>
      <c r="I238" s="20" t="b">
        <f t="shared" si="36"/>
        <v>0</v>
      </c>
      <c r="J238" s="20"/>
      <c r="K238" s="20"/>
    </row>
    <row r="239" spans="1:11" ht="15.5" x14ac:dyDescent="0.35">
      <c r="A239" s="3" t="s">
        <v>93</v>
      </c>
      <c r="B239" s="1">
        <v>5</v>
      </c>
      <c r="C239" s="20">
        <v>21500</v>
      </c>
      <c r="D239" s="1"/>
      <c r="E239" s="1"/>
      <c r="F239" s="20">
        <f t="shared" si="37"/>
        <v>107500</v>
      </c>
      <c r="G239" s="20">
        <f t="shared" si="38"/>
        <v>0</v>
      </c>
      <c r="H239" s="20">
        <f t="shared" si="35"/>
        <v>0</v>
      </c>
      <c r="I239" s="20" t="b">
        <f t="shared" si="36"/>
        <v>0</v>
      </c>
      <c r="J239" s="20"/>
      <c r="K239" s="20"/>
    </row>
    <row r="240" spans="1:11" ht="15.5" x14ac:dyDescent="0.35">
      <c r="A240" s="3" t="s">
        <v>94</v>
      </c>
      <c r="B240" s="1"/>
      <c r="C240" s="20">
        <v>21500</v>
      </c>
      <c r="D240" s="1"/>
      <c r="E240" s="1"/>
      <c r="F240" s="20">
        <f t="shared" si="37"/>
        <v>0</v>
      </c>
      <c r="G240" s="20">
        <f t="shared" si="38"/>
        <v>0</v>
      </c>
      <c r="H240" s="20">
        <f t="shared" si="35"/>
        <v>0</v>
      </c>
      <c r="I240" s="20" t="b">
        <f t="shared" si="36"/>
        <v>1</v>
      </c>
      <c r="J240" s="20"/>
      <c r="K240" s="20"/>
    </row>
    <row r="241" spans="1:11" ht="15.5" x14ac:dyDescent="0.35">
      <c r="A241" s="19"/>
      <c r="B241" s="22">
        <f>SUM(B224:B240)</f>
        <v>227</v>
      </c>
      <c r="C241" s="20"/>
      <c r="D241" s="1"/>
      <c r="E241" s="1"/>
      <c r="F241" s="23">
        <f>SUM(F224:F240)</f>
        <v>4207000</v>
      </c>
      <c r="G241" s="23">
        <f>SUM(G224:G240)</f>
        <v>0</v>
      </c>
      <c r="H241" s="23">
        <f>SUM(H224:H240)</f>
        <v>0</v>
      </c>
      <c r="I241" s="23"/>
      <c r="J241" s="23">
        <f>SUM(J224:J240)</f>
        <v>476000</v>
      </c>
      <c r="K241" s="23">
        <f>H241-J241</f>
        <v>-476000</v>
      </c>
    </row>
    <row r="242" spans="1:11" ht="15.5" x14ac:dyDescent="0.35">
      <c r="A242" s="19" t="s">
        <v>95</v>
      </c>
      <c r="B242" s="1"/>
      <c r="C242" s="20"/>
      <c r="D242" s="1"/>
      <c r="E242" s="1"/>
      <c r="F242" s="20"/>
      <c r="G242" s="20"/>
      <c r="H242" s="20" t="s">
        <v>192</v>
      </c>
      <c r="I242" s="20"/>
      <c r="J242" s="20"/>
      <c r="K242" s="20"/>
    </row>
    <row r="243" spans="1:11" ht="15.5" x14ac:dyDescent="0.35">
      <c r="A243" s="3" t="s">
        <v>96</v>
      </c>
      <c r="B243" s="1"/>
      <c r="C243" s="20">
        <v>3000</v>
      </c>
      <c r="D243" s="1"/>
      <c r="E243" s="20"/>
      <c r="F243" s="20">
        <f t="shared" ref="F243:F246" si="39">C243*B243</f>
        <v>0</v>
      </c>
      <c r="G243" s="20"/>
      <c r="H243" s="20"/>
      <c r="I243" s="20"/>
      <c r="J243" s="20"/>
      <c r="K243" s="20"/>
    </row>
    <row r="244" spans="1:11" ht="15.5" x14ac:dyDescent="0.35">
      <c r="A244" s="3" t="s">
        <v>97</v>
      </c>
      <c r="B244" s="1"/>
      <c r="C244" s="20">
        <v>2500</v>
      </c>
      <c r="D244" s="1"/>
      <c r="E244" s="1"/>
      <c r="F244" s="20">
        <f t="shared" si="39"/>
        <v>0</v>
      </c>
      <c r="G244" s="20"/>
      <c r="H244" s="20"/>
      <c r="I244" s="20"/>
      <c r="J244" s="20"/>
      <c r="K244" s="20"/>
    </row>
    <row r="245" spans="1:11" ht="15.5" x14ac:dyDescent="0.35">
      <c r="A245" s="3" t="s">
        <v>98</v>
      </c>
      <c r="B245" s="1"/>
      <c r="C245" s="20">
        <v>1800</v>
      </c>
      <c r="D245" s="1"/>
      <c r="E245" s="1"/>
      <c r="F245" s="20">
        <f t="shared" si="39"/>
        <v>0</v>
      </c>
      <c r="G245" s="20"/>
      <c r="H245" s="20"/>
      <c r="I245" s="20"/>
      <c r="J245" s="20"/>
      <c r="K245" s="20"/>
    </row>
    <row r="246" spans="1:11" ht="15.5" x14ac:dyDescent="0.35">
      <c r="A246" s="3" t="s">
        <v>99</v>
      </c>
      <c r="B246" s="1"/>
      <c r="C246" s="20">
        <v>3500</v>
      </c>
      <c r="D246" s="1"/>
      <c r="E246" s="1"/>
      <c r="F246" s="20">
        <f t="shared" si="39"/>
        <v>0</v>
      </c>
      <c r="G246" s="20"/>
      <c r="H246" s="20"/>
      <c r="I246" s="20"/>
      <c r="J246" s="20"/>
      <c r="K246" s="20"/>
    </row>
    <row r="247" spans="1:11" ht="15.5" x14ac:dyDescent="0.35">
      <c r="A247" s="18"/>
      <c r="F247" s="21"/>
    </row>
    <row r="248" spans="1:11" ht="15.5" x14ac:dyDescent="0.35">
      <c r="A248" s="24" t="s">
        <v>108</v>
      </c>
      <c r="K248" s="21"/>
    </row>
    <row r="249" spans="1:11" ht="15.5" x14ac:dyDescent="0.35">
      <c r="A249" s="18" t="s">
        <v>114</v>
      </c>
      <c r="B249" s="67">
        <v>60000</v>
      </c>
    </row>
    <row r="250" spans="1:11" ht="15.5" x14ac:dyDescent="0.35">
      <c r="A250" s="18" t="s">
        <v>112</v>
      </c>
      <c r="B250" s="67">
        <v>60000</v>
      </c>
    </row>
    <row r="251" spans="1:11" ht="15.5" x14ac:dyDescent="0.35">
      <c r="A251" s="18" t="s">
        <v>110</v>
      </c>
      <c r="B251" s="67">
        <v>60000</v>
      </c>
    </row>
    <row r="252" spans="1:11" ht="15.5" x14ac:dyDescent="0.35">
      <c r="A252" s="18" t="s">
        <v>111</v>
      </c>
      <c r="B252" s="67">
        <v>60000</v>
      </c>
    </row>
    <row r="253" spans="1:11" ht="15.5" x14ac:dyDescent="0.35">
      <c r="A253" s="24" t="s">
        <v>4</v>
      </c>
      <c r="B253" s="75">
        <f>SUM(B249:B252)</f>
        <v>240000</v>
      </c>
    </row>
    <row r="254" spans="1:11" ht="15.5" x14ac:dyDescent="0.35">
      <c r="A254" s="24"/>
      <c r="B254" s="17"/>
    </row>
    <row r="256" spans="1:11" ht="18.5" x14ac:dyDescent="0.45">
      <c r="A256" s="150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</row>
    <row r="257" spans="1:11" ht="18.5" x14ac:dyDescent="0.45">
      <c r="A257" s="151" t="s">
        <v>1</v>
      </c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</row>
    <row r="258" spans="1:11" ht="18.5" x14ac:dyDescent="0.45">
      <c r="A258" s="150" t="s">
        <v>74</v>
      </c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</row>
    <row r="259" spans="1:11" ht="18.5" x14ac:dyDescent="0.45">
      <c r="A259" s="149">
        <v>46090</v>
      </c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</row>
    <row r="260" spans="1:11" ht="18.5" x14ac:dyDescent="0.45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</row>
    <row r="261" spans="1:11" ht="18.5" x14ac:dyDescent="0.45">
      <c r="A261" s="2" t="s">
        <v>75</v>
      </c>
      <c r="B261" s="2" t="s">
        <v>3</v>
      </c>
      <c r="C261" s="2" t="s">
        <v>100</v>
      </c>
      <c r="D261" s="2" t="s">
        <v>90</v>
      </c>
      <c r="E261" s="2" t="s">
        <v>91</v>
      </c>
      <c r="F261" s="2" t="s">
        <v>4</v>
      </c>
      <c r="G261" s="2" t="s">
        <v>101</v>
      </c>
      <c r="H261" s="2" t="s">
        <v>104</v>
      </c>
      <c r="I261" s="2"/>
      <c r="J261" s="2" t="s">
        <v>105</v>
      </c>
      <c r="K261" s="2" t="s">
        <v>106</v>
      </c>
    </row>
    <row r="262" spans="1:11" ht="15.5" x14ac:dyDescent="0.35">
      <c r="A262" s="3" t="s">
        <v>76</v>
      </c>
      <c r="B262" s="1">
        <v>125</v>
      </c>
      <c r="C262" s="20">
        <v>17500</v>
      </c>
      <c r="D262" s="1">
        <v>66</v>
      </c>
      <c r="E262" s="1">
        <v>59</v>
      </c>
      <c r="F262" s="20">
        <f>C262*B262</f>
        <v>2187500</v>
      </c>
      <c r="G262" s="20">
        <f>D262*C262</f>
        <v>1155000</v>
      </c>
      <c r="H262" s="20">
        <f>E262*C262</f>
        <v>1032500</v>
      </c>
      <c r="I262" s="20" t="b">
        <f>D262+E262=B262</f>
        <v>1</v>
      </c>
      <c r="J262" s="20">
        <f>B297</f>
        <v>440000</v>
      </c>
      <c r="K262" s="20" t="s">
        <v>117</v>
      </c>
    </row>
    <row r="263" spans="1:11" ht="15.5" x14ac:dyDescent="0.35">
      <c r="A263" s="3" t="s">
        <v>77</v>
      </c>
      <c r="B263" s="1">
        <v>15</v>
      </c>
      <c r="C263" s="20">
        <v>16000</v>
      </c>
      <c r="D263" s="1">
        <v>5</v>
      </c>
      <c r="E263" s="1">
        <v>10</v>
      </c>
      <c r="F263" s="20">
        <f t="shared" ref="F263:F274" si="40">C263*B263</f>
        <v>240000</v>
      </c>
      <c r="G263" s="20">
        <f t="shared" ref="G263:G274" si="41">D263*C263</f>
        <v>80000</v>
      </c>
      <c r="H263" s="20">
        <f t="shared" ref="H263:H278" si="42">E263*C263</f>
        <v>160000</v>
      </c>
      <c r="I263" s="20" t="b">
        <f t="shared" ref="I263:I278" si="43">D263+E263=B263</f>
        <v>1</v>
      </c>
      <c r="J263" s="20">
        <v>382000</v>
      </c>
      <c r="K263" s="20" t="s">
        <v>107</v>
      </c>
    </row>
    <row r="264" spans="1:11" ht="15.5" x14ac:dyDescent="0.35">
      <c r="A264" s="3" t="s">
        <v>78</v>
      </c>
      <c r="B264" s="1">
        <v>55</v>
      </c>
      <c r="C264" s="20">
        <v>17500</v>
      </c>
      <c r="D264" s="1">
        <v>24</v>
      </c>
      <c r="E264" s="1">
        <v>31</v>
      </c>
      <c r="F264" s="20">
        <f t="shared" si="40"/>
        <v>962500</v>
      </c>
      <c r="G264" s="20">
        <f t="shared" si="41"/>
        <v>420000</v>
      </c>
      <c r="H264" s="20">
        <f t="shared" si="42"/>
        <v>542500</v>
      </c>
      <c r="I264" s="20" t="b">
        <f t="shared" si="43"/>
        <v>1</v>
      </c>
      <c r="J264" s="20">
        <v>400000</v>
      </c>
      <c r="K264" s="20" t="s">
        <v>367</v>
      </c>
    </row>
    <row r="265" spans="1:11" ht="15.5" x14ac:dyDescent="0.35">
      <c r="A265" s="3" t="s">
        <v>79</v>
      </c>
      <c r="B265" s="1">
        <v>30</v>
      </c>
      <c r="C265" s="20">
        <v>18500</v>
      </c>
      <c r="D265" s="1">
        <v>21</v>
      </c>
      <c r="E265" s="1">
        <v>9</v>
      </c>
      <c r="F265" s="20">
        <f t="shared" si="40"/>
        <v>555000</v>
      </c>
      <c r="G265" s="20">
        <f t="shared" si="41"/>
        <v>388500</v>
      </c>
      <c r="H265" s="20">
        <f t="shared" si="42"/>
        <v>166500</v>
      </c>
      <c r="I265" s="20" t="b">
        <f t="shared" si="43"/>
        <v>1</v>
      </c>
      <c r="J265" s="20">
        <v>30000</v>
      </c>
      <c r="K265" s="20" t="s">
        <v>259</v>
      </c>
    </row>
    <row r="266" spans="1:11" ht="15.5" x14ac:dyDescent="0.35">
      <c r="A266" s="3" t="s">
        <v>80</v>
      </c>
      <c r="B266" s="1"/>
      <c r="C266" s="20">
        <v>18500</v>
      </c>
      <c r="D266" s="1"/>
      <c r="E266" s="1"/>
      <c r="F266" s="20">
        <f t="shared" si="40"/>
        <v>0</v>
      </c>
      <c r="G266" s="20">
        <f t="shared" si="41"/>
        <v>0</v>
      </c>
      <c r="H266" s="20">
        <f t="shared" si="42"/>
        <v>0</v>
      </c>
      <c r="I266" s="20" t="b">
        <f t="shared" si="43"/>
        <v>1</v>
      </c>
      <c r="J266" s="20"/>
      <c r="K266" s="20"/>
    </row>
    <row r="267" spans="1:11" ht="15.5" x14ac:dyDescent="0.35">
      <c r="A267" s="3" t="s">
        <v>81</v>
      </c>
      <c r="B267" s="1"/>
      <c r="C267" s="20">
        <v>23000</v>
      </c>
      <c r="D267" s="1"/>
      <c r="E267" s="1"/>
      <c r="F267" s="20">
        <f t="shared" si="40"/>
        <v>0</v>
      </c>
      <c r="G267" s="20">
        <f t="shared" si="41"/>
        <v>0</v>
      </c>
      <c r="H267" s="20">
        <f t="shared" si="42"/>
        <v>0</v>
      </c>
      <c r="I267" s="20" t="b">
        <f t="shared" si="43"/>
        <v>1</v>
      </c>
      <c r="J267" s="20"/>
      <c r="K267" s="20"/>
    </row>
    <row r="268" spans="1:11" ht="15.5" x14ac:dyDescent="0.35">
      <c r="A268" s="3" t="s">
        <v>82</v>
      </c>
      <c r="B268" s="1">
        <v>24</v>
      </c>
      <c r="C268" s="20">
        <v>18000</v>
      </c>
      <c r="D268" s="1">
        <v>14</v>
      </c>
      <c r="E268" s="1">
        <v>10</v>
      </c>
      <c r="F268" s="20">
        <f t="shared" si="40"/>
        <v>432000</v>
      </c>
      <c r="G268" s="20">
        <f t="shared" si="41"/>
        <v>252000</v>
      </c>
      <c r="H268" s="20">
        <f t="shared" si="42"/>
        <v>180000</v>
      </c>
      <c r="I268" s="20" t="b">
        <f t="shared" si="43"/>
        <v>1</v>
      </c>
      <c r="J268" s="20"/>
      <c r="K268" s="20"/>
    </row>
    <row r="269" spans="1:11" ht="15.5" x14ac:dyDescent="0.35">
      <c r="A269" s="3" t="s">
        <v>83</v>
      </c>
      <c r="B269" s="1"/>
      <c r="C269" s="20">
        <v>18000</v>
      </c>
      <c r="D269" s="1"/>
      <c r="E269" s="1"/>
      <c r="F269" s="20">
        <f t="shared" si="40"/>
        <v>0</v>
      </c>
      <c r="G269" s="20">
        <f t="shared" si="41"/>
        <v>0</v>
      </c>
      <c r="H269" s="20">
        <f t="shared" si="42"/>
        <v>0</v>
      </c>
      <c r="I269" s="20" t="b">
        <f t="shared" si="43"/>
        <v>1</v>
      </c>
      <c r="J269" s="20"/>
      <c r="K269" s="20"/>
    </row>
    <row r="270" spans="1:11" ht="15.5" x14ac:dyDescent="0.35">
      <c r="A270" s="3" t="s">
        <v>84</v>
      </c>
      <c r="B270" s="1"/>
      <c r="C270" s="20">
        <v>18500</v>
      </c>
      <c r="D270" s="1"/>
      <c r="E270" s="1"/>
      <c r="F270" s="20">
        <f t="shared" si="40"/>
        <v>0</v>
      </c>
      <c r="G270" s="20">
        <f t="shared" si="41"/>
        <v>0</v>
      </c>
      <c r="H270" s="20">
        <f t="shared" si="42"/>
        <v>0</v>
      </c>
      <c r="I270" s="20" t="b">
        <f t="shared" si="43"/>
        <v>1</v>
      </c>
      <c r="J270" s="20"/>
      <c r="K270" s="20"/>
    </row>
    <row r="271" spans="1:11" ht="15.5" x14ac:dyDescent="0.35">
      <c r="A271" s="3" t="s">
        <v>85</v>
      </c>
      <c r="B271" s="1"/>
      <c r="C271" s="20">
        <v>18500</v>
      </c>
      <c r="D271" s="1"/>
      <c r="E271" s="1"/>
      <c r="F271" s="20">
        <f t="shared" si="40"/>
        <v>0</v>
      </c>
      <c r="G271" s="20">
        <f t="shared" si="41"/>
        <v>0</v>
      </c>
      <c r="H271" s="20">
        <f t="shared" si="42"/>
        <v>0</v>
      </c>
      <c r="I271" s="20" t="b">
        <f t="shared" si="43"/>
        <v>1</v>
      </c>
      <c r="J271" s="20"/>
      <c r="K271" s="20"/>
    </row>
    <row r="272" spans="1:11" ht="15.5" x14ac:dyDescent="0.35">
      <c r="A272" s="3" t="s">
        <v>86</v>
      </c>
      <c r="B272" s="1">
        <v>16</v>
      </c>
      <c r="C272" s="20">
        <v>18500</v>
      </c>
      <c r="D272" s="1">
        <v>3</v>
      </c>
      <c r="E272" s="1">
        <v>13</v>
      </c>
      <c r="F272" s="20">
        <f t="shared" si="40"/>
        <v>296000</v>
      </c>
      <c r="G272" s="20">
        <f t="shared" si="41"/>
        <v>55500</v>
      </c>
      <c r="H272" s="20">
        <f t="shared" si="42"/>
        <v>240500</v>
      </c>
      <c r="I272" s="20" t="b">
        <f t="shared" si="43"/>
        <v>1</v>
      </c>
      <c r="J272" s="20"/>
      <c r="K272" s="20"/>
    </row>
    <row r="273" spans="1:11" ht="15.5" x14ac:dyDescent="0.35">
      <c r="A273" s="3" t="s">
        <v>87</v>
      </c>
      <c r="B273" s="1"/>
      <c r="C273" s="20">
        <v>18500</v>
      </c>
      <c r="D273" s="1"/>
      <c r="E273" s="1"/>
      <c r="F273" s="20">
        <f t="shared" si="40"/>
        <v>0</v>
      </c>
      <c r="G273" s="20">
        <f t="shared" si="41"/>
        <v>0</v>
      </c>
      <c r="H273" s="20">
        <f t="shared" si="42"/>
        <v>0</v>
      </c>
      <c r="I273" s="20" t="b">
        <f t="shared" si="43"/>
        <v>1</v>
      </c>
      <c r="J273" s="20"/>
      <c r="K273" s="20"/>
    </row>
    <row r="274" spans="1:11" ht="15.5" x14ac:dyDescent="0.35">
      <c r="A274" s="3" t="s">
        <v>88</v>
      </c>
      <c r="B274" s="1">
        <v>10</v>
      </c>
      <c r="C274" s="20">
        <v>18500</v>
      </c>
      <c r="D274" s="1">
        <v>6</v>
      </c>
      <c r="E274" s="1">
        <v>4</v>
      </c>
      <c r="F274" s="20">
        <f t="shared" si="40"/>
        <v>185000</v>
      </c>
      <c r="G274" s="20">
        <f t="shared" si="41"/>
        <v>111000</v>
      </c>
      <c r="H274" s="20">
        <f t="shared" si="42"/>
        <v>74000</v>
      </c>
      <c r="I274" s="20" t="b">
        <f t="shared" si="43"/>
        <v>1</v>
      </c>
      <c r="J274" s="20"/>
      <c r="K274" s="20"/>
    </row>
    <row r="275" spans="1:11" ht="15.5" x14ac:dyDescent="0.35">
      <c r="A275" s="19" t="s">
        <v>89</v>
      </c>
      <c r="B275" s="1"/>
      <c r="C275" s="20"/>
      <c r="D275" s="1"/>
      <c r="E275" s="1"/>
      <c r="F275" s="20"/>
      <c r="G275" s="20"/>
      <c r="H275" s="20">
        <f t="shared" si="42"/>
        <v>0</v>
      </c>
      <c r="I275" s="20" t="b">
        <f t="shared" si="43"/>
        <v>1</v>
      </c>
      <c r="J275" s="20"/>
      <c r="K275" s="20"/>
    </row>
    <row r="276" spans="1:11" ht="15.5" x14ac:dyDescent="0.35">
      <c r="A276" s="3" t="s">
        <v>92</v>
      </c>
      <c r="B276" s="1">
        <v>33</v>
      </c>
      <c r="C276" s="20">
        <v>21500</v>
      </c>
      <c r="D276" s="1">
        <v>18</v>
      </c>
      <c r="E276" s="1">
        <v>15</v>
      </c>
      <c r="F276" s="20">
        <f t="shared" ref="F276:F278" si="44">C276*B276</f>
        <v>709500</v>
      </c>
      <c r="G276" s="20">
        <f t="shared" ref="G276:G278" si="45">D276*C276</f>
        <v>387000</v>
      </c>
      <c r="H276" s="20">
        <f t="shared" si="42"/>
        <v>322500</v>
      </c>
      <c r="I276" s="20" t="b">
        <f t="shared" si="43"/>
        <v>1</v>
      </c>
      <c r="J276" s="20"/>
      <c r="K276" s="20"/>
    </row>
    <row r="277" spans="1:11" ht="15.5" x14ac:dyDescent="0.35">
      <c r="A277" s="3" t="s">
        <v>93</v>
      </c>
      <c r="B277" s="1"/>
      <c r="C277" s="20">
        <v>21500</v>
      </c>
      <c r="D277" s="1"/>
      <c r="E277" s="1"/>
      <c r="F277" s="20">
        <f t="shared" si="44"/>
        <v>0</v>
      </c>
      <c r="G277" s="20">
        <f t="shared" si="45"/>
        <v>0</v>
      </c>
      <c r="H277" s="20">
        <f t="shared" si="42"/>
        <v>0</v>
      </c>
      <c r="I277" s="20" t="b">
        <f t="shared" si="43"/>
        <v>1</v>
      </c>
      <c r="J277" s="20"/>
      <c r="K277" s="20"/>
    </row>
    <row r="278" spans="1:11" ht="15.5" x14ac:dyDescent="0.35">
      <c r="A278" s="3" t="s">
        <v>94</v>
      </c>
      <c r="B278" s="1">
        <v>28</v>
      </c>
      <c r="C278" s="20">
        <v>21500</v>
      </c>
      <c r="D278" s="1">
        <v>15</v>
      </c>
      <c r="E278" s="1">
        <v>13</v>
      </c>
      <c r="F278" s="20">
        <f t="shared" si="44"/>
        <v>602000</v>
      </c>
      <c r="G278" s="20">
        <f t="shared" si="45"/>
        <v>322500</v>
      </c>
      <c r="H278" s="20">
        <f t="shared" si="42"/>
        <v>279500</v>
      </c>
      <c r="I278" s="20" t="b">
        <f t="shared" si="43"/>
        <v>1</v>
      </c>
      <c r="J278" s="20"/>
      <c r="K278" s="20"/>
    </row>
    <row r="279" spans="1:11" ht="15.5" x14ac:dyDescent="0.35">
      <c r="A279" s="19"/>
      <c r="B279" s="22">
        <f>SUM(B262:B278)</f>
        <v>336</v>
      </c>
      <c r="C279" s="20"/>
      <c r="D279" s="1"/>
      <c r="E279" s="1"/>
      <c r="F279" s="23">
        <f>SUM(F262:F278)</f>
        <v>6169500</v>
      </c>
      <c r="G279" s="23">
        <f>SUM(G262:G278)</f>
        <v>3171500</v>
      </c>
      <c r="H279" s="23">
        <f>SUM(H262:H278)</f>
        <v>2998000</v>
      </c>
      <c r="I279" s="23"/>
      <c r="J279" s="23">
        <f>SUM(J262:J278)</f>
        <v>1252000</v>
      </c>
      <c r="K279" s="23">
        <f>H279-J279</f>
        <v>1746000</v>
      </c>
    </row>
    <row r="280" spans="1:11" ht="15.5" x14ac:dyDescent="0.35">
      <c r="A280" s="19" t="s">
        <v>95</v>
      </c>
      <c r="B280" s="1"/>
      <c r="C280" s="20"/>
      <c r="D280" s="1"/>
      <c r="E280" s="1"/>
      <c r="F280" s="20"/>
      <c r="G280" s="20"/>
      <c r="H280" s="20" t="s">
        <v>192</v>
      </c>
      <c r="I280" s="20"/>
      <c r="J280" s="20"/>
      <c r="K280" s="20"/>
    </row>
    <row r="281" spans="1:11" ht="15.5" x14ac:dyDescent="0.35">
      <c r="A281" s="3" t="s">
        <v>96</v>
      </c>
      <c r="B281" s="1"/>
      <c r="C281" s="20">
        <v>3000</v>
      </c>
      <c r="D281" s="1"/>
      <c r="E281" s="20"/>
      <c r="F281" s="20">
        <f t="shared" ref="F281:F284" si="46">C281*B281</f>
        <v>0</v>
      </c>
      <c r="G281" s="20"/>
      <c r="H281" s="20"/>
      <c r="I281" s="20"/>
      <c r="J281" s="20"/>
      <c r="K281" s="20"/>
    </row>
    <row r="282" spans="1:11" ht="15.5" x14ac:dyDescent="0.35">
      <c r="A282" s="3" t="s">
        <v>97</v>
      </c>
      <c r="B282" s="1"/>
      <c r="C282" s="20">
        <v>2500</v>
      </c>
      <c r="D282" s="1"/>
      <c r="E282" s="1"/>
      <c r="F282" s="20">
        <f t="shared" si="46"/>
        <v>0</v>
      </c>
      <c r="G282" s="20"/>
      <c r="H282" s="20"/>
      <c r="I282" s="20"/>
      <c r="J282" s="20"/>
      <c r="K282" s="20"/>
    </row>
    <row r="283" spans="1:11" ht="15.5" x14ac:dyDescent="0.35">
      <c r="A283" s="3" t="s">
        <v>98</v>
      </c>
      <c r="B283" s="1"/>
      <c r="C283" s="20">
        <v>1800</v>
      </c>
      <c r="D283" s="1"/>
      <c r="E283" s="1"/>
      <c r="F283" s="20">
        <f t="shared" si="46"/>
        <v>0</v>
      </c>
      <c r="G283" s="20"/>
      <c r="H283" s="20"/>
      <c r="I283" s="20"/>
      <c r="J283" s="20"/>
      <c r="K283" s="20"/>
    </row>
    <row r="284" spans="1:11" ht="15.5" x14ac:dyDescent="0.35">
      <c r="A284" s="3" t="s">
        <v>99</v>
      </c>
      <c r="B284" s="1">
        <v>1</v>
      </c>
      <c r="C284" s="20">
        <v>3500</v>
      </c>
      <c r="D284" s="1">
        <v>1</v>
      </c>
      <c r="E284" s="1"/>
      <c r="F284" s="20">
        <f t="shared" si="46"/>
        <v>3500</v>
      </c>
      <c r="G284" s="20"/>
      <c r="H284" s="20"/>
      <c r="I284" s="20"/>
      <c r="J284" s="20"/>
      <c r="K284" s="20"/>
    </row>
    <row r="285" spans="1:11" ht="15.5" x14ac:dyDescent="0.35">
      <c r="A285" s="18"/>
      <c r="F285" s="21"/>
    </row>
    <row r="286" spans="1:11" ht="15.5" x14ac:dyDescent="0.35">
      <c r="A286" s="24" t="s">
        <v>108</v>
      </c>
      <c r="K286" s="21"/>
    </row>
    <row r="287" spans="1:11" ht="15.5" x14ac:dyDescent="0.35">
      <c r="A287" s="18" t="s">
        <v>114</v>
      </c>
      <c r="B287" s="67">
        <v>40000</v>
      </c>
    </row>
    <row r="288" spans="1:11" ht="15.5" x14ac:dyDescent="0.35">
      <c r="A288" s="18" t="s">
        <v>112</v>
      </c>
      <c r="B288" s="67">
        <v>40000</v>
      </c>
    </row>
    <row r="289" spans="1:11" ht="15.5" x14ac:dyDescent="0.35">
      <c r="A289" s="18" t="s">
        <v>309</v>
      </c>
      <c r="B289" s="67">
        <v>60000</v>
      </c>
    </row>
    <row r="290" spans="1:11" ht="15.5" x14ac:dyDescent="0.35">
      <c r="A290" s="18" t="s">
        <v>110</v>
      </c>
      <c r="B290" s="67">
        <v>40000</v>
      </c>
    </row>
    <row r="291" spans="1:11" ht="15.5" x14ac:dyDescent="0.35">
      <c r="A291" s="18" t="s">
        <v>111</v>
      </c>
      <c r="B291" s="67">
        <v>40000</v>
      </c>
    </row>
    <row r="292" spans="1:11" ht="15.5" x14ac:dyDescent="0.35">
      <c r="A292" s="18" t="s">
        <v>196</v>
      </c>
      <c r="B292" s="67">
        <v>40000</v>
      </c>
    </row>
    <row r="293" spans="1:11" ht="15.5" x14ac:dyDescent="0.35">
      <c r="A293" s="18" t="s">
        <v>113</v>
      </c>
      <c r="B293" s="67">
        <v>40000</v>
      </c>
    </row>
    <row r="294" spans="1:11" ht="15.5" x14ac:dyDescent="0.35">
      <c r="A294" s="18" t="s">
        <v>209</v>
      </c>
      <c r="B294" s="67">
        <v>40000</v>
      </c>
    </row>
    <row r="295" spans="1:11" ht="15.5" x14ac:dyDescent="0.35">
      <c r="A295" s="18" t="s">
        <v>115</v>
      </c>
      <c r="B295" s="67">
        <v>60000</v>
      </c>
    </row>
    <row r="296" spans="1:11" ht="15.5" x14ac:dyDescent="0.35">
      <c r="A296" s="18" t="s">
        <v>109</v>
      </c>
      <c r="B296" s="67">
        <v>40000</v>
      </c>
    </row>
    <row r="297" spans="1:11" ht="15.5" x14ac:dyDescent="0.35">
      <c r="A297" s="24" t="s">
        <v>4</v>
      </c>
      <c r="B297" s="75">
        <f>SUM(B287:B296)</f>
        <v>440000</v>
      </c>
    </row>
    <row r="298" spans="1:11" ht="15.5" x14ac:dyDescent="0.35">
      <c r="A298" s="24"/>
      <c r="B298" s="17"/>
    </row>
    <row r="299" spans="1:11" ht="15.5" x14ac:dyDescent="0.35">
      <c r="A299" s="24"/>
      <c r="B299" s="17"/>
    </row>
    <row r="301" spans="1:11" ht="18.5" x14ac:dyDescent="0.45">
      <c r="A301" s="151" t="s">
        <v>1</v>
      </c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</row>
    <row r="302" spans="1:11" ht="18.5" x14ac:dyDescent="0.45">
      <c r="A302" s="150" t="s">
        <v>74</v>
      </c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</row>
    <row r="303" spans="1:11" ht="18.5" x14ac:dyDescent="0.45">
      <c r="A303" s="149">
        <v>46091</v>
      </c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</row>
    <row r="304" spans="1:11" ht="18.5" x14ac:dyDescent="0.45">
      <c r="A304" s="150"/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</row>
    <row r="305" spans="1:11" ht="18.5" x14ac:dyDescent="0.45">
      <c r="A305" s="2" t="s">
        <v>75</v>
      </c>
      <c r="B305" s="2" t="s">
        <v>3</v>
      </c>
      <c r="C305" s="2" t="s">
        <v>100</v>
      </c>
      <c r="D305" s="2" t="s">
        <v>90</v>
      </c>
      <c r="E305" s="2" t="s">
        <v>91</v>
      </c>
      <c r="F305" s="2" t="s">
        <v>4</v>
      </c>
      <c r="G305" s="2" t="s">
        <v>101</v>
      </c>
      <c r="H305" s="2" t="s">
        <v>104</v>
      </c>
      <c r="I305" s="2"/>
      <c r="J305" s="2" t="s">
        <v>105</v>
      </c>
      <c r="K305" s="2" t="s">
        <v>106</v>
      </c>
    </row>
    <row r="306" spans="1:11" ht="15.5" x14ac:dyDescent="0.35">
      <c r="A306" s="3" t="s">
        <v>76</v>
      </c>
      <c r="B306" s="1"/>
      <c r="C306" s="20">
        <v>17500</v>
      </c>
      <c r="D306" s="1"/>
      <c r="E306" s="1"/>
      <c r="F306" s="20">
        <f>C306*B306</f>
        <v>0</v>
      </c>
      <c r="G306" s="20">
        <f>D306*C306</f>
        <v>0</v>
      </c>
      <c r="H306" s="20">
        <f>E306*C306</f>
        <v>0</v>
      </c>
      <c r="I306" s="20" t="b">
        <f>D306+E306=B306</f>
        <v>1</v>
      </c>
      <c r="J306" s="20">
        <f>B341</f>
        <v>440000</v>
      </c>
      <c r="K306" s="20"/>
    </row>
    <row r="307" spans="1:11" ht="15.5" x14ac:dyDescent="0.35">
      <c r="A307" s="3" t="s">
        <v>77</v>
      </c>
      <c r="B307" s="1"/>
      <c r="C307" s="20">
        <v>16000</v>
      </c>
      <c r="D307" s="1"/>
      <c r="E307" s="1"/>
      <c r="F307" s="20">
        <f t="shared" ref="F307:F318" si="47">C307*B307</f>
        <v>0</v>
      </c>
      <c r="G307" s="20">
        <f t="shared" ref="G307:G318" si="48">D307*C307</f>
        <v>0</v>
      </c>
      <c r="H307" s="20">
        <f t="shared" ref="H307:H322" si="49">E307*C307</f>
        <v>0</v>
      </c>
      <c r="I307" s="20" t="b">
        <f t="shared" ref="I307:I322" si="50">D307+E307=B307</f>
        <v>1</v>
      </c>
      <c r="J307" s="20"/>
      <c r="K307" s="20"/>
    </row>
    <row r="308" spans="1:11" ht="15.5" x14ac:dyDescent="0.35">
      <c r="A308" s="3" t="s">
        <v>78</v>
      </c>
      <c r="B308" s="1"/>
      <c r="C308" s="20">
        <v>17500</v>
      </c>
      <c r="D308" s="1"/>
      <c r="E308" s="1"/>
      <c r="F308" s="20">
        <f t="shared" si="47"/>
        <v>0</v>
      </c>
      <c r="G308" s="20">
        <f t="shared" si="48"/>
        <v>0</v>
      </c>
      <c r="H308" s="20">
        <f t="shared" si="49"/>
        <v>0</v>
      </c>
      <c r="I308" s="20" t="b">
        <f t="shared" si="50"/>
        <v>1</v>
      </c>
      <c r="J308" s="20"/>
      <c r="K308" s="20"/>
    </row>
    <row r="309" spans="1:11" ht="15.5" x14ac:dyDescent="0.35">
      <c r="A309" s="3" t="s">
        <v>79</v>
      </c>
      <c r="B309" s="1"/>
      <c r="C309" s="20">
        <v>18500</v>
      </c>
      <c r="D309" s="1"/>
      <c r="E309" s="1"/>
      <c r="F309" s="20">
        <f t="shared" si="47"/>
        <v>0</v>
      </c>
      <c r="G309" s="20">
        <f t="shared" si="48"/>
        <v>0</v>
      </c>
      <c r="H309" s="20">
        <f t="shared" si="49"/>
        <v>0</v>
      </c>
      <c r="I309" s="20" t="b">
        <f t="shared" si="50"/>
        <v>1</v>
      </c>
      <c r="J309" s="20"/>
      <c r="K309" s="20"/>
    </row>
    <row r="310" spans="1:11" ht="15.5" x14ac:dyDescent="0.35">
      <c r="A310" s="3" t="s">
        <v>80</v>
      </c>
      <c r="B310" s="1"/>
      <c r="C310" s="20">
        <v>18500</v>
      </c>
      <c r="D310" s="1"/>
      <c r="E310" s="1"/>
      <c r="F310" s="20">
        <f t="shared" si="47"/>
        <v>0</v>
      </c>
      <c r="G310" s="20">
        <f t="shared" si="48"/>
        <v>0</v>
      </c>
      <c r="H310" s="20">
        <f t="shared" si="49"/>
        <v>0</v>
      </c>
      <c r="I310" s="20" t="b">
        <f t="shared" si="50"/>
        <v>1</v>
      </c>
      <c r="J310" s="20"/>
      <c r="K310" s="20"/>
    </row>
    <row r="311" spans="1:11" ht="15.5" x14ac:dyDescent="0.35">
      <c r="A311" s="3" t="s">
        <v>81</v>
      </c>
      <c r="B311" s="1"/>
      <c r="C311" s="20">
        <v>23000</v>
      </c>
      <c r="D311" s="1"/>
      <c r="E311" s="1"/>
      <c r="F311" s="20">
        <f t="shared" si="47"/>
        <v>0</v>
      </c>
      <c r="G311" s="20">
        <f t="shared" si="48"/>
        <v>0</v>
      </c>
      <c r="H311" s="20">
        <f t="shared" si="49"/>
        <v>0</v>
      </c>
      <c r="I311" s="20" t="b">
        <f t="shared" si="50"/>
        <v>1</v>
      </c>
      <c r="J311" s="20"/>
      <c r="K311" s="20"/>
    </row>
    <row r="312" spans="1:11" ht="15.5" x14ac:dyDescent="0.35">
      <c r="A312" s="3" t="s">
        <v>82</v>
      </c>
      <c r="B312" s="1"/>
      <c r="C312" s="20">
        <v>18000</v>
      </c>
      <c r="D312" s="1"/>
      <c r="E312" s="1"/>
      <c r="F312" s="20">
        <f t="shared" si="47"/>
        <v>0</v>
      </c>
      <c r="G312" s="20">
        <f t="shared" si="48"/>
        <v>0</v>
      </c>
      <c r="H312" s="20">
        <f t="shared" si="49"/>
        <v>0</v>
      </c>
      <c r="I312" s="20" t="b">
        <f t="shared" si="50"/>
        <v>1</v>
      </c>
      <c r="J312" s="20"/>
      <c r="K312" s="20"/>
    </row>
    <row r="313" spans="1:11" ht="15.5" x14ac:dyDescent="0.35">
      <c r="A313" s="3" t="s">
        <v>83</v>
      </c>
      <c r="B313" s="1"/>
      <c r="C313" s="20">
        <v>18000</v>
      </c>
      <c r="D313" s="1"/>
      <c r="E313" s="1"/>
      <c r="F313" s="20">
        <f t="shared" si="47"/>
        <v>0</v>
      </c>
      <c r="G313" s="20">
        <f t="shared" si="48"/>
        <v>0</v>
      </c>
      <c r="H313" s="20">
        <f t="shared" si="49"/>
        <v>0</v>
      </c>
      <c r="I313" s="20" t="b">
        <f t="shared" si="50"/>
        <v>1</v>
      </c>
      <c r="J313" s="20"/>
      <c r="K313" s="20"/>
    </row>
    <row r="314" spans="1:11" ht="15.5" x14ac:dyDescent="0.35">
      <c r="A314" s="3" t="s">
        <v>84</v>
      </c>
      <c r="B314" s="1"/>
      <c r="C314" s="20">
        <v>18500</v>
      </c>
      <c r="D314" s="1"/>
      <c r="E314" s="1"/>
      <c r="F314" s="20">
        <f t="shared" si="47"/>
        <v>0</v>
      </c>
      <c r="G314" s="20">
        <f t="shared" si="48"/>
        <v>0</v>
      </c>
      <c r="H314" s="20">
        <f t="shared" si="49"/>
        <v>0</v>
      </c>
      <c r="I314" s="20" t="b">
        <f t="shared" si="50"/>
        <v>1</v>
      </c>
      <c r="J314" s="20"/>
      <c r="K314" s="20"/>
    </row>
    <row r="315" spans="1:11" ht="15.5" x14ac:dyDescent="0.35">
      <c r="A315" s="3" t="s">
        <v>85</v>
      </c>
      <c r="B315" s="1"/>
      <c r="C315" s="20">
        <v>18500</v>
      </c>
      <c r="D315" s="1"/>
      <c r="E315" s="1"/>
      <c r="F315" s="20">
        <f t="shared" si="47"/>
        <v>0</v>
      </c>
      <c r="G315" s="20">
        <f t="shared" si="48"/>
        <v>0</v>
      </c>
      <c r="H315" s="20">
        <f t="shared" si="49"/>
        <v>0</v>
      </c>
      <c r="I315" s="20" t="b">
        <f t="shared" si="50"/>
        <v>1</v>
      </c>
      <c r="J315" s="20"/>
      <c r="K315" s="20"/>
    </row>
    <row r="316" spans="1:11" ht="15.5" x14ac:dyDescent="0.35">
      <c r="A316" s="3" t="s">
        <v>86</v>
      </c>
      <c r="B316" s="1"/>
      <c r="C316" s="20">
        <v>18500</v>
      </c>
      <c r="D316" s="1"/>
      <c r="E316" s="1"/>
      <c r="F316" s="20">
        <f t="shared" si="47"/>
        <v>0</v>
      </c>
      <c r="G316" s="20">
        <f t="shared" si="48"/>
        <v>0</v>
      </c>
      <c r="H316" s="20">
        <f t="shared" si="49"/>
        <v>0</v>
      </c>
      <c r="I316" s="20" t="b">
        <f t="shared" si="50"/>
        <v>1</v>
      </c>
      <c r="J316" s="20"/>
      <c r="K316" s="20"/>
    </row>
    <row r="317" spans="1:11" ht="15.5" x14ac:dyDescent="0.35">
      <c r="A317" s="3" t="s">
        <v>87</v>
      </c>
      <c r="B317" s="1"/>
      <c r="C317" s="20">
        <v>18500</v>
      </c>
      <c r="D317" s="1"/>
      <c r="E317" s="1"/>
      <c r="F317" s="20">
        <f t="shared" si="47"/>
        <v>0</v>
      </c>
      <c r="G317" s="20">
        <f t="shared" si="48"/>
        <v>0</v>
      </c>
      <c r="H317" s="20">
        <f t="shared" si="49"/>
        <v>0</v>
      </c>
      <c r="I317" s="20" t="b">
        <f t="shared" si="50"/>
        <v>1</v>
      </c>
      <c r="J317" s="20"/>
      <c r="K317" s="20"/>
    </row>
    <row r="318" spans="1:11" ht="15.5" x14ac:dyDescent="0.35">
      <c r="A318" s="3" t="s">
        <v>88</v>
      </c>
      <c r="B318" s="1"/>
      <c r="C318" s="20">
        <v>18500</v>
      </c>
      <c r="D318" s="1"/>
      <c r="E318" s="1"/>
      <c r="F318" s="20">
        <f t="shared" si="47"/>
        <v>0</v>
      </c>
      <c r="G318" s="20">
        <f t="shared" si="48"/>
        <v>0</v>
      </c>
      <c r="H318" s="20">
        <f t="shared" si="49"/>
        <v>0</v>
      </c>
      <c r="I318" s="20" t="b">
        <f t="shared" si="50"/>
        <v>1</v>
      </c>
      <c r="J318" s="20"/>
      <c r="K318" s="20"/>
    </row>
    <row r="319" spans="1:11" ht="15.5" x14ac:dyDescent="0.35">
      <c r="A319" s="19" t="s">
        <v>89</v>
      </c>
      <c r="B319" s="1"/>
      <c r="C319" s="20"/>
      <c r="D319" s="1"/>
      <c r="E319" s="1"/>
      <c r="F319" s="20"/>
      <c r="G319" s="20"/>
      <c r="H319" s="20">
        <f t="shared" si="49"/>
        <v>0</v>
      </c>
      <c r="I319" s="20" t="b">
        <f t="shared" si="50"/>
        <v>1</v>
      </c>
      <c r="J319" s="20"/>
      <c r="K319" s="20"/>
    </row>
    <row r="320" spans="1:11" ht="15.5" x14ac:dyDescent="0.35">
      <c r="A320" s="3" t="s">
        <v>92</v>
      </c>
      <c r="B320" s="1"/>
      <c r="C320" s="20">
        <v>21500</v>
      </c>
      <c r="D320" s="1"/>
      <c r="E320" s="1"/>
      <c r="F320" s="20">
        <f t="shared" ref="F320:F322" si="51">C320*B320</f>
        <v>0</v>
      </c>
      <c r="G320" s="20">
        <f t="shared" ref="G320:G322" si="52">D320*C320</f>
        <v>0</v>
      </c>
      <c r="H320" s="20">
        <f t="shared" si="49"/>
        <v>0</v>
      </c>
      <c r="I320" s="20" t="b">
        <f t="shared" si="50"/>
        <v>1</v>
      </c>
      <c r="J320" s="20"/>
      <c r="K320" s="20"/>
    </row>
    <row r="321" spans="1:11" ht="15.5" x14ac:dyDescent="0.35">
      <c r="A321" s="3" t="s">
        <v>93</v>
      </c>
      <c r="B321" s="1"/>
      <c r="C321" s="20">
        <v>21500</v>
      </c>
      <c r="D321" s="1"/>
      <c r="E321" s="1"/>
      <c r="F321" s="20">
        <f t="shared" si="51"/>
        <v>0</v>
      </c>
      <c r="G321" s="20">
        <f t="shared" si="52"/>
        <v>0</v>
      </c>
      <c r="H321" s="20">
        <f t="shared" si="49"/>
        <v>0</v>
      </c>
      <c r="I321" s="20" t="b">
        <f t="shared" si="50"/>
        <v>1</v>
      </c>
      <c r="J321" s="20"/>
      <c r="K321" s="20"/>
    </row>
    <row r="322" spans="1:11" ht="15.5" x14ac:dyDescent="0.35">
      <c r="A322" s="3" t="s">
        <v>94</v>
      </c>
      <c r="B322" s="1"/>
      <c r="C322" s="20">
        <v>21500</v>
      </c>
      <c r="D322" s="1"/>
      <c r="E322" s="1"/>
      <c r="F322" s="20">
        <f t="shared" si="51"/>
        <v>0</v>
      </c>
      <c r="G322" s="20">
        <f t="shared" si="52"/>
        <v>0</v>
      </c>
      <c r="H322" s="20">
        <f t="shared" si="49"/>
        <v>0</v>
      </c>
      <c r="I322" s="20" t="b">
        <f t="shared" si="50"/>
        <v>1</v>
      </c>
      <c r="J322" s="20"/>
      <c r="K322" s="20"/>
    </row>
    <row r="323" spans="1:11" ht="15.5" x14ac:dyDescent="0.35">
      <c r="A323" s="19"/>
      <c r="B323" s="22">
        <f>SUM(B306:B322)</f>
        <v>0</v>
      </c>
      <c r="C323" s="20"/>
      <c r="D323" s="1"/>
      <c r="E323" s="1"/>
      <c r="F323" s="23">
        <f>SUM(F306:F322)</f>
        <v>0</v>
      </c>
      <c r="G323" s="23">
        <f>SUM(G306:G322)</f>
        <v>0</v>
      </c>
      <c r="H323" s="23">
        <f>SUM(H306:H322)</f>
        <v>0</v>
      </c>
      <c r="I323" s="23"/>
      <c r="J323" s="23">
        <f>SUM(J306:J322)</f>
        <v>440000</v>
      </c>
      <c r="K323" s="23">
        <f>H323-J323</f>
        <v>-440000</v>
      </c>
    </row>
    <row r="324" spans="1:11" ht="15.5" x14ac:dyDescent="0.35">
      <c r="A324" s="19" t="s">
        <v>95</v>
      </c>
      <c r="B324" s="1"/>
      <c r="C324" s="20"/>
      <c r="D324" s="1"/>
      <c r="E324" s="1"/>
      <c r="F324" s="20"/>
      <c r="G324" s="20"/>
      <c r="H324" s="20" t="s">
        <v>192</v>
      </c>
      <c r="I324" s="20"/>
      <c r="J324" s="20"/>
      <c r="K324" s="20"/>
    </row>
    <row r="325" spans="1:11" ht="15.5" x14ac:dyDescent="0.35">
      <c r="A325" s="3" t="s">
        <v>96</v>
      </c>
      <c r="B325" s="1"/>
      <c r="C325" s="20">
        <v>3000</v>
      </c>
      <c r="D325" s="1"/>
      <c r="E325" s="20"/>
      <c r="F325" s="20">
        <f t="shared" ref="F325:F328" si="53">C325*B325</f>
        <v>0</v>
      </c>
      <c r="G325" s="20"/>
      <c r="H325" s="20"/>
      <c r="I325" s="20"/>
      <c r="J325" s="20"/>
      <c r="K325" s="20"/>
    </row>
    <row r="326" spans="1:11" ht="15.5" x14ac:dyDescent="0.35">
      <c r="A326" s="3" t="s">
        <v>97</v>
      </c>
      <c r="B326" s="1"/>
      <c r="C326" s="20">
        <v>2500</v>
      </c>
      <c r="D326" s="1"/>
      <c r="E326" s="1"/>
      <c r="F326" s="20">
        <f t="shared" si="53"/>
        <v>0</v>
      </c>
      <c r="G326" s="20"/>
      <c r="H326" s="20"/>
      <c r="I326" s="20"/>
      <c r="J326" s="20"/>
      <c r="K326" s="20"/>
    </row>
    <row r="327" spans="1:11" ht="15.5" x14ac:dyDescent="0.35">
      <c r="A327" s="3" t="s">
        <v>98</v>
      </c>
      <c r="B327" s="1"/>
      <c r="C327" s="20">
        <v>1800</v>
      </c>
      <c r="D327" s="1"/>
      <c r="E327" s="1"/>
      <c r="F327" s="20">
        <f t="shared" si="53"/>
        <v>0</v>
      </c>
      <c r="G327" s="20"/>
      <c r="H327" s="20"/>
      <c r="I327" s="20"/>
      <c r="J327" s="20"/>
      <c r="K327" s="20"/>
    </row>
    <row r="328" spans="1:11" ht="15.5" x14ac:dyDescent="0.35">
      <c r="A328" s="3" t="s">
        <v>99</v>
      </c>
      <c r="B328" s="1"/>
      <c r="C328" s="20">
        <v>3500</v>
      </c>
      <c r="D328" s="1"/>
      <c r="E328" s="1"/>
      <c r="F328" s="20">
        <f t="shared" si="53"/>
        <v>0</v>
      </c>
      <c r="G328" s="20"/>
      <c r="H328" s="20"/>
      <c r="I328" s="20"/>
      <c r="J328" s="20"/>
      <c r="K328" s="20"/>
    </row>
    <row r="329" spans="1:11" ht="15.5" x14ac:dyDescent="0.35">
      <c r="A329" s="18"/>
      <c r="F329" s="21"/>
    </row>
    <row r="330" spans="1:11" ht="15.5" x14ac:dyDescent="0.35">
      <c r="A330" s="24" t="s">
        <v>108</v>
      </c>
      <c r="K330" s="21"/>
    </row>
    <row r="331" spans="1:11" ht="15.5" x14ac:dyDescent="0.35">
      <c r="A331" s="18" t="s">
        <v>114</v>
      </c>
      <c r="B331" s="67">
        <v>40000</v>
      </c>
    </row>
    <row r="332" spans="1:11" ht="15.5" x14ac:dyDescent="0.35">
      <c r="A332" s="18" t="s">
        <v>112</v>
      </c>
      <c r="B332" s="67">
        <v>40000</v>
      </c>
    </row>
    <row r="333" spans="1:11" ht="15.5" x14ac:dyDescent="0.35">
      <c r="A333" s="18" t="s">
        <v>309</v>
      </c>
      <c r="B333" s="67">
        <v>60000</v>
      </c>
    </row>
    <row r="334" spans="1:11" ht="15.5" x14ac:dyDescent="0.35">
      <c r="A334" s="18" t="s">
        <v>110</v>
      </c>
      <c r="B334" s="67">
        <v>40000</v>
      </c>
    </row>
    <row r="335" spans="1:11" ht="15.5" x14ac:dyDescent="0.35">
      <c r="A335" s="18" t="s">
        <v>111</v>
      </c>
      <c r="B335" s="67">
        <v>40000</v>
      </c>
    </row>
    <row r="336" spans="1:11" ht="15.5" x14ac:dyDescent="0.35">
      <c r="A336" s="18" t="s">
        <v>196</v>
      </c>
      <c r="B336" s="67">
        <v>40000</v>
      </c>
    </row>
    <row r="337" spans="1:11" ht="15.5" x14ac:dyDescent="0.35">
      <c r="A337" s="18" t="s">
        <v>113</v>
      </c>
      <c r="B337" s="67">
        <v>40000</v>
      </c>
    </row>
    <row r="338" spans="1:11" ht="15.5" x14ac:dyDescent="0.35">
      <c r="A338" s="18" t="s">
        <v>209</v>
      </c>
      <c r="B338" s="67">
        <v>40000</v>
      </c>
    </row>
    <row r="339" spans="1:11" ht="15.5" x14ac:dyDescent="0.35">
      <c r="A339" s="18" t="s">
        <v>115</v>
      </c>
      <c r="B339" s="67">
        <v>60000</v>
      </c>
    </row>
    <row r="340" spans="1:11" ht="15.5" x14ac:dyDescent="0.35">
      <c r="A340" s="18" t="s">
        <v>109</v>
      </c>
      <c r="B340" s="67">
        <v>40000</v>
      </c>
    </row>
    <row r="341" spans="1:11" ht="15.5" x14ac:dyDescent="0.35">
      <c r="A341" s="24" t="s">
        <v>4</v>
      </c>
      <c r="B341" s="75">
        <f>SUM(B331:B340)</f>
        <v>440000</v>
      </c>
    </row>
    <row r="344" spans="1:11" ht="18.5" x14ac:dyDescent="0.45">
      <c r="A344" s="151" t="s">
        <v>1</v>
      </c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</row>
    <row r="345" spans="1:11" ht="18.5" x14ac:dyDescent="0.45">
      <c r="A345" s="150" t="s">
        <v>74</v>
      </c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</row>
    <row r="346" spans="1:11" ht="18.5" x14ac:dyDescent="0.45">
      <c r="A346" s="149">
        <v>46092</v>
      </c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</row>
    <row r="347" spans="1:11" ht="18.5" x14ac:dyDescent="0.45">
      <c r="A347" s="150"/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</row>
    <row r="348" spans="1:11" ht="18.5" x14ac:dyDescent="0.45">
      <c r="A348" s="2" t="s">
        <v>75</v>
      </c>
      <c r="B348" s="2" t="s">
        <v>3</v>
      </c>
      <c r="C348" s="2" t="s">
        <v>100</v>
      </c>
      <c r="D348" s="2" t="s">
        <v>90</v>
      </c>
      <c r="E348" s="2" t="s">
        <v>91</v>
      </c>
      <c r="F348" s="2" t="s">
        <v>4</v>
      </c>
      <c r="G348" s="2" t="s">
        <v>101</v>
      </c>
      <c r="H348" s="2" t="s">
        <v>104</v>
      </c>
      <c r="I348" s="2"/>
      <c r="J348" s="2" t="s">
        <v>105</v>
      </c>
      <c r="K348" s="2" t="s">
        <v>106</v>
      </c>
    </row>
    <row r="349" spans="1:11" ht="15.5" x14ac:dyDescent="0.35">
      <c r="A349" s="3" t="s">
        <v>76</v>
      </c>
      <c r="B349" s="1">
        <v>104</v>
      </c>
      <c r="C349" s="20">
        <v>17500</v>
      </c>
      <c r="D349" s="1">
        <v>49</v>
      </c>
      <c r="E349" s="1">
        <v>55</v>
      </c>
      <c r="F349" s="20">
        <f>C349*B349</f>
        <v>1820000</v>
      </c>
      <c r="G349" s="20">
        <f>D349*C349</f>
        <v>857500</v>
      </c>
      <c r="H349" s="20">
        <f>E349*C349</f>
        <v>962500</v>
      </c>
      <c r="I349" s="20" t="b">
        <f>D349+E349=B349</f>
        <v>1</v>
      </c>
      <c r="J349" s="20">
        <f>B384</f>
        <v>440000</v>
      </c>
      <c r="K349" s="20" t="s">
        <v>117</v>
      </c>
    </row>
    <row r="350" spans="1:11" ht="15.5" x14ac:dyDescent="0.35">
      <c r="A350" s="3" t="s">
        <v>77</v>
      </c>
      <c r="B350" s="1">
        <v>16</v>
      </c>
      <c r="C350" s="20">
        <v>16000</v>
      </c>
      <c r="D350" s="1">
        <v>9</v>
      </c>
      <c r="E350" s="1">
        <v>7</v>
      </c>
      <c r="F350" s="20">
        <f t="shared" ref="F350:F361" si="54">C350*B350</f>
        <v>256000</v>
      </c>
      <c r="G350" s="20">
        <f t="shared" ref="G350:G361" si="55">D350*C350</f>
        <v>144000</v>
      </c>
      <c r="H350" s="20">
        <f t="shared" ref="H350:H365" si="56">E350*C350</f>
        <v>112000</v>
      </c>
      <c r="I350" s="20" t="b">
        <f t="shared" ref="I350:I365" si="57">D350+E350=B350</f>
        <v>1</v>
      </c>
      <c r="J350" s="20">
        <v>250000</v>
      </c>
      <c r="K350" s="20" t="s">
        <v>107</v>
      </c>
    </row>
    <row r="351" spans="1:11" ht="15.5" x14ac:dyDescent="0.35">
      <c r="A351" s="3" t="s">
        <v>78</v>
      </c>
      <c r="B351" s="1">
        <v>49</v>
      </c>
      <c r="C351" s="20">
        <v>17500</v>
      </c>
      <c r="D351" s="1">
        <v>19</v>
      </c>
      <c r="E351" s="1">
        <v>30</v>
      </c>
      <c r="F351" s="20">
        <f t="shared" si="54"/>
        <v>857500</v>
      </c>
      <c r="G351" s="20">
        <f t="shared" si="55"/>
        <v>332500</v>
      </c>
      <c r="H351" s="20">
        <f t="shared" si="56"/>
        <v>525000</v>
      </c>
      <c r="I351" s="20" t="b">
        <f t="shared" si="57"/>
        <v>1</v>
      </c>
      <c r="J351" s="20"/>
      <c r="K351" s="20"/>
    </row>
    <row r="352" spans="1:11" ht="15.5" x14ac:dyDescent="0.35">
      <c r="A352" s="3" t="s">
        <v>79</v>
      </c>
      <c r="B352" s="1"/>
      <c r="C352" s="20">
        <v>18500</v>
      </c>
      <c r="D352" s="1"/>
      <c r="E352" s="1"/>
      <c r="F352" s="20">
        <f t="shared" si="54"/>
        <v>0</v>
      </c>
      <c r="G352" s="20">
        <f t="shared" si="55"/>
        <v>0</v>
      </c>
      <c r="H352" s="20">
        <f t="shared" si="56"/>
        <v>0</v>
      </c>
      <c r="I352" s="20" t="b">
        <f t="shared" si="57"/>
        <v>1</v>
      </c>
      <c r="J352" s="20"/>
      <c r="K352" s="20"/>
    </row>
    <row r="353" spans="1:11" ht="15.5" x14ac:dyDescent="0.35">
      <c r="A353" s="3" t="s">
        <v>80</v>
      </c>
      <c r="B353" s="1">
        <v>41</v>
      </c>
      <c r="C353" s="20">
        <v>18500</v>
      </c>
      <c r="D353" s="1">
        <v>12</v>
      </c>
      <c r="E353" s="1">
        <v>29</v>
      </c>
      <c r="F353" s="20">
        <f t="shared" si="54"/>
        <v>758500</v>
      </c>
      <c r="G353" s="20">
        <f t="shared" si="55"/>
        <v>222000</v>
      </c>
      <c r="H353" s="20">
        <f t="shared" si="56"/>
        <v>536500</v>
      </c>
      <c r="I353" s="20" t="b">
        <f t="shared" si="57"/>
        <v>1</v>
      </c>
      <c r="J353" s="20"/>
      <c r="K353" s="20"/>
    </row>
    <row r="354" spans="1:11" ht="15.5" x14ac:dyDescent="0.35">
      <c r="A354" s="3" t="s">
        <v>81</v>
      </c>
      <c r="B354" s="1"/>
      <c r="C354" s="20">
        <v>23000</v>
      </c>
      <c r="D354" s="1"/>
      <c r="E354" s="1"/>
      <c r="F354" s="20">
        <f t="shared" si="54"/>
        <v>0</v>
      </c>
      <c r="G354" s="20">
        <f t="shared" si="55"/>
        <v>0</v>
      </c>
      <c r="H354" s="20">
        <f t="shared" si="56"/>
        <v>0</v>
      </c>
      <c r="I354" s="20" t="b">
        <f t="shared" si="57"/>
        <v>1</v>
      </c>
      <c r="J354" s="20"/>
      <c r="K354" s="20"/>
    </row>
    <row r="355" spans="1:11" ht="15.5" x14ac:dyDescent="0.35">
      <c r="A355" s="3" t="s">
        <v>82</v>
      </c>
      <c r="B355" s="1"/>
      <c r="C355" s="20">
        <v>18000</v>
      </c>
      <c r="D355" s="1"/>
      <c r="E355" s="1"/>
      <c r="F355" s="20">
        <f t="shared" si="54"/>
        <v>0</v>
      </c>
      <c r="G355" s="20">
        <f t="shared" si="55"/>
        <v>0</v>
      </c>
      <c r="H355" s="20">
        <f t="shared" si="56"/>
        <v>0</v>
      </c>
      <c r="I355" s="20" t="b">
        <f t="shared" si="57"/>
        <v>1</v>
      </c>
      <c r="J355" s="20"/>
      <c r="K355" s="20"/>
    </row>
    <row r="356" spans="1:11" ht="15.5" x14ac:dyDescent="0.35">
      <c r="A356" s="3" t="s">
        <v>83</v>
      </c>
      <c r="B356" s="1">
        <v>31</v>
      </c>
      <c r="C356" s="20">
        <v>18000</v>
      </c>
      <c r="D356" s="1">
        <v>14</v>
      </c>
      <c r="E356" s="1">
        <v>17</v>
      </c>
      <c r="F356" s="20">
        <f t="shared" si="54"/>
        <v>558000</v>
      </c>
      <c r="G356" s="20">
        <f t="shared" si="55"/>
        <v>252000</v>
      </c>
      <c r="H356" s="20">
        <f t="shared" si="56"/>
        <v>306000</v>
      </c>
      <c r="I356" s="20" t="b">
        <f t="shared" si="57"/>
        <v>1</v>
      </c>
      <c r="J356" s="20"/>
      <c r="K356" s="20"/>
    </row>
    <row r="357" spans="1:11" ht="15.5" x14ac:dyDescent="0.35">
      <c r="A357" s="3" t="s">
        <v>84</v>
      </c>
      <c r="B357" s="1"/>
      <c r="C357" s="20">
        <v>18500</v>
      </c>
      <c r="D357" s="1"/>
      <c r="E357" s="1"/>
      <c r="F357" s="20">
        <f t="shared" si="54"/>
        <v>0</v>
      </c>
      <c r="G357" s="20">
        <f t="shared" si="55"/>
        <v>0</v>
      </c>
      <c r="H357" s="20">
        <f t="shared" si="56"/>
        <v>0</v>
      </c>
      <c r="I357" s="20" t="b">
        <f t="shared" si="57"/>
        <v>1</v>
      </c>
      <c r="J357" s="20"/>
      <c r="K357" s="20"/>
    </row>
    <row r="358" spans="1:11" ht="15.5" x14ac:dyDescent="0.35">
      <c r="A358" s="3" t="s">
        <v>85</v>
      </c>
      <c r="B358" s="1"/>
      <c r="C358" s="20">
        <v>18500</v>
      </c>
      <c r="D358" s="1"/>
      <c r="E358" s="1"/>
      <c r="F358" s="20">
        <f t="shared" si="54"/>
        <v>0</v>
      </c>
      <c r="G358" s="20">
        <f t="shared" si="55"/>
        <v>0</v>
      </c>
      <c r="H358" s="20">
        <f t="shared" si="56"/>
        <v>0</v>
      </c>
      <c r="I358" s="20" t="b">
        <f t="shared" si="57"/>
        <v>1</v>
      </c>
      <c r="J358" s="20"/>
      <c r="K358" s="20"/>
    </row>
    <row r="359" spans="1:11" ht="15.5" x14ac:dyDescent="0.35">
      <c r="A359" s="3" t="s">
        <v>86</v>
      </c>
      <c r="B359" s="1">
        <v>5</v>
      </c>
      <c r="C359" s="20">
        <v>18500</v>
      </c>
      <c r="D359" s="1">
        <v>3</v>
      </c>
      <c r="E359" s="1">
        <v>2</v>
      </c>
      <c r="F359" s="20">
        <f t="shared" si="54"/>
        <v>92500</v>
      </c>
      <c r="G359" s="20">
        <f t="shared" si="55"/>
        <v>55500</v>
      </c>
      <c r="H359" s="20">
        <f t="shared" si="56"/>
        <v>37000</v>
      </c>
      <c r="I359" s="20" t="b">
        <f t="shared" si="57"/>
        <v>1</v>
      </c>
      <c r="J359" s="20"/>
      <c r="K359" s="20"/>
    </row>
    <row r="360" spans="1:11" ht="15.5" x14ac:dyDescent="0.35">
      <c r="A360" s="3" t="s">
        <v>87</v>
      </c>
      <c r="B360" s="1"/>
      <c r="C360" s="20">
        <v>18500</v>
      </c>
      <c r="D360" s="1"/>
      <c r="E360" s="1"/>
      <c r="F360" s="20">
        <f t="shared" si="54"/>
        <v>0</v>
      </c>
      <c r="G360" s="20">
        <f t="shared" si="55"/>
        <v>0</v>
      </c>
      <c r="H360" s="20">
        <f t="shared" si="56"/>
        <v>0</v>
      </c>
      <c r="I360" s="20" t="b">
        <f t="shared" si="57"/>
        <v>1</v>
      </c>
      <c r="J360" s="20"/>
      <c r="K360" s="20"/>
    </row>
    <row r="361" spans="1:11" ht="15.5" x14ac:dyDescent="0.35">
      <c r="A361" s="3" t="s">
        <v>88</v>
      </c>
      <c r="B361" s="1">
        <v>8</v>
      </c>
      <c r="C361" s="20">
        <v>18500</v>
      </c>
      <c r="D361" s="1">
        <v>4</v>
      </c>
      <c r="E361" s="1">
        <v>4</v>
      </c>
      <c r="F361" s="20">
        <f t="shared" si="54"/>
        <v>148000</v>
      </c>
      <c r="G361" s="20">
        <f t="shared" si="55"/>
        <v>74000</v>
      </c>
      <c r="H361" s="20">
        <f t="shared" si="56"/>
        <v>74000</v>
      </c>
      <c r="I361" s="20" t="b">
        <f t="shared" si="57"/>
        <v>1</v>
      </c>
      <c r="J361" s="20"/>
      <c r="K361" s="20"/>
    </row>
    <row r="362" spans="1:11" ht="15.5" x14ac:dyDescent="0.35">
      <c r="A362" s="19" t="s">
        <v>89</v>
      </c>
      <c r="B362" s="1"/>
      <c r="C362" s="20"/>
      <c r="D362" s="1"/>
      <c r="E362" s="1"/>
      <c r="F362" s="20"/>
      <c r="G362" s="20"/>
      <c r="H362" s="20">
        <f t="shared" si="56"/>
        <v>0</v>
      </c>
      <c r="I362" s="20" t="b">
        <f t="shared" si="57"/>
        <v>1</v>
      </c>
      <c r="J362" s="20"/>
      <c r="K362" s="20"/>
    </row>
    <row r="363" spans="1:11" ht="15.5" x14ac:dyDescent="0.35">
      <c r="A363" s="3" t="s">
        <v>92</v>
      </c>
      <c r="B363" s="1">
        <v>29</v>
      </c>
      <c r="C363" s="20">
        <v>21500</v>
      </c>
      <c r="D363" s="1">
        <v>7</v>
      </c>
      <c r="E363" s="1">
        <v>22</v>
      </c>
      <c r="F363" s="20">
        <f t="shared" ref="F363:F365" si="58">C363*B363</f>
        <v>623500</v>
      </c>
      <c r="G363" s="20">
        <f t="shared" ref="G363:G365" si="59">D363*C363</f>
        <v>150500</v>
      </c>
      <c r="H363" s="20">
        <f t="shared" si="56"/>
        <v>473000</v>
      </c>
      <c r="I363" s="20" t="b">
        <f t="shared" si="57"/>
        <v>1</v>
      </c>
      <c r="J363" s="20"/>
      <c r="K363" s="20"/>
    </row>
    <row r="364" spans="1:11" ht="15.5" x14ac:dyDescent="0.35">
      <c r="A364" s="3" t="s">
        <v>93</v>
      </c>
      <c r="B364" s="1">
        <v>9</v>
      </c>
      <c r="C364" s="20">
        <v>21500</v>
      </c>
      <c r="D364" s="1">
        <v>7</v>
      </c>
      <c r="E364" s="1">
        <v>2</v>
      </c>
      <c r="F364" s="20">
        <f t="shared" si="58"/>
        <v>193500</v>
      </c>
      <c r="G364" s="20">
        <f t="shared" si="59"/>
        <v>150500</v>
      </c>
      <c r="H364" s="20">
        <f t="shared" si="56"/>
        <v>43000</v>
      </c>
      <c r="I364" s="20" t="b">
        <f t="shared" si="57"/>
        <v>1</v>
      </c>
      <c r="J364" s="20"/>
      <c r="K364" s="20"/>
    </row>
    <row r="365" spans="1:11" ht="15.5" x14ac:dyDescent="0.35">
      <c r="A365" s="3" t="s">
        <v>94</v>
      </c>
      <c r="B365" s="1">
        <v>29</v>
      </c>
      <c r="C365" s="20">
        <v>21500</v>
      </c>
      <c r="D365" s="1">
        <v>12</v>
      </c>
      <c r="E365" s="1">
        <v>17</v>
      </c>
      <c r="F365" s="20">
        <f t="shared" si="58"/>
        <v>623500</v>
      </c>
      <c r="G365" s="20">
        <f t="shared" si="59"/>
        <v>258000</v>
      </c>
      <c r="H365" s="20">
        <f t="shared" si="56"/>
        <v>365500</v>
      </c>
      <c r="I365" s="20" t="b">
        <f t="shared" si="57"/>
        <v>1</v>
      </c>
      <c r="J365" s="20"/>
      <c r="K365" s="20"/>
    </row>
    <row r="366" spans="1:11" ht="15.5" x14ac:dyDescent="0.35">
      <c r="A366" s="19"/>
      <c r="B366" s="22">
        <f>SUM(B349:B365)</f>
        <v>321</v>
      </c>
      <c r="C366" s="20"/>
      <c r="D366" s="1"/>
      <c r="E366" s="1"/>
      <c r="F366" s="23">
        <f>SUM(F349:F365)</f>
        <v>5931000</v>
      </c>
      <c r="G366" s="23">
        <f>SUM(G349:G365)</f>
        <v>2496500</v>
      </c>
      <c r="H366" s="23">
        <f>SUM(H349:H365)</f>
        <v>3434500</v>
      </c>
      <c r="I366" s="23"/>
      <c r="J366" s="23">
        <f>SUM(J349:J365)</f>
        <v>690000</v>
      </c>
      <c r="K366" s="23">
        <f>H366-J366</f>
        <v>2744500</v>
      </c>
    </row>
    <row r="367" spans="1:11" ht="15.5" x14ac:dyDescent="0.35">
      <c r="A367" s="19" t="s">
        <v>95</v>
      </c>
      <c r="B367" s="1"/>
      <c r="C367" s="20"/>
      <c r="D367" s="1"/>
      <c r="E367" s="1"/>
      <c r="F367" s="20"/>
      <c r="G367" s="20"/>
      <c r="H367" s="20" t="s">
        <v>192</v>
      </c>
      <c r="I367" s="20"/>
      <c r="J367" s="20"/>
      <c r="K367" s="20"/>
    </row>
    <row r="368" spans="1:11" ht="15.5" x14ac:dyDescent="0.35">
      <c r="A368" s="3" t="s">
        <v>96</v>
      </c>
      <c r="B368" s="1"/>
      <c r="C368" s="20">
        <v>3000</v>
      </c>
      <c r="D368" s="1"/>
      <c r="E368" s="20"/>
      <c r="F368" s="20">
        <f t="shared" ref="F368:F371" si="60">C368*B368</f>
        <v>0</v>
      </c>
      <c r="G368" s="20"/>
      <c r="H368" s="20"/>
      <c r="I368" s="20"/>
      <c r="J368" s="20"/>
      <c r="K368" s="20"/>
    </row>
    <row r="369" spans="1:11" ht="15.5" x14ac:dyDescent="0.35">
      <c r="A369" s="3" t="s">
        <v>97</v>
      </c>
      <c r="B369" s="1"/>
      <c r="C369" s="20">
        <v>2500</v>
      </c>
      <c r="D369" s="1"/>
      <c r="E369" s="1"/>
      <c r="F369" s="20">
        <f t="shared" si="60"/>
        <v>0</v>
      </c>
      <c r="G369" s="20"/>
      <c r="H369" s="20"/>
      <c r="I369" s="20"/>
      <c r="J369" s="20"/>
      <c r="K369" s="20"/>
    </row>
    <row r="370" spans="1:11" ht="15.5" x14ac:dyDescent="0.35">
      <c r="A370" s="3" t="s">
        <v>98</v>
      </c>
      <c r="B370" s="1"/>
      <c r="C370" s="20">
        <v>1800</v>
      </c>
      <c r="D370" s="1"/>
      <c r="E370" s="1"/>
      <c r="F370" s="20">
        <f t="shared" si="60"/>
        <v>0</v>
      </c>
      <c r="G370" s="20"/>
      <c r="H370" s="20"/>
      <c r="I370" s="20"/>
      <c r="J370" s="20"/>
      <c r="K370" s="20"/>
    </row>
    <row r="371" spans="1:11" ht="15.5" x14ac:dyDescent="0.35">
      <c r="A371" s="3" t="s">
        <v>99</v>
      </c>
      <c r="B371" s="1">
        <v>2</v>
      </c>
      <c r="C371" s="20">
        <v>3500</v>
      </c>
      <c r="D371" s="1"/>
      <c r="E371" s="1">
        <v>2</v>
      </c>
      <c r="F371" s="20">
        <f t="shared" si="60"/>
        <v>7000</v>
      </c>
      <c r="G371" s="20"/>
      <c r="H371" s="20"/>
      <c r="I371" s="20"/>
      <c r="J371" s="20"/>
      <c r="K371" s="20"/>
    </row>
    <row r="372" spans="1:11" ht="15.5" x14ac:dyDescent="0.35">
      <c r="A372" s="18"/>
      <c r="F372" s="21"/>
    </row>
    <row r="373" spans="1:11" ht="15.5" x14ac:dyDescent="0.35">
      <c r="A373" s="24" t="s">
        <v>108</v>
      </c>
      <c r="K373" s="21"/>
    </row>
    <row r="374" spans="1:11" ht="15.5" x14ac:dyDescent="0.35">
      <c r="A374" s="18" t="s">
        <v>114</v>
      </c>
      <c r="B374" s="67">
        <v>40000</v>
      </c>
    </row>
    <row r="375" spans="1:11" ht="15.5" x14ac:dyDescent="0.35">
      <c r="A375" s="18" t="s">
        <v>112</v>
      </c>
      <c r="B375" s="67">
        <v>40000</v>
      </c>
    </row>
    <row r="376" spans="1:11" ht="15.5" x14ac:dyDescent="0.35">
      <c r="A376" s="18" t="s">
        <v>309</v>
      </c>
      <c r="B376" s="67">
        <v>60000</v>
      </c>
    </row>
    <row r="377" spans="1:11" ht="15.5" x14ac:dyDescent="0.35">
      <c r="A377" s="18" t="s">
        <v>110</v>
      </c>
      <c r="B377" s="67">
        <v>40000</v>
      </c>
    </row>
    <row r="378" spans="1:11" ht="15.5" x14ac:dyDescent="0.35">
      <c r="A378" s="18" t="s">
        <v>111</v>
      </c>
      <c r="B378" s="67">
        <v>40000</v>
      </c>
    </row>
    <row r="379" spans="1:11" ht="15.5" x14ac:dyDescent="0.35">
      <c r="A379" s="18" t="s">
        <v>196</v>
      </c>
      <c r="B379" s="67">
        <v>40000</v>
      </c>
    </row>
    <row r="380" spans="1:11" ht="15.5" x14ac:dyDescent="0.35">
      <c r="A380" s="18" t="s">
        <v>113</v>
      </c>
      <c r="B380" s="67">
        <v>40000</v>
      </c>
    </row>
    <row r="381" spans="1:11" ht="15.5" x14ac:dyDescent="0.35">
      <c r="A381" s="18" t="s">
        <v>209</v>
      </c>
      <c r="B381" s="67">
        <v>40000</v>
      </c>
    </row>
    <row r="382" spans="1:11" ht="15.5" x14ac:dyDescent="0.35">
      <c r="A382" s="18" t="s">
        <v>115</v>
      </c>
      <c r="B382" s="67">
        <v>60000</v>
      </c>
    </row>
    <row r="383" spans="1:11" ht="15.5" x14ac:dyDescent="0.35">
      <c r="A383" s="18" t="s">
        <v>109</v>
      </c>
      <c r="B383" s="67">
        <v>40000</v>
      </c>
    </row>
    <row r="384" spans="1:11" ht="15.5" x14ac:dyDescent="0.35">
      <c r="A384" s="24" t="s">
        <v>4</v>
      </c>
      <c r="B384" s="75">
        <f>SUM(B374:B383)</f>
        <v>440000</v>
      </c>
    </row>
    <row r="388" spans="1:11" ht="18.5" x14ac:dyDescent="0.45">
      <c r="A388" s="151" t="s">
        <v>1</v>
      </c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</row>
    <row r="389" spans="1:11" ht="18.5" x14ac:dyDescent="0.45">
      <c r="A389" s="150" t="s">
        <v>74</v>
      </c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</row>
    <row r="390" spans="1:11" ht="18.5" x14ac:dyDescent="0.45">
      <c r="A390" s="149">
        <v>46093</v>
      </c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</row>
    <row r="391" spans="1:11" ht="18.5" x14ac:dyDescent="0.45">
      <c r="A391" s="150"/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</row>
    <row r="392" spans="1:11" ht="18.5" x14ac:dyDescent="0.45">
      <c r="A392" s="2" t="s">
        <v>75</v>
      </c>
      <c r="B392" s="2" t="s">
        <v>3</v>
      </c>
      <c r="C392" s="2" t="s">
        <v>100</v>
      </c>
      <c r="D392" s="2" t="s">
        <v>90</v>
      </c>
      <c r="E392" s="2" t="s">
        <v>91</v>
      </c>
      <c r="F392" s="2" t="s">
        <v>4</v>
      </c>
      <c r="G392" s="2" t="s">
        <v>101</v>
      </c>
      <c r="H392" s="2" t="s">
        <v>104</v>
      </c>
      <c r="I392" s="2"/>
      <c r="J392" s="2" t="s">
        <v>105</v>
      </c>
      <c r="K392" s="2" t="s">
        <v>106</v>
      </c>
    </row>
    <row r="393" spans="1:11" ht="15.5" x14ac:dyDescent="0.35">
      <c r="A393" s="3" t="s">
        <v>76</v>
      </c>
      <c r="B393" s="1">
        <v>112</v>
      </c>
      <c r="C393" s="20">
        <v>17500</v>
      </c>
      <c r="D393" s="1">
        <v>53</v>
      </c>
      <c r="E393" s="1">
        <v>59</v>
      </c>
      <c r="F393" s="20">
        <f>C393*B393</f>
        <v>1960000</v>
      </c>
      <c r="G393" s="20">
        <f>D393*C393</f>
        <v>927500</v>
      </c>
      <c r="H393" s="20">
        <f>E393*C393</f>
        <v>1032500</v>
      </c>
      <c r="I393" s="20" t="b">
        <f>D393+E393=B393</f>
        <v>1</v>
      </c>
      <c r="J393" s="20">
        <f>B428</f>
        <v>440000</v>
      </c>
      <c r="K393" s="20" t="s">
        <v>117</v>
      </c>
    </row>
    <row r="394" spans="1:11" ht="15.5" x14ac:dyDescent="0.35">
      <c r="A394" s="3" t="s">
        <v>77</v>
      </c>
      <c r="B394" s="1">
        <v>9</v>
      </c>
      <c r="C394" s="20">
        <v>16000</v>
      </c>
      <c r="D394" s="1">
        <v>7</v>
      </c>
      <c r="E394" s="1">
        <v>2</v>
      </c>
      <c r="F394" s="20">
        <f t="shared" ref="F394:F405" si="61">C394*B394</f>
        <v>144000</v>
      </c>
      <c r="G394" s="20">
        <f t="shared" ref="G394:G405" si="62">D394*C394</f>
        <v>112000</v>
      </c>
      <c r="H394" s="20">
        <f t="shared" ref="H394:H409" si="63">E394*C394</f>
        <v>32000</v>
      </c>
      <c r="I394" s="20" t="b">
        <f t="shared" ref="I394:I409" si="64">D394+E394=B394</f>
        <v>1</v>
      </c>
      <c r="J394" s="20">
        <v>420000</v>
      </c>
      <c r="K394" s="20" t="s">
        <v>107</v>
      </c>
    </row>
    <row r="395" spans="1:11" ht="15.5" x14ac:dyDescent="0.35">
      <c r="A395" s="3" t="s">
        <v>78</v>
      </c>
      <c r="B395" s="1">
        <v>71</v>
      </c>
      <c r="C395" s="20">
        <v>17500</v>
      </c>
      <c r="D395" s="1">
        <v>29</v>
      </c>
      <c r="E395" s="1">
        <v>42</v>
      </c>
      <c r="F395" s="20">
        <f t="shared" si="61"/>
        <v>1242500</v>
      </c>
      <c r="G395" s="20">
        <f t="shared" si="62"/>
        <v>507500</v>
      </c>
      <c r="H395" s="20">
        <f t="shared" si="63"/>
        <v>735000</v>
      </c>
      <c r="I395" s="20" t="b">
        <f t="shared" si="64"/>
        <v>1</v>
      </c>
      <c r="J395" s="20">
        <v>17500</v>
      </c>
      <c r="K395" s="20" t="s">
        <v>127</v>
      </c>
    </row>
    <row r="396" spans="1:11" ht="15.5" x14ac:dyDescent="0.35">
      <c r="A396" s="3" t="s">
        <v>79</v>
      </c>
      <c r="B396" s="1">
        <v>24</v>
      </c>
      <c r="C396" s="20">
        <v>18500</v>
      </c>
      <c r="D396" s="1">
        <v>8</v>
      </c>
      <c r="E396" s="1">
        <v>16</v>
      </c>
      <c r="F396" s="20">
        <f t="shared" si="61"/>
        <v>444000</v>
      </c>
      <c r="G396" s="20">
        <f t="shared" si="62"/>
        <v>148000</v>
      </c>
      <c r="H396" s="20">
        <f t="shared" si="63"/>
        <v>296000</v>
      </c>
      <c r="I396" s="20" t="b">
        <f t="shared" si="64"/>
        <v>1</v>
      </c>
      <c r="J396" s="20">
        <v>30000</v>
      </c>
      <c r="K396" s="20" t="s">
        <v>368</v>
      </c>
    </row>
    <row r="397" spans="1:11" ht="15.5" x14ac:dyDescent="0.35">
      <c r="A397" s="3" t="s">
        <v>80</v>
      </c>
      <c r="B397" s="1"/>
      <c r="C397" s="20">
        <v>18500</v>
      </c>
      <c r="D397" s="1"/>
      <c r="E397" s="1"/>
      <c r="F397" s="20">
        <f t="shared" si="61"/>
        <v>0</v>
      </c>
      <c r="G397" s="20">
        <f t="shared" si="62"/>
        <v>0</v>
      </c>
      <c r="H397" s="20">
        <f t="shared" si="63"/>
        <v>0</v>
      </c>
      <c r="I397" s="20" t="b">
        <f t="shared" si="64"/>
        <v>1</v>
      </c>
      <c r="J397" s="20"/>
      <c r="K397" s="20"/>
    </row>
    <row r="398" spans="1:11" ht="15.5" x14ac:dyDescent="0.35">
      <c r="A398" s="3" t="s">
        <v>81</v>
      </c>
      <c r="B398" s="1"/>
      <c r="C398" s="20">
        <v>23000</v>
      </c>
      <c r="D398" s="1"/>
      <c r="E398" s="1"/>
      <c r="F398" s="20">
        <f t="shared" si="61"/>
        <v>0</v>
      </c>
      <c r="G398" s="20">
        <f t="shared" si="62"/>
        <v>0</v>
      </c>
      <c r="H398" s="20">
        <f t="shared" si="63"/>
        <v>0</v>
      </c>
      <c r="I398" s="20" t="b">
        <f t="shared" si="64"/>
        <v>1</v>
      </c>
      <c r="J398" s="20"/>
      <c r="K398" s="20"/>
    </row>
    <row r="399" spans="1:11" ht="15.5" x14ac:dyDescent="0.35">
      <c r="A399" s="3" t="s">
        <v>82</v>
      </c>
      <c r="B399" s="1"/>
      <c r="C399" s="20">
        <v>18000</v>
      </c>
      <c r="D399" s="1"/>
      <c r="E399" s="1"/>
      <c r="F399" s="20">
        <f t="shared" si="61"/>
        <v>0</v>
      </c>
      <c r="G399" s="20">
        <f t="shared" si="62"/>
        <v>0</v>
      </c>
      <c r="H399" s="20">
        <f t="shared" si="63"/>
        <v>0</v>
      </c>
      <c r="I399" s="20" t="b">
        <f t="shared" si="64"/>
        <v>1</v>
      </c>
      <c r="J399" s="20"/>
      <c r="K399" s="20"/>
    </row>
    <row r="400" spans="1:11" ht="15.5" x14ac:dyDescent="0.35">
      <c r="A400" s="3" t="s">
        <v>83</v>
      </c>
      <c r="B400" s="1"/>
      <c r="C400" s="20">
        <v>18000</v>
      </c>
      <c r="D400" s="1"/>
      <c r="E400" s="1"/>
      <c r="F400" s="20">
        <f t="shared" si="61"/>
        <v>0</v>
      </c>
      <c r="G400" s="20">
        <f t="shared" si="62"/>
        <v>0</v>
      </c>
      <c r="H400" s="20">
        <f t="shared" si="63"/>
        <v>0</v>
      </c>
      <c r="I400" s="20" t="b">
        <f t="shared" si="64"/>
        <v>1</v>
      </c>
      <c r="J400" s="20"/>
      <c r="K400" s="20"/>
    </row>
    <row r="401" spans="1:11" ht="15.5" x14ac:dyDescent="0.35">
      <c r="A401" s="3" t="s">
        <v>84</v>
      </c>
      <c r="B401" s="1">
        <v>44</v>
      </c>
      <c r="C401" s="20">
        <v>18500</v>
      </c>
      <c r="D401" s="1">
        <v>13</v>
      </c>
      <c r="E401" s="1">
        <v>31</v>
      </c>
      <c r="F401" s="20">
        <f t="shared" si="61"/>
        <v>814000</v>
      </c>
      <c r="G401" s="20">
        <f t="shared" si="62"/>
        <v>240500</v>
      </c>
      <c r="H401" s="20">
        <f t="shared" si="63"/>
        <v>573500</v>
      </c>
      <c r="I401" s="20" t="b">
        <f t="shared" si="64"/>
        <v>1</v>
      </c>
      <c r="J401" s="20"/>
      <c r="K401" s="20"/>
    </row>
    <row r="402" spans="1:11" ht="15.5" x14ac:dyDescent="0.35">
      <c r="A402" s="3" t="s">
        <v>85</v>
      </c>
      <c r="B402" s="1"/>
      <c r="C402" s="20">
        <v>18500</v>
      </c>
      <c r="D402" s="1"/>
      <c r="E402" s="1"/>
      <c r="F402" s="20">
        <f t="shared" si="61"/>
        <v>0</v>
      </c>
      <c r="G402" s="20">
        <f t="shared" si="62"/>
        <v>0</v>
      </c>
      <c r="H402" s="20">
        <f t="shared" si="63"/>
        <v>0</v>
      </c>
      <c r="I402" s="20" t="b">
        <f t="shared" si="64"/>
        <v>1</v>
      </c>
      <c r="J402" s="20"/>
      <c r="K402" s="20"/>
    </row>
    <row r="403" spans="1:11" ht="15.5" x14ac:dyDescent="0.35">
      <c r="A403" s="3" t="s">
        <v>86</v>
      </c>
      <c r="B403" s="1"/>
      <c r="C403" s="20">
        <v>18500</v>
      </c>
      <c r="D403" s="1"/>
      <c r="E403" s="1"/>
      <c r="F403" s="20">
        <f t="shared" si="61"/>
        <v>0</v>
      </c>
      <c r="G403" s="20">
        <f t="shared" si="62"/>
        <v>0</v>
      </c>
      <c r="H403" s="20">
        <f t="shared" si="63"/>
        <v>0</v>
      </c>
      <c r="I403" s="20" t="b">
        <f t="shared" si="64"/>
        <v>1</v>
      </c>
      <c r="J403" s="20"/>
      <c r="K403" s="20"/>
    </row>
    <row r="404" spans="1:11" ht="15.5" x14ac:dyDescent="0.35">
      <c r="A404" s="3" t="s">
        <v>87</v>
      </c>
      <c r="B404" s="1">
        <v>12</v>
      </c>
      <c r="C404" s="20">
        <v>18500</v>
      </c>
      <c r="D404" s="1">
        <v>5</v>
      </c>
      <c r="E404" s="1">
        <v>7</v>
      </c>
      <c r="F404" s="20">
        <f t="shared" si="61"/>
        <v>222000</v>
      </c>
      <c r="G404" s="20">
        <f t="shared" si="62"/>
        <v>92500</v>
      </c>
      <c r="H404" s="20">
        <f t="shared" si="63"/>
        <v>129500</v>
      </c>
      <c r="I404" s="20" t="b">
        <f t="shared" si="64"/>
        <v>1</v>
      </c>
      <c r="J404" s="20"/>
      <c r="K404" s="20"/>
    </row>
    <row r="405" spans="1:11" ht="15.5" x14ac:dyDescent="0.35">
      <c r="A405" s="3" t="s">
        <v>88</v>
      </c>
      <c r="B405" s="1">
        <v>7</v>
      </c>
      <c r="C405" s="20">
        <v>18500</v>
      </c>
      <c r="D405" s="1">
        <v>5</v>
      </c>
      <c r="E405" s="1">
        <v>2</v>
      </c>
      <c r="F405" s="20">
        <f t="shared" si="61"/>
        <v>129500</v>
      </c>
      <c r="G405" s="20">
        <f t="shared" si="62"/>
        <v>92500</v>
      </c>
      <c r="H405" s="20">
        <f t="shared" si="63"/>
        <v>37000</v>
      </c>
      <c r="I405" s="20" t="b">
        <f t="shared" si="64"/>
        <v>1</v>
      </c>
      <c r="J405" s="20"/>
      <c r="K405" s="20"/>
    </row>
    <row r="406" spans="1:11" ht="15.5" x14ac:dyDescent="0.35">
      <c r="A406" s="19" t="s">
        <v>89</v>
      </c>
      <c r="B406" s="1"/>
      <c r="C406" s="20"/>
      <c r="D406" s="1"/>
      <c r="E406" s="1"/>
      <c r="F406" s="20"/>
      <c r="G406" s="20"/>
      <c r="H406" s="20">
        <f t="shared" si="63"/>
        <v>0</v>
      </c>
      <c r="I406" s="20" t="b">
        <f t="shared" si="64"/>
        <v>1</v>
      </c>
      <c r="J406" s="20"/>
      <c r="K406" s="20"/>
    </row>
    <row r="407" spans="1:11" ht="15.5" x14ac:dyDescent="0.35">
      <c r="A407" s="3" t="s">
        <v>92</v>
      </c>
      <c r="B407" s="1"/>
      <c r="C407" s="20">
        <v>21500</v>
      </c>
      <c r="D407" s="1"/>
      <c r="E407" s="1"/>
      <c r="F407" s="20">
        <f t="shared" ref="F407:F409" si="65">C407*B407</f>
        <v>0</v>
      </c>
      <c r="G407" s="20">
        <f t="shared" ref="G407:G409" si="66">D407*C407</f>
        <v>0</v>
      </c>
      <c r="H407" s="20">
        <f t="shared" si="63"/>
        <v>0</v>
      </c>
      <c r="I407" s="20" t="b">
        <f t="shared" si="64"/>
        <v>1</v>
      </c>
      <c r="J407" s="20"/>
      <c r="K407" s="20"/>
    </row>
    <row r="408" spans="1:11" ht="15.5" x14ac:dyDescent="0.35">
      <c r="A408" s="3" t="s">
        <v>93</v>
      </c>
      <c r="B408" s="1">
        <v>24</v>
      </c>
      <c r="C408" s="20">
        <v>21500</v>
      </c>
      <c r="D408" s="1">
        <v>9</v>
      </c>
      <c r="E408" s="1">
        <v>15</v>
      </c>
      <c r="F408" s="20">
        <f t="shared" si="65"/>
        <v>516000</v>
      </c>
      <c r="G408" s="20">
        <f t="shared" si="66"/>
        <v>193500</v>
      </c>
      <c r="H408" s="20">
        <f t="shared" si="63"/>
        <v>322500</v>
      </c>
      <c r="I408" s="20" t="b">
        <f t="shared" si="64"/>
        <v>1</v>
      </c>
      <c r="J408" s="20"/>
      <c r="K408" s="20"/>
    </row>
    <row r="409" spans="1:11" ht="15.5" x14ac:dyDescent="0.35">
      <c r="A409" s="3" t="s">
        <v>94</v>
      </c>
      <c r="B409" s="1">
        <v>28</v>
      </c>
      <c r="C409" s="20">
        <v>21500</v>
      </c>
      <c r="D409" s="1">
        <v>20</v>
      </c>
      <c r="E409" s="1">
        <v>8</v>
      </c>
      <c r="F409" s="20">
        <f t="shared" si="65"/>
        <v>602000</v>
      </c>
      <c r="G409" s="20">
        <f t="shared" si="66"/>
        <v>430000</v>
      </c>
      <c r="H409" s="20">
        <f t="shared" si="63"/>
        <v>172000</v>
      </c>
      <c r="I409" s="20" t="b">
        <f t="shared" si="64"/>
        <v>1</v>
      </c>
      <c r="J409" s="20"/>
      <c r="K409" s="20"/>
    </row>
    <row r="410" spans="1:11" ht="15.5" x14ac:dyDescent="0.35">
      <c r="A410" s="19"/>
      <c r="B410" s="22">
        <f>SUM(B393:B409)</f>
        <v>331</v>
      </c>
      <c r="C410" s="20"/>
      <c r="D410" s="1"/>
      <c r="E410" s="1"/>
      <c r="F410" s="23">
        <f>SUM(F393:F409)</f>
        <v>6074000</v>
      </c>
      <c r="G410" s="23">
        <f>SUM(G393:G409)</f>
        <v>2744000</v>
      </c>
      <c r="H410" s="23">
        <f>SUM(H393:H409)</f>
        <v>3330000</v>
      </c>
      <c r="I410" s="23"/>
      <c r="J410" s="23">
        <f>SUM(J393:J409)</f>
        <v>907500</v>
      </c>
      <c r="K410" s="23">
        <f>H410-J410</f>
        <v>2422500</v>
      </c>
    </row>
    <row r="411" spans="1:11" ht="15.5" x14ac:dyDescent="0.35">
      <c r="A411" s="19" t="s">
        <v>95</v>
      </c>
      <c r="B411" s="1"/>
      <c r="C411" s="20"/>
      <c r="D411" s="1"/>
      <c r="E411" s="1"/>
      <c r="F411" s="20"/>
      <c r="G411" s="20"/>
      <c r="H411" s="20" t="s">
        <v>192</v>
      </c>
      <c r="I411" s="20"/>
      <c r="J411" s="20"/>
      <c r="K411" s="20"/>
    </row>
    <row r="412" spans="1:11" ht="15.5" x14ac:dyDescent="0.35">
      <c r="A412" s="3" t="s">
        <v>96</v>
      </c>
      <c r="B412" s="1"/>
      <c r="C412" s="20">
        <v>3000</v>
      </c>
      <c r="D412" s="1"/>
      <c r="E412" s="20"/>
      <c r="F412" s="20">
        <f t="shared" ref="F412:F415" si="67">C412*B412</f>
        <v>0</v>
      </c>
      <c r="G412" s="20"/>
      <c r="H412" s="20"/>
      <c r="I412" s="20"/>
      <c r="J412" s="20"/>
      <c r="K412" s="20"/>
    </row>
    <row r="413" spans="1:11" ht="15.5" x14ac:dyDescent="0.35">
      <c r="A413" s="3" t="s">
        <v>97</v>
      </c>
      <c r="B413" s="1"/>
      <c r="C413" s="20">
        <v>2500</v>
      </c>
      <c r="D413" s="1"/>
      <c r="E413" s="1"/>
      <c r="F413" s="20">
        <f t="shared" si="67"/>
        <v>0</v>
      </c>
      <c r="G413" s="20"/>
      <c r="H413" s="20"/>
      <c r="I413" s="20"/>
      <c r="J413" s="20"/>
      <c r="K413" s="20"/>
    </row>
    <row r="414" spans="1:11" ht="15.5" x14ac:dyDescent="0.35">
      <c r="A414" s="3" t="s">
        <v>98</v>
      </c>
      <c r="B414" s="1"/>
      <c r="C414" s="20">
        <v>1800</v>
      </c>
      <c r="D414" s="1"/>
      <c r="E414" s="1"/>
      <c r="F414" s="20">
        <f t="shared" si="67"/>
        <v>0</v>
      </c>
      <c r="G414" s="20"/>
      <c r="H414" s="20"/>
      <c r="I414" s="20"/>
      <c r="J414" s="20"/>
      <c r="K414" s="20"/>
    </row>
    <row r="415" spans="1:11" ht="15.5" x14ac:dyDescent="0.35">
      <c r="A415" s="3" t="s">
        <v>99</v>
      </c>
      <c r="B415" s="1">
        <v>2</v>
      </c>
      <c r="C415" s="20">
        <v>3500</v>
      </c>
      <c r="D415" s="1">
        <v>1</v>
      </c>
      <c r="E415" s="1">
        <v>1</v>
      </c>
      <c r="F415" s="20">
        <f t="shared" si="67"/>
        <v>7000</v>
      </c>
      <c r="G415" s="20"/>
      <c r="H415" s="20"/>
      <c r="I415" s="20"/>
      <c r="J415" s="20"/>
      <c r="K415" s="20"/>
    </row>
    <row r="416" spans="1:11" ht="15.5" x14ac:dyDescent="0.35">
      <c r="A416" s="18"/>
      <c r="F416" s="21"/>
    </row>
    <row r="417" spans="1:11" ht="15.5" x14ac:dyDescent="0.35">
      <c r="A417" s="24" t="s">
        <v>108</v>
      </c>
      <c r="K417" s="21"/>
    </row>
    <row r="418" spans="1:11" ht="15.5" x14ac:dyDescent="0.35">
      <c r="A418" s="18" t="s">
        <v>114</v>
      </c>
      <c r="B418" s="67">
        <v>40000</v>
      </c>
    </row>
    <row r="419" spans="1:11" ht="15.5" x14ac:dyDescent="0.35">
      <c r="A419" s="18" t="s">
        <v>112</v>
      </c>
      <c r="B419" s="67">
        <v>40000</v>
      </c>
    </row>
    <row r="420" spans="1:11" ht="15.5" x14ac:dyDescent="0.35">
      <c r="A420" s="18" t="s">
        <v>309</v>
      </c>
      <c r="B420" s="67">
        <v>60000</v>
      </c>
    </row>
    <row r="421" spans="1:11" ht="15.5" x14ac:dyDescent="0.35">
      <c r="A421" s="18" t="s">
        <v>110</v>
      </c>
      <c r="B421" s="67">
        <v>40000</v>
      </c>
    </row>
    <row r="422" spans="1:11" ht="15.5" x14ac:dyDescent="0.35">
      <c r="A422" s="18" t="s">
        <v>111</v>
      </c>
      <c r="B422" s="67">
        <v>40000</v>
      </c>
    </row>
    <row r="423" spans="1:11" ht="15.5" x14ac:dyDescent="0.35">
      <c r="A423" s="18" t="s">
        <v>196</v>
      </c>
      <c r="B423" s="67">
        <v>40000</v>
      </c>
    </row>
    <row r="424" spans="1:11" ht="15.5" x14ac:dyDescent="0.35">
      <c r="A424" s="18" t="s">
        <v>113</v>
      </c>
      <c r="B424" s="67">
        <v>40000</v>
      </c>
    </row>
    <row r="425" spans="1:11" ht="15.5" x14ac:dyDescent="0.35">
      <c r="A425" s="18" t="s">
        <v>209</v>
      </c>
      <c r="B425" s="67">
        <v>40000</v>
      </c>
    </row>
    <row r="426" spans="1:11" ht="15.5" x14ac:dyDescent="0.35">
      <c r="A426" s="18" t="s">
        <v>115</v>
      </c>
      <c r="B426" s="67">
        <v>60000</v>
      </c>
    </row>
    <row r="427" spans="1:11" ht="15.5" x14ac:dyDescent="0.35">
      <c r="A427" s="18" t="s">
        <v>109</v>
      </c>
      <c r="B427" s="67">
        <v>40000</v>
      </c>
    </row>
    <row r="428" spans="1:11" ht="15.5" x14ac:dyDescent="0.35">
      <c r="A428" s="24" t="s">
        <v>4</v>
      </c>
      <c r="B428" s="75">
        <f>SUM(B418:B427)</f>
        <v>440000</v>
      </c>
    </row>
    <row r="429" spans="1:11" ht="15.5" x14ac:dyDescent="0.35">
      <c r="A429" s="24"/>
      <c r="B429" s="75"/>
    </row>
    <row r="430" spans="1:11" ht="15.5" x14ac:dyDescent="0.35">
      <c r="A430" s="24"/>
      <c r="B430" s="75"/>
    </row>
    <row r="431" spans="1:11" ht="15.5" x14ac:dyDescent="0.35">
      <c r="A431" s="24"/>
      <c r="B431" s="75"/>
    </row>
    <row r="432" spans="1:11" ht="18.5" x14ac:dyDescent="0.45">
      <c r="A432" s="151" t="s">
        <v>1</v>
      </c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</row>
    <row r="433" spans="1:11" ht="18.5" x14ac:dyDescent="0.45">
      <c r="A433" s="150" t="s">
        <v>74</v>
      </c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</row>
    <row r="434" spans="1:11" ht="18.5" x14ac:dyDescent="0.45">
      <c r="A434" s="149">
        <v>46094</v>
      </c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</row>
    <row r="435" spans="1:11" ht="18.5" x14ac:dyDescent="0.45">
      <c r="A435" s="150"/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</row>
    <row r="436" spans="1:11" ht="18.5" x14ac:dyDescent="0.45">
      <c r="A436" s="2" t="s">
        <v>75</v>
      </c>
      <c r="B436" s="2" t="s">
        <v>3</v>
      </c>
      <c r="C436" s="2" t="s">
        <v>100</v>
      </c>
      <c r="D436" s="2" t="s">
        <v>90</v>
      </c>
      <c r="E436" s="2" t="s">
        <v>91</v>
      </c>
      <c r="F436" s="2" t="s">
        <v>4</v>
      </c>
      <c r="G436" s="2" t="s">
        <v>101</v>
      </c>
      <c r="H436" s="2" t="s">
        <v>104</v>
      </c>
      <c r="I436" s="2"/>
      <c r="J436" s="2" t="s">
        <v>105</v>
      </c>
      <c r="K436" s="2" t="s">
        <v>106</v>
      </c>
    </row>
    <row r="437" spans="1:11" ht="15.5" x14ac:dyDescent="0.35">
      <c r="A437" s="3" t="s">
        <v>76</v>
      </c>
      <c r="B437" s="1">
        <v>119</v>
      </c>
      <c r="C437" s="20">
        <v>17500</v>
      </c>
      <c r="D437" s="1">
        <v>65</v>
      </c>
      <c r="E437" s="1">
        <v>54</v>
      </c>
      <c r="F437" s="20">
        <f>C437*B437</f>
        <v>2082500</v>
      </c>
      <c r="G437" s="20">
        <f>D437*C437</f>
        <v>1137500</v>
      </c>
      <c r="H437" s="20">
        <f>E437*C437</f>
        <v>945000</v>
      </c>
      <c r="I437" s="20" t="b">
        <f>D437+E437=B437</f>
        <v>1</v>
      </c>
      <c r="J437" s="20">
        <f>B472</f>
        <v>440000</v>
      </c>
      <c r="K437" s="20" t="s">
        <v>117</v>
      </c>
    </row>
    <row r="438" spans="1:11" ht="15.5" x14ac:dyDescent="0.35">
      <c r="A438" s="3" t="s">
        <v>77</v>
      </c>
      <c r="B438" s="1">
        <v>16</v>
      </c>
      <c r="C438" s="20">
        <v>16000</v>
      </c>
      <c r="D438" s="1">
        <v>9</v>
      </c>
      <c r="E438" s="1">
        <v>7</v>
      </c>
      <c r="F438" s="20">
        <f t="shared" ref="F438:F449" si="68">C438*B438</f>
        <v>256000</v>
      </c>
      <c r="G438" s="20">
        <f t="shared" ref="G438:G449" si="69">D438*C438</f>
        <v>144000</v>
      </c>
      <c r="H438" s="20">
        <f t="shared" ref="H438:H453" si="70">E438*C438</f>
        <v>112000</v>
      </c>
      <c r="I438" s="20" t="b">
        <f t="shared" ref="I438:I453" si="71">D438+E438=B438</f>
        <v>1</v>
      </c>
      <c r="J438" s="20">
        <v>416000</v>
      </c>
      <c r="K438" s="20" t="s">
        <v>107</v>
      </c>
    </row>
    <row r="439" spans="1:11" ht="15.5" x14ac:dyDescent="0.35">
      <c r="A439" s="3" t="s">
        <v>78</v>
      </c>
      <c r="B439" s="1">
        <v>57</v>
      </c>
      <c r="C439" s="20">
        <v>17500</v>
      </c>
      <c r="D439" s="1">
        <v>26</v>
      </c>
      <c r="E439" s="1">
        <v>31</v>
      </c>
      <c r="F439" s="20">
        <f t="shared" si="68"/>
        <v>997500</v>
      </c>
      <c r="G439" s="20">
        <f t="shared" si="69"/>
        <v>455000</v>
      </c>
      <c r="H439" s="20">
        <f t="shared" si="70"/>
        <v>542500</v>
      </c>
      <c r="I439" s="20" t="b">
        <f t="shared" si="71"/>
        <v>1</v>
      </c>
      <c r="J439" s="20">
        <v>21500</v>
      </c>
      <c r="K439" s="20" t="s">
        <v>212</v>
      </c>
    </row>
    <row r="440" spans="1:11" ht="15.5" x14ac:dyDescent="0.35">
      <c r="A440" s="3" t="s">
        <v>79</v>
      </c>
      <c r="B440" s="1">
        <v>21</v>
      </c>
      <c r="C440" s="20">
        <v>18500</v>
      </c>
      <c r="D440" s="1">
        <v>12</v>
      </c>
      <c r="E440" s="1">
        <v>9</v>
      </c>
      <c r="F440" s="20">
        <f t="shared" si="68"/>
        <v>388500</v>
      </c>
      <c r="G440" s="20">
        <f t="shared" si="69"/>
        <v>222000</v>
      </c>
      <c r="H440" s="20">
        <f t="shared" si="70"/>
        <v>166500</v>
      </c>
      <c r="I440" s="20" t="b">
        <f t="shared" si="71"/>
        <v>1</v>
      </c>
      <c r="J440" s="20">
        <v>141176</v>
      </c>
      <c r="K440" s="20" t="s">
        <v>369</v>
      </c>
    </row>
    <row r="441" spans="1:11" ht="15.5" x14ac:dyDescent="0.35">
      <c r="A441" s="3" t="s">
        <v>80</v>
      </c>
      <c r="B441" s="1"/>
      <c r="C441" s="20">
        <v>18500</v>
      </c>
      <c r="D441" s="1"/>
      <c r="E441" s="1"/>
      <c r="F441" s="20">
        <f t="shared" si="68"/>
        <v>0</v>
      </c>
      <c r="G441" s="20">
        <f t="shared" si="69"/>
        <v>0</v>
      </c>
      <c r="H441" s="20">
        <f t="shared" si="70"/>
        <v>0</v>
      </c>
      <c r="I441" s="20" t="b">
        <f t="shared" si="71"/>
        <v>1</v>
      </c>
      <c r="J441" s="20"/>
      <c r="K441" s="20"/>
    </row>
    <row r="442" spans="1:11" ht="15.5" x14ac:dyDescent="0.35">
      <c r="A442" s="3" t="s">
        <v>81</v>
      </c>
      <c r="B442" s="1"/>
      <c r="C442" s="20">
        <v>23000</v>
      </c>
      <c r="D442" s="1"/>
      <c r="E442" s="1"/>
      <c r="F442" s="20">
        <f t="shared" si="68"/>
        <v>0</v>
      </c>
      <c r="G442" s="20">
        <f t="shared" si="69"/>
        <v>0</v>
      </c>
      <c r="H442" s="20">
        <f t="shared" si="70"/>
        <v>0</v>
      </c>
      <c r="I442" s="20" t="b">
        <f t="shared" si="71"/>
        <v>1</v>
      </c>
      <c r="J442" s="20"/>
      <c r="K442" s="20"/>
    </row>
    <row r="443" spans="1:11" ht="15.5" x14ac:dyDescent="0.35">
      <c r="A443" s="3" t="s">
        <v>82</v>
      </c>
      <c r="B443" s="1"/>
      <c r="C443" s="20">
        <v>18000</v>
      </c>
      <c r="D443" s="1"/>
      <c r="E443" s="1"/>
      <c r="F443" s="20">
        <f t="shared" si="68"/>
        <v>0</v>
      </c>
      <c r="G443" s="20">
        <f t="shared" si="69"/>
        <v>0</v>
      </c>
      <c r="H443" s="20">
        <f t="shared" si="70"/>
        <v>0</v>
      </c>
      <c r="I443" s="20" t="b">
        <f t="shared" si="71"/>
        <v>1</v>
      </c>
      <c r="J443" s="20"/>
      <c r="K443" s="20"/>
    </row>
    <row r="444" spans="1:11" ht="15.5" x14ac:dyDescent="0.35">
      <c r="A444" s="3" t="s">
        <v>83</v>
      </c>
      <c r="B444" s="1"/>
      <c r="C444" s="20">
        <v>18000</v>
      </c>
      <c r="D444" s="1"/>
      <c r="E444" s="1"/>
      <c r="F444" s="20">
        <f t="shared" si="68"/>
        <v>0</v>
      </c>
      <c r="G444" s="20">
        <f t="shared" si="69"/>
        <v>0</v>
      </c>
      <c r="H444" s="20">
        <f t="shared" si="70"/>
        <v>0</v>
      </c>
      <c r="I444" s="20" t="b">
        <f t="shared" si="71"/>
        <v>1</v>
      </c>
      <c r="J444" s="20"/>
      <c r="K444" s="20"/>
    </row>
    <row r="445" spans="1:11" ht="15.5" x14ac:dyDescent="0.35">
      <c r="A445" s="3" t="s">
        <v>84</v>
      </c>
      <c r="B445" s="1"/>
      <c r="C445" s="20">
        <v>18500</v>
      </c>
      <c r="D445" s="1"/>
      <c r="E445" s="1"/>
      <c r="F445" s="20">
        <f t="shared" si="68"/>
        <v>0</v>
      </c>
      <c r="G445" s="20">
        <f t="shared" si="69"/>
        <v>0</v>
      </c>
      <c r="H445" s="20">
        <f t="shared" si="70"/>
        <v>0</v>
      </c>
      <c r="I445" s="20" t="b">
        <f t="shared" si="71"/>
        <v>1</v>
      </c>
      <c r="J445" s="20"/>
      <c r="K445" s="20"/>
    </row>
    <row r="446" spans="1:11" ht="15.5" x14ac:dyDescent="0.35">
      <c r="A446" s="3" t="s">
        <v>85</v>
      </c>
      <c r="B446" s="1">
        <v>47</v>
      </c>
      <c r="C446" s="20">
        <v>18500</v>
      </c>
      <c r="D446" s="1">
        <v>17</v>
      </c>
      <c r="E446" s="1">
        <v>30</v>
      </c>
      <c r="F446" s="20">
        <f t="shared" si="68"/>
        <v>869500</v>
      </c>
      <c r="G446" s="20">
        <f t="shared" si="69"/>
        <v>314500</v>
      </c>
      <c r="H446" s="20">
        <f t="shared" si="70"/>
        <v>555000</v>
      </c>
      <c r="I446" s="20" t="b">
        <f t="shared" si="71"/>
        <v>1</v>
      </c>
      <c r="J446" s="20"/>
      <c r="K446" s="20"/>
    </row>
    <row r="447" spans="1:11" ht="15.5" x14ac:dyDescent="0.35">
      <c r="A447" s="3" t="s">
        <v>86</v>
      </c>
      <c r="B447" s="1">
        <v>9</v>
      </c>
      <c r="C447" s="20">
        <v>18500</v>
      </c>
      <c r="D447" s="1">
        <v>7</v>
      </c>
      <c r="E447" s="1">
        <v>2</v>
      </c>
      <c r="F447" s="20">
        <f t="shared" si="68"/>
        <v>166500</v>
      </c>
      <c r="G447" s="20">
        <f t="shared" si="69"/>
        <v>129500</v>
      </c>
      <c r="H447" s="20">
        <f t="shared" si="70"/>
        <v>37000</v>
      </c>
      <c r="I447" s="20" t="b">
        <f t="shared" si="71"/>
        <v>1</v>
      </c>
      <c r="J447" s="20"/>
      <c r="K447" s="20"/>
    </row>
    <row r="448" spans="1:11" ht="15.5" x14ac:dyDescent="0.35">
      <c r="A448" s="3" t="s">
        <v>87</v>
      </c>
      <c r="B448" s="1"/>
      <c r="C448" s="20">
        <v>18500</v>
      </c>
      <c r="D448" s="1"/>
      <c r="E448" s="1"/>
      <c r="F448" s="20">
        <f t="shared" si="68"/>
        <v>0</v>
      </c>
      <c r="G448" s="20">
        <f t="shared" si="69"/>
        <v>0</v>
      </c>
      <c r="H448" s="20">
        <f t="shared" si="70"/>
        <v>0</v>
      </c>
      <c r="I448" s="20" t="b">
        <f t="shared" si="71"/>
        <v>1</v>
      </c>
      <c r="J448" s="20"/>
      <c r="K448" s="20"/>
    </row>
    <row r="449" spans="1:11" ht="15.5" x14ac:dyDescent="0.35">
      <c r="A449" s="3" t="s">
        <v>88</v>
      </c>
      <c r="B449" s="1">
        <v>14</v>
      </c>
      <c r="C449" s="20">
        <v>18500</v>
      </c>
      <c r="D449" s="1">
        <v>6</v>
      </c>
      <c r="E449" s="1">
        <v>8</v>
      </c>
      <c r="F449" s="20">
        <f t="shared" si="68"/>
        <v>259000</v>
      </c>
      <c r="G449" s="20">
        <f t="shared" si="69"/>
        <v>111000</v>
      </c>
      <c r="H449" s="20">
        <f t="shared" si="70"/>
        <v>148000</v>
      </c>
      <c r="I449" s="20" t="b">
        <f t="shared" si="71"/>
        <v>1</v>
      </c>
      <c r="J449" s="20"/>
      <c r="K449" s="20"/>
    </row>
    <row r="450" spans="1:11" ht="15.5" x14ac:dyDescent="0.35">
      <c r="A450" s="19" t="s">
        <v>89</v>
      </c>
      <c r="B450" s="1"/>
      <c r="C450" s="20"/>
      <c r="D450" s="1"/>
      <c r="E450" s="1"/>
      <c r="F450" s="20"/>
      <c r="G450" s="20"/>
      <c r="H450" s="20">
        <f t="shared" si="70"/>
        <v>0</v>
      </c>
      <c r="I450" s="20" t="b">
        <f t="shared" si="71"/>
        <v>1</v>
      </c>
      <c r="J450" s="20"/>
      <c r="K450" s="20"/>
    </row>
    <row r="451" spans="1:11" ht="15.5" x14ac:dyDescent="0.35">
      <c r="A451" s="3" t="s">
        <v>92</v>
      </c>
      <c r="B451" s="1">
        <v>23</v>
      </c>
      <c r="C451" s="20">
        <v>21500</v>
      </c>
      <c r="D451" s="1">
        <v>10</v>
      </c>
      <c r="E451" s="1">
        <v>13</v>
      </c>
      <c r="F451" s="20">
        <f t="shared" ref="F451:F453" si="72">C451*B451</f>
        <v>494500</v>
      </c>
      <c r="G451" s="20">
        <f t="shared" ref="G451:G453" si="73">D451*C451</f>
        <v>215000</v>
      </c>
      <c r="H451" s="20">
        <f t="shared" si="70"/>
        <v>279500</v>
      </c>
      <c r="I451" s="20" t="b">
        <f t="shared" si="71"/>
        <v>1</v>
      </c>
      <c r="J451" s="20"/>
      <c r="K451" s="20"/>
    </row>
    <row r="452" spans="1:11" ht="15.5" x14ac:dyDescent="0.35">
      <c r="A452" s="3" t="s">
        <v>93</v>
      </c>
      <c r="B452" s="1"/>
      <c r="C452" s="20">
        <v>21500</v>
      </c>
      <c r="D452" s="1"/>
      <c r="E452" s="1"/>
      <c r="F452" s="20">
        <f t="shared" si="72"/>
        <v>0</v>
      </c>
      <c r="G452" s="20">
        <f t="shared" si="73"/>
        <v>0</v>
      </c>
      <c r="H452" s="20">
        <f t="shared" si="70"/>
        <v>0</v>
      </c>
      <c r="I452" s="20" t="b">
        <f t="shared" si="71"/>
        <v>1</v>
      </c>
      <c r="J452" s="20"/>
      <c r="K452" s="20"/>
    </row>
    <row r="453" spans="1:11" ht="15.5" x14ac:dyDescent="0.35">
      <c r="A453" s="3" t="s">
        <v>94</v>
      </c>
      <c r="B453" s="1">
        <v>29</v>
      </c>
      <c r="C453" s="20">
        <v>21500</v>
      </c>
      <c r="D453" s="1">
        <v>20</v>
      </c>
      <c r="E453" s="1">
        <v>9</v>
      </c>
      <c r="F453" s="20">
        <f t="shared" si="72"/>
        <v>623500</v>
      </c>
      <c r="G453" s="20">
        <f t="shared" si="73"/>
        <v>430000</v>
      </c>
      <c r="H453" s="20">
        <f t="shared" si="70"/>
        <v>193500</v>
      </c>
      <c r="I453" s="20" t="b">
        <f t="shared" si="71"/>
        <v>1</v>
      </c>
      <c r="J453" s="20"/>
      <c r="K453" s="20"/>
    </row>
    <row r="454" spans="1:11" ht="15.5" x14ac:dyDescent="0.35">
      <c r="A454" s="19"/>
      <c r="B454" s="22">
        <f>SUM(B437:B453)</f>
        <v>335</v>
      </c>
      <c r="C454" s="20"/>
      <c r="D454" s="1"/>
      <c r="E454" s="1"/>
      <c r="F454" s="23">
        <f>SUM(F437:F453)</f>
        <v>6137500</v>
      </c>
      <c r="G454" s="23">
        <f>SUM(G437:G453)</f>
        <v>3158500</v>
      </c>
      <c r="H454" s="23">
        <f>SUM(H437:H453)</f>
        <v>2979000</v>
      </c>
      <c r="I454" s="23"/>
      <c r="J454" s="23">
        <f>SUM(J437:J453)</f>
        <v>1018676</v>
      </c>
      <c r="K454" s="23">
        <f>H454-J454</f>
        <v>1960324</v>
      </c>
    </row>
    <row r="455" spans="1:11" ht="15.5" x14ac:dyDescent="0.35">
      <c r="A455" s="19" t="s">
        <v>95</v>
      </c>
      <c r="B455" s="1"/>
      <c r="C455" s="20"/>
      <c r="D455" s="1"/>
      <c r="E455" s="1"/>
      <c r="F455" s="20"/>
      <c r="G455" s="20"/>
      <c r="H455" s="20" t="s">
        <v>192</v>
      </c>
      <c r="I455" s="20"/>
      <c r="J455" s="20"/>
      <c r="K455" s="20"/>
    </row>
    <row r="456" spans="1:11" ht="15.5" x14ac:dyDescent="0.35">
      <c r="A456" s="3" t="s">
        <v>96</v>
      </c>
      <c r="B456" s="1"/>
      <c r="C456" s="20">
        <v>3000</v>
      </c>
      <c r="D456" s="1"/>
      <c r="E456" s="20"/>
      <c r="F456" s="20">
        <f t="shared" ref="F456:F459" si="74">C456*B456</f>
        <v>0</v>
      </c>
      <c r="G456" s="20"/>
      <c r="H456" s="20"/>
      <c r="I456" s="20"/>
      <c r="J456" s="20"/>
      <c r="K456" s="20"/>
    </row>
    <row r="457" spans="1:11" ht="15.5" x14ac:dyDescent="0.35">
      <c r="A457" s="3" t="s">
        <v>97</v>
      </c>
      <c r="B457" s="1"/>
      <c r="C457" s="20">
        <v>2500</v>
      </c>
      <c r="D457" s="1"/>
      <c r="E457" s="1"/>
      <c r="F457" s="20">
        <f t="shared" si="74"/>
        <v>0</v>
      </c>
      <c r="G457" s="20"/>
      <c r="H457" s="20"/>
      <c r="I457" s="20"/>
      <c r="J457" s="20"/>
      <c r="K457" s="20"/>
    </row>
    <row r="458" spans="1:11" ht="15.5" x14ac:dyDescent="0.35">
      <c r="A458" s="3" t="s">
        <v>98</v>
      </c>
      <c r="B458" s="1"/>
      <c r="C458" s="20">
        <v>1800</v>
      </c>
      <c r="D458" s="1"/>
      <c r="E458" s="1"/>
      <c r="F458" s="20">
        <f t="shared" si="74"/>
        <v>0</v>
      </c>
      <c r="G458" s="20"/>
      <c r="H458" s="20"/>
      <c r="I458" s="20"/>
      <c r="J458" s="20"/>
      <c r="K458" s="20"/>
    </row>
    <row r="459" spans="1:11" ht="15.5" x14ac:dyDescent="0.35">
      <c r="A459" s="3" t="s">
        <v>99</v>
      </c>
      <c r="B459" s="1"/>
      <c r="C459" s="20">
        <v>3500</v>
      </c>
      <c r="D459" s="1"/>
      <c r="E459" s="1"/>
      <c r="F459" s="20">
        <f t="shared" si="74"/>
        <v>0</v>
      </c>
      <c r="G459" s="20"/>
      <c r="H459" s="20"/>
      <c r="I459" s="20"/>
      <c r="J459" s="20"/>
      <c r="K459" s="20"/>
    </row>
    <row r="460" spans="1:11" ht="15.5" x14ac:dyDescent="0.35">
      <c r="A460" s="18"/>
      <c r="F460" s="21"/>
    </row>
    <row r="461" spans="1:11" ht="15.5" x14ac:dyDescent="0.35">
      <c r="A461" s="24" t="s">
        <v>108</v>
      </c>
      <c r="K461" s="21"/>
    </row>
    <row r="462" spans="1:11" ht="15.5" x14ac:dyDescent="0.35">
      <c r="A462" s="18" t="s">
        <v>114</v>
      </c>
      <c r="B462" s="67">
        <v>40000</v>
      </c>
    </row>
    <row r="463" spans="1:11" ht="15.5" x14ac:dyDescent="0.35">
      <c r="A463" s="18" t="s">
        <v>112</v>
      </c>
      <c r="B463" s="67">
        <v>40000</v>
      </c>
    </row>
    <row r="464" spans="1:11" ht="15.5" x14ac:dyDescent="0.35">
      <c r="A464" s="18" t="s">
        <v>309</v>
      </c>
      <c r="B464" s="67">
        <v>60000</v>
      </c>
    </row>
    <row r="465" spans="1:11" ht="15.5" x14ac:dyDescent="0.35">
      <c r="A465" s="18" t="s">
        <v>110</v>
      </c>
      <c r="B465" s="67">
        <v>40000</v>
      </c>
    </row>
    <row r="466" spans="1:11" ht="15.5" x14ac:dyDescent="0.35">
      <c r="A466" s="18" t="s">
        <v>111</v>
      </c>
      <c r="B466" s="67">
        <v>40000</v>
      </c>
    </row>
    <row r="467" spans="1:11" ht="15.5" x14ac:dyDescent="0.35">
      <c r="A467" s="18" t="s">
        <v>196</v>
      </c>
      <c r="B467" s="67">
        <v>40000</v>
      </c>
    </row>
    <row r="468" spans="1:11" ht="15.5" x14ac:dyDescent="0.35">
      <c r="A468" s="18" t="s">
        <v>113</v>
      </c>
      <c r="B468" s="67">
        <v>40000</v>
      </c>
    </row>
    <row r="469" spans="1:11" ht="15.5" x14ac:dyDescent="0.35">
      <c r="A469" s="18" t="s">
        <v>209</v>
      </c>
      <c r="B469" s="67">
        <v>40000</v>
      </c>
    </row>
    <row r="470" spans="1:11" ht="15.5" x14ac:dyDescent="0.35">
      <c r="A470" s="18" t="s">
        <v>115</v>
      </c>
      <c r="B470" s="67">
        <v>60000</v>
      </c>
    </row>
    <row r="471" spans="1:11" ht="15.5" x14ac:dyDescent="0.35">
      <c r="A471" s="18" t="s">
        <v>109</v>
      </c>
      <c r="B471" s="67">
        <v>40000</v>
      </c>
    </row>
    <row r="472" spans="1:11" ht="15.5" x14ac:dyDescent="0.35">
      <c r="A472" s="24" t="s">
        <v>4</v>
      </c>
      <c r="B472" s="75">
        <f>SUM(B462:B471)</f>
        <v>440000</v>
      </c>
    </row>
    <row r="475" spans="1:11" ht="18.5" x14ac:dyDescent="0.45">
      <c r="A475" s="151" t="s">
        <v>1</v>
      </c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</row>
    <row r="476" spans="1:11" ht="18.5" x14ac:dyDescent="0.45">
      <c r="A476" s="150" t="s">
        <v>74</v>
      </c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</row>
    <row r="477" spans="1:11" ht="18.5" x14ac:dyDescent="0.45">
      <c r="A477" s="149">
        <v>46095</v>
      </c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</row>
    <row r="478" spans="1:11" ht="18.5" x14ac:dyDescent="0.45">
      <c r="A478" s="150"/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</row>
    <row r="479" spans="1:11" ht="18.5" x14ac:dyDescent="0.45">
      <c r="A479" s="2" t="s">
        <v>75</v>
      </c>
      <c r="B479" s="2" t="s">
        <v>3</v>
      </c>
      <c r="C479" s="2" t="s">
        <v>100</v>
      </c>
      <c r="D479" s="2" t="s">
        <v>90</v>
      </c>
      <c r="E479" s="2" t="s">
        <v>91</v>
      </c>
      <c r="F479" s="2" t="s">
        <v>4</v>
      </c>
      <c r="G479" s="2" t="s">
        <v>101</v>
      </c>
      <c r="H479" s="2" t="s">
        <v>104</v>
      </c>
      <c r="I479" s="2"/>
      <c r="J479" s="2" t="s">
        <v>105</v>
      </c>
      <c r="K479" s="2" t="s">
        <v>106</v>
      </c>
    </row>
    <row r="480" spans="1:11" ht="15.5" x14ac:dyDescent="0.35">
      <c r="A480" s="3" t="s">
        <v>76</v>
      </c>
      <c r="B480" s="1"/>
      <c r="C480" s="20">
        <v>17500</v>
      </c>
      <c r="D480" s="1"/>
      <c r="E480" s="1"/>
      <c r="F480" s="20">
        <f>C480*B480</f>
        <v>0</v>
      </c>
      <c r="G480" s="20">
        <f>D480*C480</f>
        <v>0</v>
      </c>
      <c r="H480" s="20">
        <f>E480*C480</f>
        <v>0</v>
      </c>
      <c r="I480" s="20" t="b">
        <f>D480+E480=B480</f>
        <v>1</v>
      </c>
      <c r="J480" s="20">
        <f>B509</f>
        <v>240000</v>
      </c>
      <c r="K480" s="20" t="s">
        <v>117</v>
      </c>
    </row>
    <row r="481" spans="1:11" ht="15.5" x14ac:dyDescent="0.35">
      <c r="A481" s="3" t="s">
        <v>77</v>
      </c>
      <c r="B481" s="1"/>
      <c r="C481" s="20">
        <v>16000</v>
      </c>
      <c r="D481" s="1"/>
      <c r="E481" s="1"/>
      <c r="F481" s="20">
        <f t="shared" ref="F481:F492" si="75">C481*B481</f>
        <v>0</v>
      </c>
      <c r="G481" s="20">
        <f t="shared" ref="G481:G492" si="76">D481*C481</f>
        <v>0</v>
      </c>
      <c r="H481" s="20">
        <f t="shared" ref="H481:H496" si="77">E481*C481</f>
        <v>0</v>
      </c>
      <c r="I481" s="20" t="b">
        <f t="shared" ref="I481:I496" si="78">D481+E481=B481</f>
        <v>1</v>
      </c>
      <c r="J481" s="20">
        <v>100000</v>
      </c>
      <c r="K481" s="20" t="s">
        <v>370</v>
      </c>
    </row>
    <row r="482" spans="1:11" ht="15.5" x14ac:dyDescent="0.35">
      <c r="A482" s="3" t="s">
        <v>78</v>
      </c>
      <c r="B482" s="1"/>
      <c r="C482" s="20">
        <v>17500</v>
      </c>
      <c r="D482" s="1"/>
      <c r="E482" s="1"/>
      <c r="F482" s="20">
        <f t="shared" si="75"/>
        <v>0</v>
      </c>
      <c r="G482" s="20">
        <f t="shared" si="76"/>
        <v>0</v>
      </c>
      <c r="H482" s="20">
        <f t="shared" si="77"/>
        <v>0</v>
      </c>
      <c r="I482" s="20" t="b">
        <f t="shared" si="78"/>
        <v>1</v>
      </c>
      <c r="J482" s="20">
        <v>115000</v>
      </c>
      <c r="K482" s="20" t="s">
        <v>371</v>
      </c>
    </row>
    <row r="483" spans="1:11" ht="15.5" x14ac:dyDescent="0.35">
      <c r="A483" s="3" t="s">
        <v>79</v>
      </c>
      <c r="B483" s="1"/>
      <c r="C483" s="20">
        <v>18500</v>
      </c>
      <c r="D483" s="1"/>
      <c r="E483" s="1"/>
      <c r="F483" s="20">
        <f t="shared" si="75"/>
        <v>0</v>
      </c>
      <c r="G483" s="20">
        <f t="shared" si="76"/>
        <v>0</v>
      </c>
      <c r="H483" s="20">
        <f t="shared" si="77"/>
        <v>0</v>
      </c>
      <c r="I483" s="20" t="b">
        <f t="shared" si="78"/>
        <v>1</v>
      </c>
      <c r="J483" s="20">
        <v>13000</v>
      </c>
      <c r="K483" s="20" t="s">
        <v>372</v>
      </c>
    </row>
    <row r="484" spans="1:11" ht="15.5" x14ac:dyDescent="0.35">
      <c r="A484" s="3" t="s">
        <v>80</v>
      </c>
      <c r="B484" s="1"/>
      <c r="C484" s="20">
        <v>18500</v>
      </c>
      <c r="D484" s="1"/>
      <c r="E484" s="1"/>
      <c r="F484" s="20">
        <f t="shared" si="75"/>
        <v>0</v>
      </c>
      <c r="G484" s="20">
        <f t="shared" si="76"/>
        <v>0</v>
      </c>
      <c r="H484" s="20">
        <f t="shared" si="77"/>
        <v>0</v>
      </c>
      <c r="I484" s="20" t="b">
        <f t="shared" si="78"/>
        <v>1</v>
      </c>
      <c r="J484" s="20"/>
      <c r="K484" s="20"/>
    </row>
    <row r="485" spans="1:11" ht="15.5" x14ac:dyDescent="0.35">
      <c r="A485" s="3" t="s">
        <v>81</v>
      </c>
      <c r="B485" s="1"/>
      <c r="C485" s="20">
        <v>23000</v>
      </c>
      <c r="D485" s="1"/>
      <c r="E485" s="1"/>
      <c r="F485" s="20">
        <f t="shared" si="75"/>
        <v>0</v>
      </c>
      <c r="G485" s="20">
        <f t="shared" si="76"/>
        <v>0</v>
      </c>
      <c r="H485" s="20">
        <f t="shared" si="77"/>
        <v>0</v>
      </c>
      <c r="I485" s="20" t="b">
        <f t="shared" si="78"/>
        <v>1</v>
      </c>
      <c r="J485" s="20"/>
      <c r="K485" s="20"/>
    </row>
    <row r="486" spans="1:11" ht="15.5" x14ac:dyDescent="0.35">
      <c r="A486" s="3" t="s">
        <v>82</v>
      </c>
      <c r="B486" s="1"/>
      <c r="C486" s="20">
        <v>18000</v>
      </c>
      <c r="D486" s="1"/>
      <c r="E486" s="1"/>
      <c r="F486" s="20">
        <f t="shared" si="75"/>
        <v>0</v>
      </c>
      <c r="G486" s="20">
        <f t="shared" si="76"/>
        <v>0</v>
      </c>
      <c r="H486" s="20">
        <f t="shared" si="77"/>
        <v>0</v>
      </c>
      <c r="I486" s="20" t="b">
        <f t="shared" si="78"/>
        <v>1</v>
      </c>
      <c r="J486" s="20"/>
      <c r="K486" s="20"/>
    </row>
    <row r="487" spans="1:11" ht="15.5" x14ac:dyDescent="0.35">
      <c r="A487" s="3" t="s">
        <v>83</v>
      </c>
      <c r="B487" s="1"/>
      <c r="C487" s="20">
        <v>18000</v>
      </c>
      <c r="D487" s="1"/>
      <c r="E487" s="1"/>
      <c r="F487" s="20">
        <f t="shared" si="75"/>
        <v>0</v>
      </c>
      <c r="G487" s="20">
        <f t="shared" si="76"/>
        <v>0</v>
      </c>
      <c r="H487" s="20">
        <f t="shared" si="77"/>
        <v>0</v>
      </c>
      <c r="I487" s="20" t="b">
        <f t="shared" si="78"/>
        <v>1</v>
      </c>
      <c r="J487" s="20"/>
      <c r="K487" s="20"/>
    </row>
    <row r="488" spans="1:11" ht="15.5" x14ac:dyDescent="0.35">
      <c r="A488" s="3" t="s">
        <v>84</v>
      </c>
      <c r="B488" s="1"/>
      <c r="C488" s="20">
        <v>18500</v>
      </c>
      <c r="D488" s="1"/>
      <c r="E488" s="1"/>
      <c r="F488" s="20">
        <f t="shared" si="75"/>
        <v>0</v>
      </c>
      <c r="G488" s="20">
        <f t="shared" si="76"/>
        <v>0</v>
      </c>
      <c r="H488" s="20">
        <f t="shared" si="77"/>
        <v>0</v>
      </c>
      <c r="I488" s="20" t="b">
        <f t="shared" si="78"/>
        <v>1</v>
      </c>
      <c r="J488" s="20"/>
      <c r="K488" s="20"/>
    </row>
    <row r="489" spans="1:11" ht="15.5" x14ac:dyDescent="0.35">
      <c r="A489" s="3" t="s">
        <v>85</v>
      </c>
      <c r="B489" s="1"/>
      <c r="C489" s="20">
        <v>18500</v>
      </c>
      <c r="D489" s="1"/>
      <c r="E489" s="1"/>
      <c r="F489" s="20">
        <f t="shared" si="75"/>
        <v>0</v>
      </c>
      <c r="G489" s="20">
        <f t="shared" si="76"/>
        <v>0</v>
      </c>
      <c r="H489" s="20">
        <f t="shared" si="77"/>
        <v>0</v>
      </c>
      <c r="I489" s="20" t="b">
        <f t="shared" si="78"/>
        <v>1</v>
      </c>
      <c r="J489" s="20"/>
      <c r="K489" s="20"/>
    </row>
    <row r="490" spans="1:11" ht="15.5" x14ac:dyDescent="0.35">
      <c r="A490" s="3" t="s">
        <v>86</v>
      </c>
      <c r="B490" s="1"/>
      <c r="C490" s="20">
        <v>18500</v>
      </c>
      <c r="D490" s="1"/>
      <c r="E490" s="1"/>
      <c r="F490" s="20">
        <f t="shared" si="75"/>
        <v>0</v>
      </c>
      <c r="G490" s="20">
        <f t="shared" si="76"/>
        <v>0</v>
      </c>
      <c r="H490" s="20">
        <f t="shared" si="77"/>
        <v>0</v>
      </c>
      <c r="I490" s="20" t="b">
        <f t="shared" si="78"/>
        <v>1</v>
      </c>
      <c r="J490" s="20"/>
      <c r="K490" s="20"/>
    </row>
    <row r="491" spans="1:11" ht="15.5" x14ac:dyDescent="0.35">
      <c r="A491" s="3" t="s">
        <v>87</v>
      </c>
      <c r="B491" s="1"/>
      <c r="C491" s="20">
        <v>18500</v>
      </c>
      <c r="D491" s="1"/>
      <c r="E491" s="1"/>
      <c r="F491" s="20">
        <f t="shared" si="75"/>
        <v>0</v>
      </c>
      <c r="G491" s="20">
        <f t="shared" si="76"/>
        <v>0</v>
      </c>
      <c r="H491" s="20">
        <f t="shared" si="77"/>
        <v>0</v>
      </c>
      <c r="I491" s="20" t="b">
        <f t="shared" si="78"/>
        <v>1</v>
      </c>
      <c r="J491" s="20"/>
      <c r="K491" s="20"/>
    </row>
    <row r="492" spans="1:11" ht="15.5" x14ac:dyDescent="0.35">
      <c r="A492" s="3" t="s">
        <v>88</v>
      </c>
      <c r="B492" s="1"/>
      <c r="C492" s="20">
        <v>18500</v>
      </c>
      <c r="D492" s="1"/>
      <c r="E492" s="1"/>
      <c r="F492" s="20">
        <f t="shared" si="75"/>
        <v>0</v>
      </c>
      <c r="G492" s="20">
        <f t="shared" si="76"/>
        <v>0</v>
      </c>
      <c r="H492" s="20">
        <f t="shared" si="77"/>
        <v>0</v>
      </c>
      <c r="I492" s="20" t="b">
        <f t="shared" si="78"/>
        <v>1</v>
      </c>
      <c r="J492" s="20"/>
      <c r="K492" s="20"/>
    </row>
    <row r="493" spans="1:11" ht="15.5" x14ac:dyDescent="0.35">
      <c r="A493" s="19" t="s">
        <v>89</v>
      </c>
      <c r="B493" s="1"/>
      <c r="C493" s="20"/>
      <c r="D493" s="1"/>
      <c r="E493" s="1"/>
      <c r="F493" s="20"/>
      <c r="G493" s="20"/>
      <c r="H493" s="20">
        <f t="shared" si="77"/>
        <v>0</v>
      </c>
      <c r="I493" s="20" t="b">
        <f t="shared" si="78"/>
        <v>1</v>
      </c>
      <c r="J493" s="20"/>
      <c r="K493" s="20"/>
    </row>
    <row r="494" spans="1:11" ht="15.5" x14ac:dyDescent="0.35">
      <c r="A494" s="3" t="s">
        <v>92</v>
      </c>
      <c r="B494" s="1"/>
      <c r="C494" s="20">
        <v>21500</v>
      </c>
      <c r="D494" s="1"/>
      <c r="E494" s="1"/>
      <c r="F494" s="20">
        <f t="shared" ref="F494:F496" si="79">C494*B494</f>
        <v>0</v>
      </c>
      <c r="G494" s="20">
        <f t="shared" ref="G494:G496" si="80">D494*C494</f>
        <v>0</v>
      </c>
      <c r="H494" s="20">
        <f t="shared" si="77"/>
        <v>0</v>
      </c>
      <c r="I494" s="20" t="b">
        <f t="shared" si="78"/>
        <v>1</v>
      </c>
      <c r="J494" s="20"/>
      <c r="K494" s="20"/>
    </row>
    <row r="495" spans="1:11" ht="15.5" x14ac:dyDescent="0.35">
      <c r="A495" s="3" t="s">
        <v>93</v>
      </c>
      <c r="B495" s="1"/>
      <c r="C495" s="20">
        <v>21500</v>
      </c>
      <c r="D495" s="1"/>
      <c r="E495" s="1"/>
      <c r="F495" s="20">
        <f t="shared" si="79"/>
        <v>0</v>
      </c>
      <c r="G495" s="20">
        <f t="shared" si="80"/>
        <v>0</v>
      </c>
      <c r="H495" s="20">
        <f t="shared" si="77"/>
        <v>0</v>
      </c>
      <c r="I495" s="20" t="b">
        <f t="shared" si="78"/>
        <v>1</v>
      </c>
      <c r="J495" s="20"/>
      <c r="K495" s="20"/>
    </row>
    <row r="496" spans="1:11" ht="15.5" x14ac:dyDescent="0.35">
      <c r="A496" s="3" t="s">
        <v>94</v>
      </c>
      <c r="B496" s="1"/>
      <c r="C496" s="20">
        <v>21500</v>
      </c>
      <c r="D496" s="1"/>
      <c r="E496" s="1"/>
      <c r="F496" s="20">
        <f t="shared" si="79"/>
        <v>0</v>
      </c>
      <c r="G496" s="20">
        <f t="shared" si="80"/>
        <v>0</v>
      </c>
      <c r="H496" s="20">
        <f t="shared" si="77"/>
        <v>0</v>
      </c>
      <c r="I496" s="20" t="b">
        <f t="shared" si="78"/>
        <v>1</v>
      </c>
      <c r="J496" s="20"/>
      <c r="K496" s="20"/>
    </row>
    <row r="497" spans="1:11" ht="15.5" x14ac:dyDescent="0.35">
      <c r="A497" s="19"/>
      <c r="B497" s="22">
        <f>SUM(B480:B496)</f>
        <v>0</v>
      </c>
      <c r="C497" s="20"/>
      <c r="D497" s="1"/>
      <c r="E497" s="1"/>
      <c r="F497" s="23">
        <f>SUM(F480:F496)</f>
        <v>0</v>
      </c>
      <c r="G497" s="23">
        <f>SUM(G480:G496)</f>
        <v>0</v>
      </c>
      <c r="H497" s="23">
        <f>SUM(H480:H496)</f>
        <v>0</v>
      </c>
      <c r="I497" s="23"/>
      <c r="J497" s="23">
        <f>SUM(J480:J496)</f>
        <v>468000</v>
      </c>
      <c r="K497" s="23">
        <f>H497-J497</f>
        <v>-468000</v>
      </c>
    </row>
    <row r="498" spans="1:11" ht="15.5" x14ac:dyDescent="0.35">
      <c r="A498" s="19" t="s">
        <v>95</v>
      </c>
      <c r="B498" s="1"/>
      <c r="C498" s="20"/>
      <c r="D498" s="1"/>
      <c r="E498" s="1"/>
      <c r="F498" s="20"/>
      <c r="G498" s="20"/>
      <c r="H498" s="20" t="s">
        <v>192</v>
      </c>
      <c r="I498" s="20"/>
      <c r="J498" s="20"/>
      <c r="K498" s="20"/>
    </row>
    <row r="499" spans="1:11" ht="15.5" x14ac:dyDescent="0.35">
      <c r="A499" s="3" t="s">
        <v>96</v>
      </c>
      <c r="B499" s="1"/>
      <c r="C499" s="20">
        <v>3000</v>
      </c>
      <c r="D499" s="1"/>
      <c r="E499" s="20"/>
      <c r="F499" s="20">
        <f t="shared" ref="F499:F502" si="81">C499*B499</f>
        <v>0</v>
      </c>
      <c r="G499" s="20"/>
      <c r="H499" s="20"/>
      <c r="I499" s="20"/>
      <c r="J499" s="20"/>
      <c r="K499" s="20"/>
    </row>
    <row r="500" spans="1:11" ht="15.5" x14ac:dyDescent="0.35">
      <c r="A500" s="3" t="s">
        <v>97</v>
      </c>
      <c r="B500" s="1"/>
      <c r="C500" s="20">
        <v>2500</v>
      </c>
      <c r="D500" s="1"/>
      <c r="E500" s="1"/>
      <c r="F500" s="20">
        <f t="shared" si="81"/>
        <v>0</v>
      </c>
      <c r="G500" s="20"/>
      <c r="H500" s="20"/>
      <c r="I500" s="20"/>
      <c r="J500" s="20"/>
      <c r="K500" s="20"/>
    </row>
    <row r="501" spans="1:11" ht="15.5" x14ac:dyDescent="0.35">
      <c r="A501" s="3" t="s">
        <v>98</v>
      </c>
      <c r="B501" s="1"/>
      <c r="C501" s="20">
        <v>1800</v>
      </c>
      <c r="D501" s="1"/>
      <c r="E501" s="1"/>
      <c r="F501" s="20">
        <f t="shared" si="81"/>
        <v>0</v>
      </c>
      <c r="G501" s="20"/>
      <c r="H501" s="20"/>
      <c r="I501" s="20"/>
      <c r="J501" s="20"/>
      <c r="K501" s="20"/>
    </row>
    <row r="502" spans="1:11" ht="15.5" x14ac:dyDescent="0.35">
      <c r="A502" s="3" t="s">
        <v>99</v>
      </c>
      <c r="B502" s="1"/>
      <c r="C502" s="20">
        <v>3500</v>
      </c>
      <c r="D502" s="1"/>
      <c r="E502" s="1"/>
      <c r="F502" s="20">
        <f t="shared" si="81"/>
        <v>0</v>
      </c>
      <c r="G502" s="20"/>
      <c r="H502" s="20"/>
      <c r="I502" s="20"/>
      <c r="J502" s="20"/>
      <c r="K502" s="20"/>
    </row>
    <row r="503" spans="1:11" ht="15.5" x14ac:dyDescent="0.35">
      <c r="A503" s="18"/>
      <c r="F503" s="21"/>
    </row>
    <row r="504" spans="1:11" ht="15.5" x14ac:dyDescent="0.35">
      <c r="A504" s="24" t="s">
        <v>108</v>
      </c>
      <c r="K504" s="21"/>
    </row>
    <row r="505" spans="1:11" ht="15.5" x14ac:dyDescent="0.35">
      <c r="A505" s="18" t="s">
        <v>114</v>
      </c>
      <c r="B505" s="67">
        <v>60000</v>
      </c>
    </row>
    <row r="506" spans="1:11" ht="15.5" x14ac:dyDescent="0.35">
      <c r="A506" s="18" t="s">
        <v>112</v>
      </c>
      <c r="B506" s="67">
        <v>60000</v>
      </c>
    </row>
    <row r="507" spans="1:11" ht="15.5" x14ac:dyDescent="0.35">
      <c r="A507" s="18" t="s">
        <v>111</v>
      </c>
      <c r="B507" s="67">
        <v>60000</v>
      </c>
    </row>
    <row r="508" spans="1:11" ht="15.5" x14ac:dyDescent="0.35">
      <c r="A508" s="18" t="s">
        <v>196</v>
      </c>
      <c r="B508" s="67">
        <v>60000</v>
      </c>
    </row>
    <row r="509" spans="1:11" ht="15.5" x14ac:dyDescent="0.35">
      <c r="A509" s="24" t="s">
        <v>4</v>
      </c>
      <c r="B509" s="75">
        <f>SUM(B505:B508)</f>
        <v>240000</v>
      </c>
    </row>
    <row r="512" spans="1:11" ht="18.5" x14ac:dyDescent="0.45">
      <c r="A512" s="151" t="s">
        <v>1</v>
      </c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</row>
    <row r="513" spans="1:11" ht="18.5" x14ac:dyDescent="0.45">
      <c r="A513" s="150" t="s">
        <v>74</v>
      </c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</row>
    <row r="514" spans="1:11" ht="18.5" x14ac:dyDescent="0.45">
      <c r="A514" s="149">
        <v>46097</v>
      </c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</row>
    <row r="515" spans="1:11" ht="18.5" x14ac:dyDescent="0.45">
      <c r="A515" s="150"/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</row>
    <row r="516" spans="1:11" ht="18.5" x14ac:dyDescent="0.45">
      <c r="A516" s="2" t="s">
        <v>75</v>
      </c>
      <c r="B516" s="2" t="s">
        <v>3</v>
      </c>
      <c r="C516" s="2" t="s">
        <v>100</v>
      </c>
      <c r="D516" s="2" t="s">
        <v>90</v>
      </c>
      <c r="E516" s="2" t="s">
        <v>91</v>
      </c>
      <c r="F516" s="2" t="s">
        <v>4</v>
      </c>
      <c r="G516" s="2" t="s">
        <v>101</v>
      </c>
      <c r="H516" s="2" t="s">
        <v>104</v>
      </c>
      <c r="I516" s="2"/>
      <c r="J516" s="2" t="s">
        <v>105</v>
      </c>
      <c r="K516" s="2" t="s">
        <v>106</v>
      </c>
    </row>
    <row r="517" spans="1:11" ht="15.5" x14ac:dyDescent="0.35">
      <c r="A517" s="3" t="s">
        <v>76</v>
      </c>
      <c r="B517" s="1">
        <v>150</v>
      </c>
      <c r="C517" s="20">
        <v>17500</v>
      </c>
      <c r="D517" s="1">
        <v>80</v>
      </c>
      <c r="E517" s="1">
        <v>70</v>
      </c>
      <c r="F517" s="20">
        <f>C517*B517</f>
        <v>2625000</v>
      </c>
      <c r="G517" s="20">
        <f>D517*C517</f>
        <v>1400000</v>
      </c>
      <c r="H517" s="20">
        <f>E517*C517</f>
        <v>1225000</v>
      </c>
      <c r="I517" s="20" t="b">
        <f>D517+E517=B517</f>
        <v>1</v>
      </c>
      <c r="J517" s="20">
        <f>B552</f>
        <v>440000</v>
      </c>
      <c r="K517" s="20" t="s">
        <v>117</v>
      </c>
    </row>
    <row r="518" spans="1:11" ht="15.5" x14ac:dyDescent="0.35">
      <c r="A518" s="3" t="s">
        <v>77</v>
      </c>
      <c r="B518" s="1">
        <v>24</v>
      </c>
      <c r="C518" s="20">
        <v>16000</v>
      </c>
      <c r="D518" s="1">
        <v>16</v>
      </c>
      <c r="E518" s="1">
        <v>8</v>
      </c>
      <c r="F518" s="20">
        <f t="shared" ref="F518:F529" si="82">C518*B518</f>
        <v>384000</v>
      </c>
      <c r="G518" s="20">
        <f t="shared" ref="G518:G529" si="83">D518*C518</f>
        <v>256000</v>
      </c>
      <c r="H518" s="20">
        <f t="shared" ref="H518:H533" si="84">E518*C518</f>
        <v>128000</v>
      </c>
      <c r="I518" s="20" t="b">
        <f t="shared" ref="I518:I533" si="85">D518+E518=B518</f>
        <v>1</v>
      </c>
      <c r="J518" s="20">
        <v>15000</v>
      </c>
      <c r="K518" s="20" t="s">
        <v>191</v>
      </c>
    </row>
    <row r="519" spans="1:11" ht="15.5" x14ac:dyDescent="0.35">
      <c r="A519" s="3" t="s">
        <v>78</v>
      </c>
      <c r="B519" s="1">
        <v>61</v>
      </c>
      <c r="C519" s="20">
        <v>17500</v>
      </c>
      <c r="D519" s="1">
        <v>25</v>
      </c>
      <c r="E519" s="1">
        <v>36</v>
      </c>
      <c r="F519" s="20">
        <f t="shared" si="82"/>
        <v>1067500</v>
      </c>
      <c r="G519" s="20">
        <f t="shared" si="83"/>
        <v>437500</v>
      </c>
      <c r="H519" s="20">
        <f t="shared" si="84"/>
        <v>630000</v>
      </c>
      <c r="I519" s="20" t="b">
        <f t="shared" si="85"/>
        <v>1</v>
      </c>
      <c r="J519" s="20">
        <v>30000</v>
      </c>
      <c r="K519" s="20" t="s">
        <v>302</v>
      </c>
    </row>
    <row r="520" spans="1:11" ht="15.5" x14ac:dyDescent="0.35">
      <c r="A520" s="3" t="s">
        <v>79</v>
      </c>
      <c r="B520" s="1">
        <v>42</v>
      </c>
      <c r="C520" s="20">
        <v>18500</v>
      </c>
      <c r="D520" s="1">
        <v>19</v>
      </c>
      <c r="E520" s="1">
        <v>23</v>
      </c>
      <c r="F520" s="20">
        <f t="shared" si="82"/>
        <v>777000</v>
      </c>
      <c r="G520" s="20">
        <f t="shared" si="83"/>
        <v>351500</v>
      </c>
      <c r="H520" s="20">
        <f t="shared" si="84"/>
        <v>425500</v>
      </c>
      <c r="I520" s="20" t="b">
        <f t="shared" si="85"/>
        <v>1</v>
      </c>
      <c r="J520" s="20">
        <v>376000</v>
      </c>
      <c r="K520" s="20" t="s">
        <v>107</v>
      </c>
    </row>
    <row r="521" spans="1:11" ht="15.5" x14ac:dyDescent="0.35">
      <c r="A521" s="3" t="s">
        <v>80</v>
      </c>
      <c r="B521" s="1"/>
      <c r="C521" s="20">
        <v>18500</v>
      </c>
      <c r="D521" s="1"/>
      <c r="E521" s="1"/>
      <c r="F521" s="20">
        <f t="shared" si="82"/>
        <v>0</v>
      </c>
      <c r="G521" s="20">
        <f t="shared" si="83"/>
        <v>0</v>
      </c>
      <c r="H521" s="20">
        <f t="shared" si="84"/>
        <v>0</v>
      </c>
      <c r="I521" s="20" t="b">
        <f t="shared" si="85"/>
        <v>1</v>
      </c>
      <c r="J521" s="20"/>
      <c r="K521" s="20"/>
    </row>
    <row r="522" spans="1:11" ht="15.5" x14ac:dyDescent="0.35">
      <c r="A522" s="3" t="s">
        <v>81</v>
      </c>
      <c r="B522" s="1"/>
      <c r="C522" s="20">
        <v>23000</v>
      </c>
      <c r="D522" s="1"/>
      <c r="E522" s="1"/>
      <c r="F522" s="20">
        <f t="shared" si="82"/>
        <v>0</v>
      </c>
      <c r="G522" s="20">
        <f t="shared" si="83"/>
        <v>0</v>
      </c>
      <c r="H522" s="20">
        <f t="shared" si="84"/>
        <v>0</v>
      </c>
      <c r="I522" s="20" t="b">
        <f t="shared" si="85"/>
        <v>1</v>
      </c>
      <c r="J522" s="20"/>
      <c r="K522" s="20"/>
    </row>
    <row r="523" spans="1:11" ht="15.5" x14ac:dyDescent="0.35">
      <c r="A523" s="3" t="s">
        <v>82</v>
      </c>
      <c r="B523" s="1">
        <v>23</v>
      </c>
      <c r="C523" s="20">
        <v>18000</v>
      </c>
      <c r="D523" s="1">
        <v>11</v>
      </c>
      <c r="E523" s="1">
        <v>12</v>
      </c>
      <c r="F523" s="20">
        <f t="shared" si="82"/>
        <v>414000</v>
      </c>
      <c r="G523" s="20">
        <f t="shared" si="83"/>
        <v>198000</v>
      </c>
      <c r="H523" s="20">
        <f t="shared" si="84"/>
        <v>216000</v>
      </c>
      <c r="I523" s="20" t="b">
        <f t="shared" si="85"/>
        <v>1</v>
      </c>
      <c r="J523" s="20"/>
      <c r="K523" s="20"/>
    </row>
    <row r="524" spans="1:11" ht="15.5" x14ac:dyDescent="0.35">
      <c r="A524" s="3" t="s">
        <v>83</v>
      </c>
      <c r="B524" s="1"/>
      <c r="C524" s="20">
        <v>18000</v>
      </c>
      <c r="D524" s="1"/>
      <c r="E524" s="1"/>
      <c r="F524" s="20">
        <f t="shared" si="82"/>
        <v>0</v>
      </c>
      <c r="G524" s="20">
        <f t="shared" si="83"/>
        <v>0</v>
      </c>
      <c r="H524" s="20">
        <f t="shared" si="84"/>
        <v>0</v>
      </c>
      <c r="I524" s="20" t="b">
        <f t="shared" si="85"/>
        <v>1</v>
      </c>
      <c r="J524" s="20"/>
      <c r="K524" s="20"/>
    </row>
    <row r="525" spans="1:11" ht="15.5" x14ac:dyDescent="0.35">
      <c r="A525" s="3" t="s">
        <v>84</v>
      </c>
      <c r="B525" s="1"/>
      <c r="C525" s="20">
        <v>18500</v>
      </c>
      <c r="D525" s="1"/>
      <c r="E525" s="1"/>
      <c r="F525" s="20">
        <f t="shared" si="82"/>
        <v>0</v>
      </c>
      <c r="G525" s="20">
        <f t="shared" si="83"/>
        <v>0</v>
      </c>
      <c r="H525" s="20">
        <f t="shared" si="84"/>
        <v>0</v>
      </c>
      <c r="I525" s="20" t="b">
        <f t="shared" si="85"/>
        <v>1</v>
      </c>
      <c r="J525" s="20"/>
      <c r="K525" s="20"/>
    </row>
    <row r="526" spans="1:11" ht="15.5" x14ac:dyDescent="0.35">
      <c r="A526" s="3" t="s">
        <v>85</v>
      </c>
      <c r="B526" s="1"/>
      <c r="C526" s="20">
        <v>18500</v>
      </c>
      <c r="D526" s="1"/>
      <c r="E526" s="1"/>
      <c r="F526" s="20">
        <f t="shared" si="82"/>
        <v>0</v>
      </c>
      <c r="G526" s="20">
        <f t="shared" si="83"/>
        <v>0</v>
      </c>
      <c r="H526" s="20">
        <f t="shared" si="84"/>
        <v>0</v>
      </c>
      <c r="I526" s="20" t="b">
        <f t="shared" si="85"/>
        <v>1</v>
      </c>
      <c r="J526" s="20"/>
      <c r="K526" s="20"/>
    </row>
    <row r="527" spans="1:11" ht="15.5" x14ac:dyDescent="0.35">
      <c r="A527" s="3" t="s">
        <v>86</v>
      </c>
      <c r="B527" s="1">
        <v>11</v>
      </c>
      <c r="C527" s="20">
        <v>18500</v>
      </c>
      <c r="D527" s="1">
        <v>7</v>
      </c>
      <c r="E527" s="1">
        <v>4</v>
      </c>
      <c r="F527" s="20">
        <f t="shared" si="82"/>
        <v>203500</v>
      </c>
      <c r="G527" s="20">
        <f t="shared" si="83"/>
        <v>129500</v>
      </c>
      <c r="H527" s="20">
        <f t="shared" si="84"/>
        <v>74000</v>
      </c>
      <c r="I527" s="20" t="b">
        <f t="shared" si="85"/>
        <v>1</v>
      </c>
      <c r="J527" s="20"/>
      <c r="K527" s="20"/>
    </row>
    <row r="528" spans="1:11" ht="15.5" x14ac:dyDescent="0.35">
      <c r="A528" s="3" t="s">
        <v>87</v>
      </c>
      <c r="B528" s="1"/>
      <c r="C528" s="20">
        <v>18500</v>
      </c>
      <c r="D528" s="1"/>
      <c r="E528" s="1"/>
      <c r="F528" s="20">
        <f t="shared" si="82"/>
        <v>0</v>
      </c>
      <c r="G528" s="20">
        <f t="shared" si="83"/>
        <v>0</v>
      </c>
      <c r="H528" s="20">
        <f t="shared" si="84"/>
        <v>0</v>
      </c>
      <c r="I528" s="20" t="b">
        <f t="shared" si="85"/>
        <v>1</v>
      </c>
      <c r="J528" s="20"/>
      <c r="K528" s="20"/>
    </row>
    <row r="529" spans="1:11" ht="15.5" x14ac:dyDescent="0.35">
      <c r="A529" s="3" t="s">
        <v>88</v>
      </c>
      <c r="B529" s="1">
        <v>5</v>
      </c>
      <c r="C529" s="20">
        <v>18500</v>
      </c>
      <c r="D529" s="1">
        <v>4</v>
      </c>
      <c r="E529" s="1">
        <v>1</v>
      </c>
      <c r="F529" s="20">
        <f t="shared" si="82"/>
        <v>92500</v>
      </c>
      <c r="G529" s="20">
        <f t="shared" si="83"/>
        <v>74000</v>
      </c>
      <c r="H529" s="20">
        <f t="shared" si="84"/>
        <v>18500</v>
      </c>
      <c r="I529" s="20" t="b">
        <f t="shared" si="85"/>
        <v>1</v>
      </c>
      <c r="J529" s="20"/>
      <c r="K529" s="20"/>
    </row>
    <row r="530" spans="1:11" ht="15.5" x14ac:dyDescent="0.35">
      <c r="A530" s="19" t="s">
        <v>89</v>
      </c>
      <c r="B530" s="1"/>
      <c r="C530" s="20"/>
      <c r="D530" s="1"/>
      <c r="E530" s="1"/>
      <c r="F530" s="20"/>
      <c r="G530" s="20"/>
      <c r="H530" s="20">
        <f t="shared" si="84"/>
        <v>0</v>
      </c>
      <c r="I530" s="20" t="b">
        <f t="shared" si="85"/>
        <v>1</v>
      </c>
      <c r="J530" s="20"/>
      <c r="K530" s="20"/>
    </row>
    <row r="531" spans="1:11" ht="15.5" x14ac:dyDescent="0.35">
      <c r="A531" s="3" t="s">
        <v>92</v>
      </c>
      <c r="B531" s="1">
        <v>43</v>
      </c>
      <c r="C531" s="20">
        <v>21500</v>
      </c>
      <c r="D531" s="1">
        <v>17</v>
      </c>
      <c r="E531" s="1">
        <v>26</v>
      </c>
      <c r="F531" s="20">
        <f t="shared" ref="F531:F533" si="86">C531*B531</f>
        <v>924500</v>
      </c>
      <c r="G531" s="20">
        <f t="shared" ref="G531:G533" si="87">D531*C531</f>
        <v>365500</v>
      </c>
      <c r="H531" s="20">
        <f t="shared" si="84"/>
        <v>559000</v>
      </c>
      <c r="I531" s="20" t="b">
        <f t="shared" si="85"/>
        <v>1</v>
      </c>
      <c r="J531" s="20"/>
      <c r="K531" s="20"/>
    </row>
    <row r="532" spans="1:11" ht="15.5" x14ac:dyDescent="0.35">
      <c r="A532" s="3" t="s">
        <v>93</v>
      </c>
      <c r="B532" s="1"/>
      <c r="C532" s="20">
        <v>21500</v>
      </c>
      <c r="D532" s="1"/>
      <c r="E532" s="1"/>
      <c r="F532" s="20">
        <f t="shared" si="86"/>
        <v>0</v>
      </c>
      <c r="G532" s="20">
        <f t="shared" si="87"/>
        <v>0</v>
      </c>
      <c r="H532" s="20">
        <f t="shared" si="84"/>
        <v>0</v>
      </c>
      <c r="I532" s="20" t="b">
        <f t="shared" si="85"/>
        <v>1</v>
      </c>
      <c r="J532" s="20"/>
      <c r="K532" s="20"/>
    </row>
    <row r="533" spans="1:11" ht="15.5" x14ac:dyDescent="0.35">
      <c r="A533" s="3" t="s">
        <v>94</v>
      </c>
      <c r="B533" s="1">
        <v>35</v>
      </c>
      <c r="C533" s="20">
        <v>21500</v>
      </c>
      <c r="D533" s="1">
        <v>17</v>
      </c>
      <c r="E533" s="1">
        <v>18</v>
      </c>
      <c r="F533" s="20">
        <f t="shared" si="86"/>
        <v>752500</v>
      </c>
      <c r="G533" s="20">
        <f t="shared" si="87"/>
        <v>365500</v>
      </c>
      <c r="H533" s="20">
        <f t="shared" si="84"/>
        <v>387000</v>
      </c>
      <c r="I533" s="20" t="b">
        <f t="shared" si="85"/>
        <v>1</v>
      </c>
      <c r="J533" s="20"/>
      <c r="K533" s="20"/>
    </row>
    <row r="534" spans="1:11" ht="15.5" x14ac:dyDescent="0.35">
      <c r="A534" s="19"/>
      <c r="B534" s="22">
        <f>SUM(B517:B533)</f>
        <v>394</v>
      </c>
      <c r="C534" s="20"/>
      <c r="D534" s="1"/>
      <c r="E534" s="1"/>
      <c r="F534" s="23">
        <f>SUM(F517:F533)</f>
        <v>7240500</v>
      </c>
      <c r="G534" s="23">
        <f>SUM(G517:G533)</f>
        <v>3577500</v>
      </c>
      <c r="H534" s="23">
        <f>SUM(H517:H533)</f>
        <v>3663000</v>
      </c>
      <c r="I534" s="23"/>
      <c r="J534" s="23">
        <f>SUM(J517:J533)</f>
        <v>861000</v>
      </c>
      <c r="K534" s="23">
        <f>H534-J534</f>
        <v>2802000</v>
      </c>
    </row>
    <row r="535" spans="1:11" ht="15.5" x14ac:dyDescent="0.35">
      <c r="A535" s="19" t="s">
        <v>95</v>
      </c>
      <c r="B535" s="1"/>
      <c r="C535" s="20"/>
      <c r="D535" s="1"/>
      <c r="E535" s="1"/>
      <c r="F535" s="20"/>
      <c r="G535" s="20"/>
      <c r="H535" s="20" t="s">
        <v>192</v>
      </c>
      <c r="I535" s="20"/>
      <c r="J535" s="20"/>
      <c r="K535" s="20"/>
    </row>
    <row r="536" spans="1:11" ht="15.5" x14ac:dyDescent="0.35">
      <c r="A536" s="3" t="s">
        <v>96</v>
      </c>
      <c r="B536" s="1"/>
      <c r="C536" s="20">
        <v>3000</v>
      </c>
      <c r="D536" s="1"/>
      <c r="E536" s="20"/>
      <c r="F536" s="20">
        <f t="shared" ref="F536:F539" si="88">C536*B536</f>
        <v>0</v>
      </c>
      <c r="G536" s="20"/>
      <c r="H536" s="20"/>
      <c r="I536" s="20"/>
      <c r="J536" s="20"/>
      <c r="K536" s="20"/>
    </row>
    <row r="537" spans="1:11" ht="15.5" x14ac:dyDescent="0.35">
      <c r="A537" s="3" t="s">
        <v>97</v>
      </c>
      <c r="B537" s="1"/>
      <c r="C537" s="20">
        <v>2500</v>
      </c>
      <c r="D537" s="1"/>
      <c r="E537" s="1"/>
      <c r="F537" s="20">
        <f t="shared" si="88"/>
        <v>0</v>
      </c>
      <c r="G537" s="20"/>
      <c r="H537" s="20"/>
      <c r="I537" s="20"/>
      <c r="J537" s="20"/>
      <c r="K537" s="20"/>
    </row>
    <row r="538" spans="1:11" ht="15.5" x14ac:dyDescent="0.35">
      <c r="A538" s="3" t="s">
        <v>98</v>
      </c>
      <c r="B538" s="1"/>
      <c r="C538" s="20">
        <v>1800</v>
      </c>
      <c r="D538" s="1"/>
      <c r="E538" s="1"/>
      <c r="F538" s="20">
        <f t="shared" si="88"/>
        <v>0</v>
      </c>
      <c r="G538" s="20"/>
      <c r="H538" s="20"/>
      <c r="I538" s="20"/>
      <c r="J538" s="20"/>
      <c r="K538" s="20"/>
    </row>
    <row r="539" spans="1:11" ht="15.5" x14ac:dyDescent="0.35">
      <c r="A539" s="3" t="s">
        <v>99</v>
      </c>
      <c r="B539" s="1"/>
      <c r="C539" s="20">
        <v>3500</v>
      </c>
      <c r="D539" s="1"/>
      <c r="E539" s="1"/>
      <c r="F539" s="20">
        <f t="shared" si="88"/>
        <v>0</v>
      </c>
      <c r="G539" s="20"/>
      <c r="H539" s="20"/>
      <c r="I539" s="20"/>
      <c r="J539" s="20"/>
      <c r="K539" s="20"/>
    </row>
    <row r="540" spans="1:11" ht="15.5" x14ac:dyDescent="0.35">
      <c r="A540" s="18"/>
      <c r="F540" s="21"/>
    </row>
    <row r="541" spans="1:11" ht="15.5" x14ac:dyDescent="0.35">
      <c r="A541" s="24" t="s">
        <v>108</v>
      </c>
      <c r="K541" s="21"/>
    </row>
    <row r="542" spans="1:11" ht="15.5" x14ac:dyDescent="0.35">
      <c r="A542" s="18" t="s">
        <v>114</v>
      </c>
      <c r="B542" s="67">
        <v>40000</v>
      </c>
    </row>
    <row r="543" spans="1:11" ht="15.5" x14ac:dyDescent="0.35">
      <c r="A543" s="18" t="s">
        <v>112</v>
      </c>
      <c r="B543" s="67">
        <v>40000</v>
      </c>
    </row>
    <row r="544" spans="1:11" ht="15.5" x14ac:dyDescent="0.35">
      <c r="A544" s="18" t="s">
        <v>309</v>
      </c>
      <c r="B544" s="67">
        <v>60000</v>
      </c>
    </row>
    <row r="545" spans="1:11" ht="15.5" x14ac:dyDescent="0.35">
      <c r="A545" s="18" t="s">
        <v>110</v>
      </c>
      <c r="B545" s="67">
        <v>40000</v>
      </c>
    </row>
    <row r="546" spans="1:11" ht="15.5" x14ac:dyDescent="0.35">
      <c r="A546" s="18" t="s">
        <v>111</v>
      </c>
      <c r="B546" s="67">
        <v>40000</v>
      </c>
    </row>
    <row r="547" spans="1:11" ht="15.5" x14ac:dyDescent="0.35">
      <c r="A547" s="18" t="s">
        <v>196</v>
      </c>
      <c r="B547" s="67">
        <v>40000</v>
      </c>
    </row>
    <row r="548" spans="1:11" ht="15.5" x14ac:dyDescent="0.35">
      <c r="A548" s="18" t="s">
        <v>113</v>
      </c>
      <c r="B548" s="67">
        <v>40000</v>
      </c>
    </row>
    <row r="549" spans="1:11" ht="15.5" x14ac:dyDescent="0.35">
      <c r="A549" s="18" t="s">
        <v>209</v>
      </c>
      <c r="B549" s="67">
        <v>40000</v>
      </c>
    </row>
    <row r="550" spans="1:11" ht="15.5" x14ac:dyDescent="0.35">
      <c r="A550" s="18" t="s">
        <v>115</v>
      </c>
      <c r="B550" s="67">
        <v>60000</v>
      </c>
    </row>
    <row r="551" spans="1:11" ht="15.5" x14ac:dyDescent="0.35">
      <c r="A551" s="18" t="s">
        <v>109</v>
      </c>
      <c r="B551" s="67">
        <v>40000</v>
      </c>
    </row>
    <row r="552" spans="1:11" ht="15.5" x14ac:dyDescent="0.35">
      <c r="A552" s="24" t="s">
        <v>4</v>
      </c>
      <c r="B552" s="75">
        <f>SUM(B542:B551)</f>
        <v>440000</v>
      </c>
    </row>
    <row r="555" spans="1:11" ht="18.5" x14ac:dyDescent="0.45">
      <c r="A555" s="151" t="s">
        <v>1</v>
      </c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</row>
    <row r="556" spans="1:11" ht="18.5" x14ac:dyDescent="0.45">
      <c r="A556" s="150" t="s">
        <v>74</v>
      </c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</row>
    <row r="557" spans="1:11" ht="18.5" x14ac:dyDescent="0.45">
      <c r="A557" s="149">
        <v>46098</v>
      </c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</row>
    <row r="558" spans="1:11" ht="18.5" x14ac:dyDescent="0.45">
      <c r="A558" s="150"/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</row>
    <row r="559" spans="1:11" ht="18.5" x14ac:dyDescent="0.45">
      <c r="A559" s="2" t="s">
        <v>75</v>
      </c>
      <c r="B559" s="2" t="s">
        <v>3</v>
      </c>
      <c r="C559" s="2" t="s">
        <v>100</v>
      </c>
      <c r="D559" s="2" t="s">
        <v>90</v>
      </c>
      <c r="E559" s="2" t="s">
        <v>91</v>
      </c>
      <c r="F559" s="2" t="s">
        <v>4</v>
      </c>
      <c r="G559" s="2" t="s">
        <v>101</v>
      </c>
      <c r="H559" s="2" t="s">
        <v>104</v>
      </c>
      <c r="I559" s="2"/>
      <c r="J559" s="2" t="s">
        <v>105</v>
      </c>
      <c r="K559" s="2" t="s">
        <v>106</v>
      </c>
    </row>
    <row r="560" spans="1:11" ht="15.5" x14ac:dyDescent="0.35">
      <c r="A560" s="3" t="s">
        <v>76</v>
      </c>
      <c r="B560" s="1">
        <v>130</v>
      </c>
      <c r="C560" s="20">
        <v>17500</v>
      </c>
      <c r="D560" s="1">
        <v>57</v>
      </c>
      <c r="E560" s="1">
        <v>73</v>
      </c>
      <c r="F560" s="20">
        <f>C560*B560</f>
        <v>2275000</v>
      </c>
      <c r="G560" s="20">
        <f>D560*C560</f>
        <v>997500</v>
      </c>
      <c r="H560" s="20">
        <f>E560*C560</f>
        <v>1277500</v>
      </c>
      <c r="I560" s="20" t="b">
        <f>D560+E560=B560</f>
        <v>1</v>
      </c>
      <c r="J560" s="20">
        <f>B595</f>
        <v>400000</v>
      </c>
      <c r="K560" s="20" t="s">
        <v>117</v>
      </c>
    </row>
    <row r="561" spans="1:11" ht="15.5" x14ac:dyDescent="0.35">
      <c r="A561" s="3" t="s">
        <v>77</v>
      </c>
      <c r="B561" s="1">
        <v>14</v>
      </c>
      <c r="C561" s="20">
        <v>16000</v>
      </c>
      <c r="D561" s="1">
        <v>8</v>
      </c>
      <c r="E561" s="1">
        <v>6</v>
      </c>
      <c r="F561" s="20">
        <f t="shared" ref="F561:F572" si="89">C561*B561</f>
        <v>224000</v>
      </c>
      <c r="G561" s="20">
        <f t="shared" ref="G561:G572" si="90">D561*C561</f>
        <v>128000</v>
      </c>
      <c r="H561" s="20">
        <f t="shared" ref="H561:H576" si="91">E561*C561</f>
        <v>96000</v>
      </c>
      <c r="I561" s="20" t="b">
        <f t="shared" ref="I561:I576" si="92">D561+E561=B561</f>
        <v>1</v>
      </c>
      <c r="J561" s="20">
        <v>308000</v>
      </c>
      <c r="K561" s="20" t="s">
        <v>107</v>
      </c>
    </row>
    <row r="562" spans="1:11" ht="15.5" x14ac:dyDescent="0.35">
      <c r="A562" s="3" t="s">
        <v>78</v>
      </c>
      <c r="B562" s="1">
        <v>60</v>
      </c>
      <c r="C562" s="20">
        <v>17500</v>
      </c>
      <c r="D562" s="1">
        <v>16</v>
      </c>
      <c r="E562" s="1">
        <v>44</v>
      </c>
      <c r="F562" s="20">
        <f t="shared" si="89"/>
        <v>1050000</v>
      </c>
      <c r="G562" s="20">
        <f t="shared" si="90"/>
        <v>280000</v>
      </c>
      <c r="H562" s="20">
        <f t="shared" si="91"/>
        <v>770000</v>
      </c>
      <c r="I562" s="20" t="b">
        <f t="shared" si="92"/>
        <v>1</v>
      </c>
      <c r="J562" s="20">
        <v>78009</v>
      </c>
      <c r="K562" s="20" t="s">
        <v>379</v>
      </c>
    </row>
    <row r="563" spans="1:11" ht="15.5" x14ac:dyDescent="0.35">
      <c r="A563" s="3" t="s">
        <v>79</v>
      </c>
      <c r="B563" s="1">
        <v>30</v>
      </c>
      <c r="C563" s="20">
        <v>18500</v>
      </c>
      <c r="D563" s="1">
        <v>9</v>
      </c>
      <c r="E563" s="1">
        <v>21</v>
      </c>
      <c r="F563" s="20">
        <f t="shared" si="89"/>
        <v>555000</v>
      </c>
      <c r="G563" s="20">
        <f t="shared" si="90"/>
        <v>166500</v>
      </c>
      <c r="H563" s="20">
        <f t="shared" si="91"/>
        <v>388500</v>
      </c>
      <c r="I563" s="20" t="b">
        <f t="shared" si="92"/>
        <v>1</v>
      </c>
      <c r="J563" s="20"/>
      <c r="K563" s="20"/>
    </row>
    <row r="564" spans="1:11" ht="15.5" x14ac:dyDescent="0.35">
      <c r="A564" s="3" t="s">
        <v>80</v>
      </c>
      <c r="B564" s="1"/>
      <c r="C564" s="20">
        <v>18500</v>
      </c>
      <c r="D564" s="1"/>
      <c r="E564" s="1"/>
      <c r="F564" s="20">
        <f t="shared" si="89"/>
        <v>0</v>
      </c>
      <c r="G564" s="20">
        <f t="shared" si="90"/>
        <v>0</v>
      </c>
      <c r="H564" s="20">
        <f t="shared" si="91"/>
        <v>0</v>
      </c>
      <c r="I564" s="20" t="b">
        <f t="shared" si="92"/>
        <v>1</v>
      </c>
      <c r="J564" s="20"/>
      <c r="K564" s="20"/>
    </row>
    <row r="565" spans="1:11" ht="15.5" x14ac:dyDescent="0.35">
      <c r="A565" s="3" t="s">
        <v>81</v>
      </c>
      <c r="B565" s="1"/>
      <c r="C565" s="20">
        <v>23000</v>
      </c>
      <c r="D565" s="1"/>
      <c r="E565" s="1"/>
      <c r="F565" s="20">
        <f t="shared" si="89"/>
        <v>0</v>
      </c>
      <c r="G565" s="20">
        <f t="shared" si="90"/>
        <v>0</v>
      </c>
      <c r="H565" s="20">
        <f t="shared" si="91"/>
        <v>0</v>
      </c>
      <c r="I565" s="20" t="b">
        <f t="shared" si="92"/>
        <v>1</v>
      </c>
      <c r="J565" s="20"/>
      <c r="K565" s="20"/>
    </row>
    <row r="566" spans="1:11" ht="15.5" x14ac:dyDescent="0.35">
      <c r="A566" s="3" t="s">
        <v>82</v>
      </c>
      <c r="B566" s="1"/>
      <c r="C566" s="20">
        <v>18000</v>
      </c>
      <c r="D566" s="1"/>
      <c r="E566" s="1"/>
      <c r="F566" s="20">
        <f t="shared" si="89"/>
        <v>0</v>
      </c>
      <c r="G566" s="20">
        <f t="shared" si="90"/>
        <v>0</v>
      </c>
      <c r="H566" s="20">
        <f t="shared" si="91"/>
        <v>0</v>
      </c>
      <c r="I566" s="20" t="b">
        <f t="shared" si="92"/>
        <v>1</v>
      </c>
      <c r="J566" s="20"/>
      <c r="K566" s="20"/>
    </row>
    <row r="567" spans="1:11" ht="15.5" x14ac:dyDescent="0.35">
      <c r="A567" s="3" t="s">
        <v>83</v>
      </c>
      <c r="B567" s="1"/>
      <c r="C567" s="20">
        <v>18000</v>
      </c>
      <c r="D567" s="1"/>
      <c r="E567" s="1"/>
      <c r="F567" s="20">
        <f t="shared" si="89"/>
        <v>0</v>
      </c>
      <c r="G567" s="20">
        <f t="shared" si="90"/>
        <v>0</v>
      </c>
      <c r="H567" s="20">
        <f t="shared" si="91"/>
        <v>0</v>
      </c>
      <c r="I567" s="20" t="b">
        <f t="shared" si="92"/>
        <v>1</v>
      </c>
      <c r="J567" s="20"/>
      <c r="K567" s="20"/>
    </row>
    <row r="568" spans="1:11" ht="15.5" x14ac:dyDescent="0.35">
      <c r="A568" s="3" t="s">
        <v>84</v>
      </c>
      <c r="B568" s="1"/>
      <c r="C568" s="20">
        <v>18500</v>
      </c>
      <c r="D568" s="1"/>
      <c r="E568" s="1"/>
      <c r="F568" s="20">
        <f t="shared" si="89"/>
        <v>0</v>
      </c>
      <c r="G568" s="20">
        <f t="shared" si="90"/>
        <v>0</v>
      </c>
      <c r="H568" s="20">
        <f t="shared" si="91"/>
        <v>0</v>
      </c>
      <c r="I568" s="20" t="b">
        <f t="shared" si="92"/>
        <v>1</v>
      </c>
      <c r="J568" s="20"/>
      <c r="K568" s="20"/>
    </row>
    <row r="569" spans="1:11" ht="15.5" x14ac:dyDescent="0.35">
      <c r="A569" s="3" t="s">
        <v>85</v>
      </c>
      <c r="B569" s="1">
        <v>50</v>
      </c>
      <c r="C569" s="20">
        <v>18500</v>
      </c>
      <c r="D569" s="1">
        <v>22</v>
      </c>
      <c r="E569" s="1">
        <v>28</v>
      </c>
      <c r="F569" s="20">
        <f t="shared" si="89"/>
        <v>925000</v>
      </c>
      <c r="G569" s="20">
        <f t="shared" si="90"/>
        <v>407000</v>
      </c>
      <c r="H569" s="20">
        <f t="shared" si="91"/>
        <v>518000</v>
      </c>
      <c r="I569" s="20" t="b">
        <f t="shared" si="92"/>
        <v>1</v>
      </c>
      <c r="J569" s="20"/>
      <c r="K569" s="20"/>
    </row>
    <row r="570" spans="1:11" ht="15.5" x14ac:dyDescent="0.35">
      <c r="A570" s="3" t="s">
        <v>86</v>
      </c>
      <c r="B570" s="1"/>
      <c r="C570" s="20">
        <v>18500</v>
      </c>
      <c r="D570" s="1"/>
      <c r="E570" s="1"/>
      <c r="F570" s="20">
        <f t="shared" si="89"/>
        <v>0</v>
      </c>
      <c r="G570" s="20">
        <f t="shared" si="90"/>
        <v>0</v>
      </c>
      <c r="H570" s="20">
        <f t="shared" si="91"/>
        <v>0</v>
      </c>
      <c r="I570" s="20" t="b">
        <f t="shared" si="92"/>
        <v>1</v>
      </c>
      <c r="J570" s="20"/>
      <c r="K570" s="20"/>
    </row>
    <row r="571" spans="1:11" ht="15.5" x14ac:dyDescent="0.35">
      <c r="A571" s="3" t="s">
        <v>87</v>
      </c>
      <c r="B571" s="1">
        <v>7</v>
      </c>
      <c r="C571" s="20">
        <v>18500</v>
      </c>
      <c r="D571" s="1">
        <v>3</v>
      </c>
      <c r="E571" s="1">
        <v>4</v>
      </c>
      <c r="F571" s="20">
        <f t="shared" si="89"/>
        <v>129500</v>
      </c>
      <c r="G571" s="20">
        <f t="shared" si="90"/>
        <v>55500</v>
      </c>
      <c r="H571" s="20">
        <f t="shared" si="91"/>
        <v>74000</v>
      </c>
      <c r="I571" s="20" t="b">
        <f t="shared" si="92"/>
        <v>1</v>
      </c>
      <c r="J571" s="20"/>
      <c r="K571" s="20"/>
    </row>
    <row r="572" spans="1:11" ht="15.5" x14ac:dyDescent="0.35">
      <c r="A572" s="3" t="s">
        <v>88</v>
      </c>
      <c r="B572" s="1">
        <v>10</v>
      </c>
      <c r="C572" s="20">
        <v>18500</v>
      </c>
      <c r="D572" s="1">
        <v>4</v>
      </c>
      <c r="E572" s="1">
        <v>6</v>
      </c>
      <c r="F572" s="20">
        <f t="shared" si="89"/>
        <v>185000</v>
      </c>
      <c r="G572" s="20">
        <f t="shared" si="90"/>
        <v>74000</v>
      </c>
      <c r="H572" s="20">
        <f t="shared" si="91"/>
        <v>111000</v>
      </c>
      <c r="I572" s="20" t="b">
        <f t="shared" si="92"/>
        <v>1</v>
      </c>
      <c r="J572" s="20"/>
      <c r="K572" s="20"/>
    </row>
    <row r="573" spans="1:11" ht="15.5" x14ac:dyDescent="0.35">
      <c r="A573" s="19" t="s">
        <v>89</v>
      </c>
      <c r="B573" s="1"/>
      <c r="C573" s="20"/>
      <c r="D573" s="1"/>
      <c r="E573" s="1"/>
      <c r="F573" s="20"/>
      <c r="G573" s="20"/>
      <c r="H573" s="20">
        <f t="shared" si="91"/>
        <v>0</v>
      </c>
      <c r="I573" s="20" t="b">
        <f t="shared" si="92"/>
        <v>1</v>
      </c>
      <c r="J573" s="20"/>
      <c r="K573" s="20"/>
    </row>
    <row r="574" spans="1:11" ht="15.5" x14ac:dyDescent="0.35">
      <c r="A574" s="3" t="s">
        <v>92</v>
      </c>
      <c r="B574" s="1"/>
      <c r="C574" s="20">
        <v>21500</v>
      </c>
      <c r="D574" s="1"/>
      <c r="E574" s="1"/>
      <c r="F574" s="20">
        <f t="shared" ref="F574:F576" si="93">C574*B574</f>
        <v>0</v>
      </c>
      <c r="G574" s="20">
        <f t="shared" ref="G574:G576" si="94">D574*C574</f>
        <v>0</v>
      </c>
      <c r="H574" s="20">
        <f t="shared" si="91"/>
        <v>0</v>
      </c>
      <c r="I574" s="20" t="b">
        <f t="shared" si="92"/>
        <v>1</v>
      </c>
      <c r="J574" s="20"/>
      <c r="K574" s="20"/>
    </row>
    <row r="575" spans="1:11" ht="15.5" x14ac:dyDescent="0.35">
      <c r="A575" s="3" t="s">
        <v>93</v>
      </c>
      <c r="B575" s="1">
        <v>36</v>
      </c>
      <c r="C575" s="20">
        <v>21500</v>
      </c>
      <c r="D575" s="1">
        <v>14</v>
      </c>
      <c r="E575" s="1">
        <v>22</v>
      </c>
      <c r="F575" s="20">
        <f t="shared" si="93"/>
        <v>774000</v>
      </c>
      <c r="G575" s="20">
        <f t="shared" si="94"/>
        <v>301000</v>
      </c>
      <c r="H575" s="20">
        <f t="shared" si="91"/>
        <v>473000</v>
      </c>
      <c r="I575" s="20" t="b">
        <f t="shared" si="92"/>
        <v>1</v>
      </c>
      <c r="J575" s="20"/>
      <c r="K575" s="20"/>
    </row>
    <row r="576" spans="1:11" ht="15.5" x14ac:dyDescent="0.35">
      <c r="A576" s="3" t="s">
        <v>94</v>
      </c>
      <c r="B576" s="1">
        <v>33</v>
      </c>
      <c r="C576" s="20">
        <v>21500</v>
      </c>
      <c r="D576" s="1">
        <v>14</v>
      </c>
      <c r="E576" s="1">
        <v>19</v>
      </c>
      <c r="F576" s="20">
        <f t="shared" si="93"/>
        <v>709500</v>
      </c>
      <c r="G576" s="20">
        <f t="shared" si="94"/>
        <v>301000</v>
      </c>
      <c r="H576" s="20">
        <f t="shared" si="91"/>
        <v>408500</v>
      </c>
      <c r="I576" s="20" t="b">
        <f t="shared" si="92"/>
        <v>1</v>
      </c>
      <c r="J576" s="20"/>
      <c r="K576" s="20"/>
    </row>
    <row r="577" spans="1:11" ht="15.5" x14ac:dyDescent="0.35">
      <c r="A577" s="19"/>
      <c r="B577" s="22">
        <f>SUM(B560:B576)</f>
        <v>370</v>
      </c>
      <c r="C577" s="20"/>
      <c r="D577" s="1"/>
      <c r="E577" s="1"/>
      <c r="F577" s="23">
        <f>SUM(F560:F576)</f>
        <v>6827000</v>
      </c>
      <c r="G577" s="23">
        <f>SUM(G560:G576)</f>
        <v>2710500</v>
      </c>
      <c r="H577" s="23">
        <f>SUM(H560:H576)</f>
        <v>4116500</v>
      </c>
      <c r="I577" s="23"/>
      <c r="J577" s="23">
        <f>SUM(J560:J576)</f>
        <v>786009</v>
      </c>
      <c r="K577" s="23">
        <f>H577-J577</f>
        <v>3330491</v>
      </c>
    </row>
    <row r="578" spans="1:11" ht="15.5" x14ac:dyDescent="0.35">
      <c r="A578" s="19" t="s">
        <v>95</v>
      </c>
      <c r="B578" s="1"/>
      <c r="C578" s="20"/>
      <c r="D578" s="1"/>
      <c r="E578" s="1"/>
      <c r="F578" s="20"/>
      <c r="G578" s="20"/>
      <c r="H578" s="20" t="s">
        <v>192</v>
      </c>
      <c r="I578" s="20"/>
      <c r="J578" s="20"/>
      <c r="K578" s="20"/>
    </row>
    <row r="579" spans="1:11" ht="15.5" x14ac:dyDescent="0.35">
      <c r="A579" s="3" t="s">
        <v>96</v>
      </c>
      <c r="B579" s="1"/>
      <c r="C579" s="20">
        <v>3000</v>
      </c>
      <c r="D579" s="1"/>
      <c r="E579" s="20"/>
      <c r="F579" s="20">
        <f t="shared" ref="F579:F582" si="95">C579*B579</f>
        <v>0</v>
      </c>
      <c r="G579" s="20"/>
      <c r="H579" s="20"/>
      <c r="I579" s="20"/>
      <c r="J579" s="20"/>
      <c r="K579" s="20"/>
    </row>
    <row r="580" spans="1:11" ht="15.5" x14ac:dyDescent="0.35">
      <c r="A580" s="3" t="s">
        <v>97</v>
      </c>
      <c r="B580" s="1"/>
      <c r="C580" s="20">
        <v>2500</v>
      </c>
      <c r="D580" s="1"/>
      <c r="E580" s="1"/>
      <c r="F580" s="20">
        <f t="shared" si="95"/>
        <v>0</v>
      </c>
      <c r="G580" s="20"/>
      <c r="H580" s="20"/>
      <c r="I580" s="20"/>
      <c r="J580" s="20"/>
      <c r="K580" s="20"/>
    </row>
    <row r="581" spans="1:11" ht="15.5" x14ac:dyDescent="0.35">
      <c r="A581" s="3" t="s">
        <v>98</v>
      </c>
      <c r="B581" s="1"/>
      <c r="C581" s="20">
        <v>1800</v>
      </c>
      <c r="D581" s="1"/>
      <c r="E581" s="1"/>
      <c r="F581" s="20">
        <f t="shared" si="95"/>
        <v>0</v>
      </c>
      <c r="G581" s="20"/>
      <c r="H581" s="20"/>
      <c r="I581" s="20"/>
      <c r="J581" s="20"/>
      <c r="K581" s="20"/>
    </row>
    <row r="582" spans="1:11" ht="15.5" x14ac:dyDescent="0.35">
      <c r="A582" s="3" t="s">
        <v>99</v>
      </c>
      <c r="B582" s="1"/>
      <c r="C582" s="20">
        <v>3500</v>
      </c>
      <c r="D582" s="1"/>
      <c r="E582" s="1"/>
      <c r="F582" s="20">
        <f t="shared" si="95"/>
        <v>0</v>
      </c>
      <c r="G582" s="20"/>
      <c r="H582" s="20"/>
      <c r="I582" s="20"/>
      <c r="J582" s="20"/>
      <c r="K582" s="20"/>
    </row>
    <row r="583" spans="1:11" ht="15.5" x14ac:dyDescent="0.35">
      <c r="A583" s="18"/>
      <c r="F583" s="21"/>
    </row>
    <row r="584" spans="1:11" ht="15.5" x14ac:dyDescent="0.35">
      <c r="A584" s="24" t="s">
        <v>108</v>
      </c>
      <c r="K584" s="21"/>
    </row>
    <row r="585" spans="1:11" ht="15.5" x14ac:dyDescent="0.35">
      <c r="A585" s="18" t="s">
        <v>114</v>
      </c>
      <c r="B585" s="67">
        <v>40000</v>
      </c>
    </row>
    <row r="586" spans="1:11" ht="15.5" x14ac:dyDescent="0.35">
      <c r="A586" s="18" t="s">
        <v>112</v>
      </c>
      <c r="B586" s="67">
        <v>40000</v>
      </c>
    </row>
    <row r="587" spans="1:11" ht="15.5" x14ac:dyDescent="0.35">
      <c r="A587" s="18" t="s">
        <v>309</v>
      </c>
      <c r="B587" s="67">
        <v>60000</v>
      </c>
    </row>
    <row r="588" spans="1:11" ht="15.5" x14ac:dyDescent="0.35">
      <c r="A588" s="18" t="s">
        <v>110</v>
      </c>
      <c r="B588" s="67">
        <v>40000</v>
      </c>
    </row>
    <row r="589" spans="1:11" ht="15.5" x14ac:dyDescent="0.35">
      <c r="A589" s="18" t="s">
        <v>111</v>
      </c>
      <c r="B589" s="67">
        <v>40000</v>
      </c>
    </row>
    <row r="590" spans="1:11" ht="15.5" x14ac:dyDescent="0.35">
      <c r="A590" s="18" t="s">
        <v>196</v>
      </c>
      <c r="B590" s="67">
        <v>40000</v>
      </c>
    </row>
    <row r="591" spans="1:11" ht="15.5" x14ac:dyDescent="0.35">
      <c r="A591" s="18" t="s">
        <v>113</v>
      </c>
      <c r="B591" s="67">
        <v>40000</v>
      </c>
    </row>
    <row r="592" spans="1:11" ht="15.5" x14ac:dyDescent="0.35">
      <c r="A592" s="18" t="s">
        <v>209</v>
      </c>
      <c r="B592" s="67"/>
      <c r="C592" t="s">
        <v>261</v>
      </c>
    </row>
    <row r="593" spans="1:11" ht="15.5" x14ac:dyDescent="0.35">
      <c r="A593" s="18" t="s">
        <v>115</v>
      </c>
      <c r="B593" s="67">
        <v>60000</v>
      </c>
    </row>
    <row r="594" spans="1:11" ht="15.5" x14ac:dyDescent="0.35">
      <c r="A594" s="18" t="s">
        <v>109</v>
      </c>
      <c r="B594" s="67">
        <v>40000</v>
      </c>
    </row>
    <row r="595" spans="1:11" ht="15.5" x14ac:dyDescent="0.35">
      <c r="A595" s="24" t="s">
        <v>4</v>
      </c>
      <c r="B595" s="75">
        <f>SUM(B585:B594)</f>
        <v>400000</v>
      </c>
    </row>
    <row r="596" spans="1:11" ht="15.5" x14ac:dyDescent="0.35">
      <c r="A596" s="24" t="s">
        <v>4</v>
      </c>
      <c r="B596" s="17">
        <f>SUM(B585:B595)</f>
        <v>800000</v>
      </c>
    </row>
    <row r="599" spans="1:11" ht="18.5" x14ac:dyDescent="0.45">
      <c r="A599" s="151" t="s">
        <v>1</v>
      </c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</row>
    <row r="600" spans="1:11" ht="18.5" x14ac:dyDescent="0.45">
      <c r="A600" s="150" t="s">
        <v>74</v>
      </c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</row>
    <row r="601" spans="1:11" ht="18.5" x14ac:dyDescent="0.45">
      <c r="A601" s="149">
        <v>46099</v>
      </c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</row>
    <row r="602" spans="1:11" ht="18.5" x14ac:dyDescent="0.45">
      <c r="A602" s="150"/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</row>
    <row r="603" spans="1:11" ht="18.5" x14ac:dyDescent="0.45">
      <c r="A603" s="2" t="s">
        <v>75</v>
      </c>
      <c r="B603" s="2" t="s">
        <v>3</v>
      </c>
      <c r="C603" s="2" t="s">
        <v>100</v>
      </c>
      <c r="D603" s="2" t="s">
        <v>90</v>
      </c>
      <c r="E603" s="2" t="s">
        <v>91</v>
      </c>
      <c r="F603" s="2" t="s">
        <v>4</v>
      </c>
      <c r="G603" s="2" t="s">
        <v>101</v>
      </c>
      <c r="H603" s="2" t="s">
        <v>104</v>
      </c>
      <c r="I603" s="2"/>
      <c r="J603" s="2" t="s">
        <v>105</v>
      </c>
      <c r="K603" s="2" t="s">
        <v>106</v>
      </c>
    </row>
    <row r="604" spans="1:11" ht="15.5" x14ac:dyDescent="0.35">
      <c r="A604" s="3" t="s">
        <v>76</v>
      </c>
      <c r="B604" s="1">
        <v>130</v>
      </c>
      <c r="C604" s="20">
        <v>17500</v>
      </c>
      <c r="D604" s="1">
        <v>56</v>
      </c>
      <c r="E604" s="1">
        <v>74</v>
      </c>
      <c r="F604" s="20">
        <f>C604*B604</f>
        <v>2275000</v>
      </c>
      <c r="G604" s="20">
        <f>D604*C604</f>
        <v>980000</v>
      </c>
      <c r="H604" s="20">
        <f>E604*C604</f>
        <v>1295000</v>
      </c>
      <c r="I604" s="20" t="b">
        <f>D604+E604=B604</f>
        <v>1</v>
      </c>
      <c r="J604" s="20">
        <f>B639</f>
        <v>400000</v>
      </c>
      <c r="K604" s="20" t="s">
        <v>117</v>
      </c>
    </row>
    <row r="605" spans="1:11" ht="15.5" x14ac:dyDescent="0.35">
      <c r="A605" s="3" t="s">
        <v>77</v>
      </c>
      <c r="B605" s="1">
        <v>12</v>
      </c>
      <c r="C605" s="20">
        <v>16000</v>
      </c>
      <c r="D605" s="1">
        <v>3</v>
      </c>
      <c r="E605" s="1">
        <v>9</v>
      </c>
      <c r="F605" s="20">
        <f t="shared" ref="F605:F616" si="96">C605*B605</f>
        <v>192000</v>
      </c>
      <c r="G605" s="20">
        <f t="shared" ref="G605:G616" si="97">D605*C605</f>
        <v>48000</v>
      </c>
      <c r="H605" s="20">
        <f t="shared" ref="H605:H620" si="98">E605*C605</f>
        <v>144000</v>
      </c>
      <c r="I605" s="20" t="b">
        <f t="shared" ref="I605:I620" si="99">D605+E605=B605</f>
        <v>1</v>
      </c>
      <c r="J605" s="20">
        <v>392000</v>
      </c>
      <c r="K605" s="20" t="s">
        <v>107</v>
      </c>
    </row>
    <row r="606" spans="1:11" ht="15.5" x14ac:dyDescent="0.35">
      <c r="A606" s="3" t="s">
        <v>78</v>
      </c>
      <c r="B606" s="1">
        <v>60</v>
      </c>
      <c r="C606" s="20">
        <v>17500</v>
      </c>
      <c r="D606" s="1">
        <v>28</v>
      </c>
      <c r="E606" s="1">
        <v>32</v>
      </c>
      <c r="F606" s="20">
        <f t="shared" si="96"/>
        <v>1050000</v>
      </c>
      <c r="G606" s="20">
        <f t="shared" si="97"/>
        <v>490000</v>
      </c>
      <c r="H606" s="20">
        <f t="shared" si="98"/>
        <v>560000</v>
      </c>
      <c r="I606" s="20" t="b">
        <f t="shared" si="99"/>
        <v>1</v>
      </c>
      <c r="J606" s="20"/>
      <c r="K606" s="20"/>
    </row>
    <row r="607" spans="1:11" ht="15.5" x14ac:dyDescent="0.35">
      <c r="A607" s="3" t="s">
        <v>79</v>
      </c>
      <c r="B607" s="1"/>
      <c r="C607" s="20">
        <v>18500</v>
      </c>
      <c r="D607" s="1"/>
      <c r="E607" s="1"/>
      <c r="F607" s="20">
        <f t="shared" si="96"/>
        <v>0</v>
      </c>
      <c r="G607" s="20">
        <f t="shared" si="97"/>
        <v>0</v>
      </c>
      <c r="H607" s="20">
        <f t="shared" si="98"/>
        <v>0</v>
      </c>
      <c r="I607" s="20" t="b">
        <f t="shared" si="99"/>
        <v>1</v>
      </c>
      <c r="J607" s="20"/>
      <c r="K607" s="20"/>
    </row>
    <row r="608" spans="1:11" ht="15.5" x14ac:dyDescent="0.35">
      <c r="A608" s="3" t="s">
        <v>80</v>
      </c>
      <c r="B608" s="1">
        <v>45</v>
      </c>
      <c r="C608" s="20">
        <v>18500</v>
      </c>
      <c r="D608" s="1">
        <v>22</v>
      </c>
      <c r="E608" s="1">
        <v>23</v>
      </c>
      <c r="F608" s="20">
        <f t="shared" si="96"/>
        <v>832500</v>
      </c>
      <c r="G608" s="20">
        <f t="shared" si="97"/>
        <v>407000</v>
      </c>
      <c r="H608" s="20">
        <f t="shared" si="98"/>
        <v>425500</v>
      </c>
      <c r="I608" s="20" t="b">
        <f t="shared" si="99"/>
        <v>1</v>
      </c>
      <c r="J608" s="20"/>
      <c r="K608" s="20"/>
    </row>
    <row r="609" spans="1:11" ht="15.5" x14ac:dyDescent="0.35">
      <c r="A609" s="3" t="s">
        <v>81</v>
      </c>
      <c r="B609" s="1"/>
      <c r="C609" s="20">
        <v>23000</v>
      </c>
      <c r="D609" s="1"/>
      <c r="E609" s="1"/>
      <c r="F609" s="20">
        <f t="shared" si="96"/>
        <v>0</v>
      </c>
      <c r="G609" s="20">
        <f t="shared" si="97"/>
        <v>0</v>
      </c>
      <c r="H609" s="20">
        <f t="shared" si="98"/>
        <v>0</v>
      </c>
      <c r="I609" s="20" t="b">
        <f t="shared" si="99"/>
        <v>1</v>
      </c>
      <c r="J609" s="20"/>
      <c r="K609" s="20"/>
    </row>
    <row r="610" spans="1:11" ht="15.5" x14ac:dyDescent="0.35">
      <c r="A610" s="3" t="s">
        <v>82</v>
      </c>
      <c r="B610" s="1"/>
      <c r="C610" s="20">
        <v>18000</v>
      </c>
      <c r="D610" s="1"/>
      <c r="E610" s="1"/>
      <c r="F610" s="20">
        <f t="shared" si="96"/>
        <v>0</v>
      </c>
      <c r="G610" s="20">
        <f t="shared" si="97"/>
        <v>0</v>
      </c>
      <c r="H610" s="20">
        <f t="shared" si="98"/>
        <v>0</v>
      </c>
      <c r="I610" s="20" t="b">
        <f t="shared" si="99"/>
        <v>1</v>
      </c>
      <c r="J610" s="20"/>
      <c r="K610" s="20"/>
    </row>
    <row r="611" spans="1:11" ht="15.5" x14ac:dyDescent="0.35">
      <c r="A611" s="3" t="s">
        <v>83</v>
      </c>
      <c r="B611" s="1">
        <v>35</v>
      </c>
      <c r="C611" s="20">
        <v>18000</v>
      </c>
      <c r="D611" s="1">
        <v>13</v>
      </c>
      <c r="E611" s="1">
        <v>22</v>
      </c>
      <c r="F611" s="20">
        <f t="shared" si="96"/>
        <v>630000</v>
      </c>
      <c r="G611" s="20">
        <f t="shared" si="97"/>
        <v>234000</v>
      </c>
      <c r="H611" s="20">
        <f t="shared" si="98"/>
        <v>396000</v>
      </c>
      <c r="I611" s="20" t="b">
        <f t="shared" si="99"/>
        <v>1</v>
      </c>
      <c r="J611" s="20"/>
      <c r="K611" s="20"/>
    </row>
    <row r="612" spans="1:11" ht="15.5" x14ac:dyDescent="0.35">
      <c r="A612" s="3" t="s">
        <v>84</v>
      </c>
      <c r="B612" s="1"/>
      <c r="C612" s="20">
        <v>18500</v>
      </c>
      <c r="D612" s="1"/>
      <c r="E612" s="1"/>
      <c r="F612" s="20">
        <f t="shared" si="96"/>
        <v>0</v>
      </c>
      <c r="G612" s="20">
        <f t="shared" si="97"/>
        <v>0</v>
      </c>
      <c r="H612" s="20">
        <f t="shared" si="98"/>
        <v>0</v>
      </c>
      <c r="I612" s="20" t="b">
        <f t="shared" si="99"/>
        <v>1</v>
      </c>
      <c r="J612" s="20"/>
      <c r="K612" s="20"/>
    </row>
    <row r="613" spans="1:11" ht="15.5" x14ac:dyDescent="0.35">
      <c r="A613" s="3" t="s">
        <v>85</v>
      </c>
      <c r="B613" s="1"/>
      <c r="C613" s="20">
        <v>18500</v>
      </c>
      <c r="D613" s="1"/>
      <c r="E613" s="1"/>
      <c r="F613" s="20">
        <f t="shared" si="96"/>
        <v>0</v>
      </c>
      <c r="G613" s="20">
        <f t="shared" si="97"/>
        <v>0</v>
      </c>
      <c r="H613" s="20">
        <f t="shared" si="98"/>
        <v>0</v>
      </c>
      <c r="I613" s="20" t="b">
        <f t="shared" si="99"/>
        <v>1</v>
      </c>
      <c r="J613" s="20"/>
      <c r="K613" s="20"/>
    </row>
    <row r="614" spans="1:11" ht="15.5" x14ac:dyDescent="0.35">
      <c r="A614" s="3" t="s">
        <v>86</v>
      </c>
      <c r="B614" s="1">
        <v>7</v>
      </c>
      <c r="C614" s="20">
        <v>18500</v>
      </c>
      <c r="D614" s="1">
        <v>4</v>
      </c>
      <c r="E614" s="1">
        <v>3</v>
      </c>
      <c r="F614" s="20">
        <f t="shared" si="96"/>
        <v>129500</v>
      </c>
      <c r="G614" s="20">
        <f t="shared" si="97"/>
        <v>74000</v>
      </c>
      <c r="H614" s="20">
        <f t="shared" si="98"/>
        <v>55500</v>
      </c>
      <c r="I614" s="20" t="b">
        <f t="shared" si="99"/>
        <v>1</v>
      </c>
      <c r="J614" s="20"/>
      <c r="K614" s="20"/>
    </row>
    <row r="615" spans="1:11" ht="15.5" x14ac:dyDescent="0.35">
      <c r="A615" s="3" t="s">
        <v>87</v>
      </c>
      <c r="B615" s="1"/>
      <c r="C615" s="20">
        <v>18500</v>
      </c>
      <c r="D615" s="1"/>
      <c r="E615" s="1"/>
      <c r="F615" s="20">
        <f t="shared" si="96"/>
        <v>0</v>
      </c>
      <c r="G615" s="20">
        <f t="shared" si="97"/>
        <v>0</v>
      </c>
      <c r="H615" s="20">
        <f t="shared" si="98"/>
        <v>0</v>
      </c>
      <c r="I615" s="20" t="b">
        <f t="shared" si="99"/>
        <v>1</v>
      </c>
      <c r="J615" s="20"/>
      <c r="K615" s="20"/>
    </row>
    <row r="616" spans="1:11" ht="15.5" x14ac:dyDescent="0.35">
      <c r="A616" s="3" t="s">
        <v>88</v>
      </c>
      <c r="B616" s="1">
        <v>5</v>
      </c>
      <c r="C616" s="20">
        <v>18500</v>
      </c>
      <c r="D616" s="1">
        <v>3</v>
      </c>
      <c r="E616" s="1">
        <v>2</v>
      </c>
      <c r="F616" s="20">
        <f t="shared" si="96"/>
        <v>92500</v>
      </c>
      <c r="G616" s="20">
        <f t="shared" si="97"/>
        <v>55500</v>
      </c>
      <c r="H616" s="20">
        <f t="shared" si="98"/>
        <v>37000</v>
      </c>
      <c r="I616" s="20" t="b">
        <f t="shared" si="99"/>
        <v>1</v>
      </c>
      <c r="J616" s="20"/>
      <c r="K616" s="20"/>
    </row>
    <row r="617" spans="1:11" ht="15.5" x14ac:dyDescent="0.35">
      <c r="A617" s="19" t="s">
        <v>89</v>
      </c>
      <c r="B617" s="1"/>
      <c r="C617" s="20"/>
      <c r="D617" s="1"/>
      <c r="E617" s="1"/>
      <c r="F617" s="20"/>
      <c r="G617" s="20"/>
      <c r="H617" s="20">
        <f t="shared" si="98"/>
        <v>0</v>
      </c>
      <c r="I617" s="20" t="b">
        <f t="shared" si="99"/>
        <v>1</v>
      </c>
      <c r="J617" s="20"/>
      <c r="K617" s="20"/>
    </row>
    <row r="618" spans="1:11" ht="15.5" x14ac:dyDescent="0.35">
      <c r="A618" s="3" t="s">
        <v>92</v>
      </c>
      <c r="B618" s="1">
        <v>33</v>
      </c>
      <c r="C618" s="20">
        <v>21500</v>
      </c>
      <c r="D618" s="1">
        <v>18</v>
      </c>
      <c r="E618" s="1">
        <v>15</v>
      </c>
      <c r="F618" s="20">
        <f t="shared" ref="F618:F620" si="100">C618*B618</f>
        <v>709500</v>
      </c>
      <c r="G618" s="20">
        <f t="shared" ref="G618:G620" si="101">D618*C618</f>
        <v>387000</v>
      </c>
      <c r="H618" s="20">
        <f t="shared" si="98"/>
        <v>322500</v>
      </c>
      <c r="I618" s="20" t="b">
        <f t="shared" si="99"/>
        <v>1</v>
      </c>
      <c r="J618" s="20"/>
      <c r="K618" s="20"/>
    </row>
    <row r="619" spans="1:11" ht="15.5" x14ac:dyDescent="0.35">
      <c r="A619" s="3" t="s">
        <v>93</v>
      </c>
      <c r="B619" s="1"/>
      <c r="C619" s="20">
        <v>21500</v>
      </c>
      <c r="D619" s="1"/>
      <c r="E619" s="1"/>
      <c r="F619" s="20">
        <f t="shared" si="100"/>
        <v>0</v>
      </c>
      <c r="G619" s="20">
        <f t="shared" si="101"/>
        <v>0</v>
      </c>
      <c r="H619" s="20">
        <f t="shared" si="98"/>
        <v>0</v>
      </c>
      <c r="I619" s="20" t="b">
        <f t="shared" si="99"/>
        <v>1</v>
      </c>
      <c r="J619" s="20"/>
      <c r="K619" s="20"/>
    </row>
    <row r="620" spans="1:11" ht="15.5" x14ac:dyDescent="0.35">
      <c r="A620" s="3" t="s">
        <v>94</v>
      </c>
      <c r="B620" s="1">
        <v>36</v>
      </c>
      <c r="C620" s="20">
        <v>21500</v>
      </c>
      <c r="D620" s="1">
        <v>20</v>
      </c>
      <c r="E620" s="1">
        <v>16</v>
      </c>
      <c r="F620" s="20">
        <f t="shared" si="100"/>
        <v>774000</v>
      </c>
      <c r="G620" s="20">
        <f t="shared" si="101"/>
        <v>430000</v>
      </c>
      <c r="H620" s="20">
        <f t="shared" si="98"/>
        <v>344000</v>
      </c>
      <c r="I620" s="20" t="b">
        <f t="shared" si="99"/>
        <v>1</v>
      </c>
      <c r="J620" s="20"/>
      <c r="K620" s="20"/>
    </row>
    <row r="621" spans="1:11" ht="15.5" x14ac:dyDescent="0.35">
      <c r="A621" s="19"/>
      <c r="B621" s="22">
        <f>SUM(B604:B620)</f>
        <v>363</v>
      </c>
      <c r="C621" s="20"/>
      <c r="D621" s="1"/>
      <c r="E621" s="1"/>
      <c r="F621" s="23">
        <f>SUM(F604:F620)</f>
        <v>6685000</v>
      </c>
      <c r="G621" s="23">
        <f>SUM(G604:G620)</f>
        <v>3105500</v>
      </c>
      <c r="H621" s="23">
        <f>SUM(H604:H620)</f>
        <v>3579500</v>
      </c>
      <c r="I621" s="23"/>
      <c r="J621" s="23">
        <f>SUM(J604:J620)</f>
        <v>792000</v>
      </c>
      <c r="K621" s="23">
        <f>H621-J621</f>
        <v>2787500</v>
      </c>
    </row>
    <row r="622" spans="1:11" ht="15.5" x14ac:dyDescent="0.35">
      <c r="A622" s="19" t="s">
        <v>95</v>
      </c>
      <c r="B622" s="1"/>
      <c r="C622" s="20"/>
      <c r="D622" s="1"/>
      <c r="E622" s="1"/>
      <c r="F622" s="20"/>
      <c r="G622" s="20"/>
      <c r="H622" s="20" t="s">
        <v>192</v>
      </c>
      <c r="I622" s="20"/>
      <c r="J622" s="20"/>
      <c r="K622" s="20"/>
    </row>
    <row r="623" spans="1:11" ht="15.5" x14ac:dyDescent="0.35">
      <c r="A623" s="3" t="s">
        <v>96</v>
      </c>
      <c r="B623" s="1"/>
      <c r="C623" s="20">
        <v>3000</v>
      </c>
      <c r="D623" s="1"/>
      <c r="E623" s="20"/>
      <c r="F623" s="20">
        <f t="shared" ref="F623:F626" si="102">C623*B623</f>
        <v>0</v>
      </c>
      <c r="G623" s="20"/>
      <c r="H623" s="20"/>
      <c r="I623" s="20"/>
      <c r="J623" s="20"/>
      <c r="K623" s="20"/>
    </row>
    <row r="624" spans="1:11" ht="15.5" x14ac:dyDescent="0.35">
      <c r="A624" s="3" t="s">
        <v>97</v>
      </c>
      <c r="B624" s="1"/>
      <c r="C624" s="20">
        <v>2500</v>
      </c>
      <c r="D624" s="1"/>
      <c r="E624" s="1"/>
      <c r="F624" s="20">
        <f t="shared" si="102"/>
        <v>0</v>
      </c>
      <c r="G624" s="20"/>
      <c r="H624" s="20"/>
      <c r="I624" s="20"/>
      <c r="J624" s="20"/>
      <c r="K624" s="20"/>
    </row>
    <row r="625" spans="1:11" ht="15.5" x14ac:dyDescent="0.35">
      <c r="A625" s="3" t="s">
        <v>98</v>
      </c>
      <c r="B625" s="1"/>
      <c r="C625" s="20">
        <v>1800</v>
      </c>
      <c r="D625" s="1"/>
      <c r="E625" s="1"/>
      <c r="F625" s="20">
        <f t="shared" si="102"/>
        <v>0</v>
      </c>
      <c r="G625" s="20"/>
      <c r="H625" s="20"/>
      <c r="I625" s="20"/>
      <c r="J625" s="20"/>
      <c r="K625" s="20"/>
    </row>
    <row r="626" spans="1:11" ht="15.5" x14ac:dyDescent="0.35">
      <c r="A626" s="3" t="s">
        <v>99</v>
      </c>
      <c r="B626" s="1"/>
      <c r="C626" s="20">
        <v>3500</v>
      </c>
      <c r="D626" s="1"/>
      <c r="E626" s="1"/>
      <c r="F626" s="20">
        <f t="shared" si="102"/>
        <v>0</v>
      </c>
      <c r="G626" s="20"/>
      <c r="H626" s="20"/>
      <c r="I626" s="20"/>
      <c r="J626" s="20"/>
      <c r="K626" s="20"/>
    </row>
    <row r="627" spans="1:11" ht="15.5" x14ac:dyDescent="0.35">
      <c r="A627" s="18"/>
      <c r="F627" s="21"/>
    </row>
    <row r="628" spans="1:11" ht="15.5" x14ac:dyDescent="0.35">
      <c r="A628" s="24" t="s">
        <v>108</v>
      </c>
      <c r="K628" s="21"/>
    </row>
    <row r="629" spans="1:11" ht="15.5" x14ac:dyDescent="0.35">
      <c r="A629" s="18" t="s">
        <v>114</v>
      </c>
      <c r="B629" s="67">
        <v>40000</v>
      </c>
    </row>
    <row r="630" spans="1:11" ht="15.5" x14ac:dyDescent="0.35">
      <c r="A630" s="18" t="s">
        <v>112</v>
      </c>
      <c r="B630" s="67"/>
      <c r="C630" t="s">
        <v>261</v>
      </c>
    </row>
    <row r="631" spans="1:11" ht="15.5" x14ac:dyDescent="0.35">
      <c r="A631" s="18" t="s">
        <v>309</v>
      </c>
      <c r="B631" s="67">
        <v>60000</v>
      </c>
    </row>
    <row r="632" spans="1:11" ht="15.5" x14ac:dyDescent="0.35">
      <c r="A632" s="18" t="s">
        <v>110</v>
      </c>
      <c r="B632" s="67">
        <v>40000</v>
      </c>
    </row>
    <row r="633" spans="1:11" ht="15.5" x14ac:dyDescent="0.35">
      <c r="A633" s="18" t="s">
        <v>111</v>
      </c>
      <c r="B633" s="67">
        <v>40000</v>
      </c>
    </row>
    <row r="634" spans="1:11" ht="15.5" x14ac:dyDescent="0.35">
      <c r="A634" s="18" t="s">
        <v>196</v>
      </c>
      <c r="B634" s="67">
        <v>40000</v>
      </c>
    </row>
    <row r="635" spans="1:11" ht="15.5" x14ac:dyDescent="0.35">
      <c r="A635" s="18" t="s">
        <v>113</v>
      </c>
      <c r="B635" s="67">
        <v>40000</v>
      </c>
    </row>
    <row r="636" spans="1:11" ht="15.5" x14ac:dyDescent="0.35">
      <c r="A636" s="18" t="s">
        <v>209</v>
      </c>
      <c r="B636" s="67">
        <v>40000</v>
      </c>
    </row>
    <row r="637" spans="1:11" ht="15.5" x14ac:dyDescent="0.35">
      <c r="A637" s="18" t="s">
        <v>115</v>
      </c>
      <c r="B637" s="67">
        <v>60000</v>
      </c>
    </row>
    <row r="638" spans="1:11" ht="15.5" x14ac:dyDescent="0.35">
      <c r="A638" s="18" t="s">
        <v>109</v>
      </c>
      <c r="B638" s="67">
        <v>40000</v>
      </c>
    </row>
    <row r="639" spans="1:11" ht="15.5" x14ac:dyDescent="0.35">
      <c r="A639" s="24" t="s">
        <v>4</v>
      </c>
      <c r="B639" s="75">
        <f>SUM(B629:B638)</f>
        <v>400000</v>
      </c>
    </row>
    <row r="640" spans="1:11" ht="15.5" x14ac:dyDescent="0.35">
      <c r="A640" s="24"/>
      <c r="B640" s="75"/>
    </row>
    <row r="641" spans="1:11" ht="15.5" x14ac:dyDescent="0.35">
      <c r="A641" s="24"/>
      <c r="B641" s="75"/>
    </row>
    <row r="642" spans="1:11" ht="18.5" x14ac:dyDescent="0.45">
      <c r="A642" s="151" t="s">
        <v>1</v>
      </c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</row>
    <row r="643" spans="1:11" ht="18.5" x14ac:dyDescent="0.45">
      <c r="A643" s="150" t="s">
        <v>74</v>
      </c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</row>
    <row r="644" spans="1:11" ht="18.5" x14ac:dyDescent="0.45">
      <c r="A644" s="149">
        <v>46100</v>
      </c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</row>
    <row r="645" spans="1:11" ht="18.5" x14ac:dyDescent="0.45">
      <c r="A645" s="150"/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</row>
    <row r="646" spans="1:11" ht="18.5" x14ac:dyDescent="0.45">
      <c r="A646" s="2" t="s">
        <v>75</v>
      </c>
      <c r="B646" s="2" t="s">
        <v>3</v>
      </c>
      <c r="C646" s="2" t="s">
        <v>100</v>
      </c>
      <c r="D646" s="2" t="s">
        <v>90</v>
      </c>
      <c r="E646" s="2" t="s">
        <v>91</v>
      </c>
      <c r="F646" s="2" t="s">
        <v>4</v>
      </c>
      <c r="G646" s="2" t="s">
        <v>101</v>
      </c>
      <c r="H646" s="2" t="s">
        <v>104</v>
      </c>
      <c r="I646" s="2"/>
      <c r="J646" s="2" t="s">
        <v>105</v>
      </c>
      <c r="K646" s="2" t="s">
        <v>106</v>
      </c>
    </row>
    <row r="647" spans="1:11" ht="15.5" x14ac:dyDescent="0.35">
      <c r="A647" s="3" t="s">
        <v>76</v>
      </c>
      <c r="B647" s="1">
        <v>145</v>
      </c>
      <c r="C647" s="20">
        <v>17500</v>
      </c>
      <c r="D647" s="1">
        <v>64</v>
      </c>
      <c r="E647" s="1">
        <v>81</v>
      </c>
      <c r="F647" s="20">
        <f>C647*B647</f>
        <v>2537500</v>
      </c>
      <c r="G647" s="20">
        <f>D647*C647</f>
        <v>1120000</v>
      </c>
      <c r="H647" s="20">
        <f>E647*C647</f>
        <v>1417500</v>
      </c>
      <c r="I647" s="20" t="b">
        <f>D647+E647=B647</f>
        <v>1</v>
      </c>
      <c r="J647" s="20">
        <f>B682</f>
        <v>440000</v>
      </c>
      <c r="K647" s="20" t="s">
        <v>117</v>
      </c>
    </row>
    <row r="648" spans="1:11" ht="15.5" x14ac:dyDescent="0.35">
      <c r="A648" s="3" t="s">
        <v>77</v>
      </c>
      <c r="B648" s="1">
        <v>28</v>
      </c>
      <c r="C648" s="20">
        <v>16000</v>
      </c>
      <c r="D648" s="1">
        <v>16</v>
      </c>
      <c r="E648" s="1">
        <v>12</v>
      </c>
      <c r="F648" s="20">
        <f t="shared" ref="F648:F659" si="103">C648*B648</f>
        <v>448000</v>
      </c>
      <c r="G648" s="20">
        <f t="shared" ref="G648:G659" si="104">D648*C648</f>
        <v>256000</v>
      </c>
      <c r="H648" s="20">
        <f t="shared" ref="H648:H663" si="105">E648*C648</f>
        <v>192000</v>
      </c>
      <c r="I648" s="20" t="b">
        <f t="shared" ref="I648:I663" si="106">D648+E648=B648</f>
        <v>1</v>
      </c>
      <c r="J648" s="20">
        <v>426000</v>
      </c>
      <c r="K648" s="20" t="s">
        <v>107</v>
      </c>
    </row>
    <row r="649" spans="1:11" ht="15.5" x14ac:dyDescent="0.35">
      <c r="A649" s="3" t="s">
        <v>78</v>
      </c>
      <c r="B649" s="1">
        <v>65</v>
      </c>
      <c r="C649" s="20">
        <v>17500</v>
      </c>
      <c r="D649" s="1">
        <v>32</v>
      </c>
      <c r="E649" s="1">
        <v>33</v>
      </c>
      <c r="F649" s="20">
        <f t="shared" si="103"/>
        <v>1137500</v>
      </c>
      <c r="G649" s="20">
        <f t="shared" si="104"/>
        <v>560000</v>
      </c>
      <c r="H649" s="20">
        <f t="shared" si="105"/>
        <v>577500</v>
      </c>
      <c r="I649" s="20" t="b">
        <f t="shared" si="106"/>
        <v>1</v>
      </c>
      <c r="J649" s="20">
        <v>20000</v>
      </c>
      <c r="K649" s="20" t="s">
        <v>380</v>
      </c>
    </row>
    <row r="650" spans="1:11" ht="15.5" x14ac:dyDescent="0.35">
      <c r="A650" s="3" t="s">
        <v>79</v>
      </c>
      <c r="B650" s="1">
        <v>30</v>
      </c>
      <c r="C650" s="20">
        <v>18500</v>
      </c>
      <c r="D650" s="1">
        <v>15</v>
      </c>
      <c r="E650" s="1">
        <v>15</v>
      </c>
      <c r="F650" s="20">
        <f t="shared" si="103"/>
        <v>555000</v>
      </c>
      <c r="G650" s="20">
        <f t="shared" si="104"/>
        <v>277500</v>
      </c>
      <c r="H650" s="20">
        <f t="shared" si="105"/>
        <v>277500</v>
      </c>
      <c r="I650" s="20" t="b">
        <f t="shared" si="106"/>
        <v>1</v>
      </c>
      <c r="J650" s="20"/>
      <c r="K650" s="20"/>
    </row>
    <row r="651" spans="1:11" ht="15.5" x14ac:dyDescent="0.35">
      <c r="A651" s="3" t="s">
        <v>80</v>
      </c>
      <c r="B651" s="1"/>
      <c r="C651" s="20">
        <v>18500</v>
      </c>
      <c r="D651" s="1"/>
      <c r="E651" s="1"/>
      <c r="F651" s="20">
        <f t="shared" si="103"/>
        <v>0</v>
      </c>
      <c r="G651" s="20">
        <f t="shared" si="104"/>
        <v>0</v>
      </c>
      <c r="H651" s="20">
        <f t="shared" si="105"/>
        <v>0</v>
      </c>
      <c r="I651" s="20" t="b">
        <f t="shared" si="106"/>
        <v>1</v>
      </c>
      <c r="J651" s="20"/>
      <c r="K651" s="20"/>
    </row>
    <row r="652" spans="1:11" ht="15.5" x14ac:dyDescent="0.35">
      <c r="A652" s="3" t="s">
        <v>81</v>
      </c>
      <c r="B652" s="1"/>
      <c r="C652" s="20">
        <v>23000</v>
      </c>
      <c r="D652" s="1"/>
      <c r="E652" s="1"/>
      <c r="F652" s="20">
        <f t="shared" si="103"/>
        <v>0</v>
      </c>
      <c r="G652" s="20">
        <f t="shared" si="104"/>
        <v>0</v>
      </c>
      <c r="H652" s="20">
        <f t="shared" si="105"/>
        <v>0</v>
      </c>
      <c r="I652" s="20" t="b">
        <f t="shared" si="106"/>
        <v>1</v>
      </c>
      <c r="J652" s="20"/>
      <c r="K652" s="20"/>
    </row>
    <row r="653" spans="1:11" ht="15.5" x14ac:dyDescent="0.35">
      <c r="A653" s="3" t="s">
        <v>82</v>
      </c>
      <c r="B653" s="1"/>
      <c r="C653" s="20">
        <v>18000</v>
      </c>
      <c r="D653" s="1"/>
      <c r="E653" s="1"/>
      <c r="F653" s="20">
        <f t="shared" si="103"/>
        <v>0</v>
      </c>
      <c r="G653" s="20">
        <f t="shared" si="104"/>
        <v>0</v>
      </c>
      <c r="H653" s="20">
        <f t="shared" si="105"/>
        <v>0</v>
      </c>
      <c r="I653" s="20" t="b">
        <f t="shared" si="106"/>
        <v>1</v>
      </c>
      <c r="J653" s="20"/>
      <c r="K653" s="20"/>
    </row>
    <row r="654" spans="1:11" ht="15.5" x14ac:dyDescent="0.35">
      <c r="A654" s="3" t="s">
        <v>83</v>
      </c>
      <c r="B654" s="1"/>
      <c r="C654" s="20">
        <v>18000</v>
      </c>
      <c r="D654" s="1"/>
      <c r="E654" s="1"/>
      <c r="F654" s="20">
        <f t="shared" si="103"/>
        <v>0</v>
      </c>
      <c r="G654" s="20">
        <f t="shared" si="104"/>
        <v>0</v>
      </c>
      <c r="H654" s="20">
        <f t="shared" si="105"/>
        <v>0</v>
      </c>
      <c r="I654" s="20" t="b">
        <f t="shared" si="106"/>
        <v>1</v>
      </c>
      <c r="J654" s="20"/>
      <c r="K654" s="20"/>
    </row>
    <row r="655" spans="1:11" ht="15.5" x14ac:dyDescent="0.35">
      <c r="A655" s="3" t="s">
        <v>84</v>
      </c>
      <c r="B655" s="1">
        <v>50</v>
      </c>
      <c r="C655" s="20">
        <v>18500</v>
      </c>
      <c r="D655" s="1">
        <v>20</v>
      </c>
      <c r="E655" s="1">
        <v>30</v>
      </c>
      <c r="F655" s="20">
        <f t="shared" si="103"/>
        <v>925000</v>
      </c>
      <c r="G655" s="20">
        <f t="shared" si="104"/>
        <v>370000</v>
      </c>
      <c r="H655" s="20">
        <f t="shared" si="105"/>
        <v>555000</v>
      </c>
      <c r="I655" s="20" t="b">
        <f t="shared" si="106"/>
        <v>1</v>
      </c>
      <c r="J655" s="20"/>
      <c r="K655" s="20"/>
    </row>
    <row r="656" spans="1:11" ht="15.5" x14ac:dyDescent="0.35">
      <c r="A656" s="3" t="s">
        <v>85</v>
      </c>
      <c r="B656" s="1"/>
      <c r="C656" s="20">
        <v>18500</v>
      </c>
      <c r="D656" s="1"/>
      <c r="E656" s="1"/>
      <c r="F656" s="20">
        <f t="shared" si="103"/>
        <v>0</v>
      </c>
      <c r="G656" s="20">
        <f t="shared" si="104"/>
        <v>0</v>
      </c>
      <c r="H656" s="20">
        <f t="shared" si="105"/>
        <v>0</v>
      </c>
      <c r="I656" s="20" t="b">
        <f t="shared" si="106"/>
        <v>1</v>
      </c>
      <c r="J656" s="20"/>
      <c r="K656" s="20"/>
    </row>
    <row r="657" spans="1:11" ht="15.5" x14ac:dyDescent="0.35">
      <c r="A657" s="3" t="s">
        <v>86</v>
      </c>
      <c r="B657" s="1"/>
      <c r="C657" s="20">
        <v>18500</v>
      </c>
      <c r="D657" s="1"/>
      <c r="E657" s="1"/>
      <c r="F657" s="20">
        <f t="shared" si="103"/>
        <v>0</v>
      </c>
      <c r="G657" s="20">
        <f t="shared" si="104"/>
        <v>0</v>
      </c>
      <c r="H657" s="20">
        <f t="shared" si="105"/>
        <v>0</v>
      </c>
      <c r="I657" s="20" t="b">
        <f t="shared" si="106"/>
        <v>1</v>
      </c>
      <c r="J657" s="20"/>
      <c r="K657" s="20"/>
    </row>
    <row r="658" spans="1:11" ht="15.5" x14ac:dyDescent="0.35">
      <c r="A658" s="3" t="s">
        <v>87</v>
      </c>
      <c r="B658" s="1">
        <v>13</v>
      </c>
      <c r="C658" s="20">
        <v>18500</v>
      </c>
      <c r="D658" s="1">
        <v>5</v>
      </c>
      <c r="E658" s="1">
        <v>8</v>
      </c>
      <c r="F658" s="20">
        <f t="shared" si="103"/>
        <v>240500</v>
      </c>
      <c r="G658" s="20">
        <f t="shared" si="104"/>
        <v>92500</v>
      </c>
      <c r="H658" s="20">
        <f t="shared" si="105"/>
        <v>148000</v>
      </c>
      <c r="I658" s="20" t="b">
        <f t="shared" si="106"/>
        <v>1</v>
      </c>
      <c r="J658" s="20"/>
      <c r="K658" s="20"/>
    </row>
    <row r="659" spans="1:11" ht="15.5" x14ac:dyDescent="0.35">
      <c r="A659" s="3" t="s">
        <v>88</v>
      </c>
      <c r="B659" s="1">
        <v>6</v>
      </c>
      <c r="C659" s="20">
        <v>18500</v>
      </c>
      <c r="D659" s="1">
        <v>4</v>
      </c>
      <c r="E659" s="1">
        <v>2</v>
      </c>
      <c r="F659" s="20">
        <f t="shared" si="103"/>
        <v>111000</v>
      </c>
      <c r="G659" s="20">
        <f t="shared" si="104"/>
        <v>74000</v>
      </c>
      <c r="H659" s="20">
        <f t="shared" si="105"/>
        <v>37000</v>
      </c>
      <c r="I659" s="20" t="b">
        <f t="shared" si="106"/>
        <v>1</v>
      </c>
      <c r="J659" s="20"/>
      <c r="K659" s="20"/>
    </row>
    <row r="660" spans="1:11" ht="15.5" x14ac:dyDescent="0.35">
      <c r="A660" s="19" t="s">
        <v>89</v>
      </c>
      <c r="B660" s="1"/>
      <c r="C660" s="20"/>
      <c r="D660" s="1"/>
      <c r="E660" s="1"/>
      <c r="F660" s="20"/>
      <c r="G660" s="20"/>
      <c r="H660" s="20">
        <f t="shared" si="105"/>
        <v>0</v>
      </c>
      <c r="I660" s="20" t="b">
        <f t="shared" si="106"/>
        <v>1</v>
      </c>
      <c r="J660" s="20"/>
      <c r="K660" s="20"/>
    </row>
    <row r="661" spans="1:11" ht="15.5" x14ac:dyDescent="0.35">
      <c r="A661" s="3" t="s">
        <v>92</v>
      </c>
      <c r="B661" s="1"/>
      <c r="C661" s="20">
        <v>21500</v>
      </c>
      <c r="D661" s="1"/>
      <c r="E661" s="1"/>
      <c r="F661" s="20">
        <f t="shared" ref="F661:F663" si="107">C661*B661</f>
        <v>0</v>
      </c>
      <c r="G661" s="20">
        <f t="shared" ref="G661:G663" si="108">D661*C661</f>
        <v>0</v>
      </c>
      <c r="H661" s="20">
        <f t="shared" si="105"/>
        <v>0</v>
      </c>
      <c r="I661" s="20" t="b">
        <f t="shared" si="106"/>
        <v>1</v>
      </c>
      <c r="J661" s="20"/>
      <c r="K661" s="20"/>
    </row>
    <row r="662" spans="1:11" ht="15.5" x14ac:dyDescent="0.35">
      <c r="A662" s="3" t="s">
        <v>93</v>
      </c>
      <c r="B662" s="1">
        <v>27</v>
      </c>
      <c r="C662" s="20">
        <v>21500</v>
      </c>
      <c r="D662" s="1">
        <v>19</v>
      </c>
      <c r="E662" s="1">
        <v>8</v>
      </c>
      <c r="F662" s="20">
        <f t="shared" si="107"/>
        <v>580500</v>
      </c>
      <c r="G662" s="20">
        <f t="shared" si="108"/>
        <v>408500</v>
      </c>
      <c r="H662" s="20">
        <f t="shared" si="105"/>
        <v>172000</v>
      </c>
      <c r="I662" s="20" t="b">
        <f t="shared" si="106"/>
        <v>1</v>
      </c>
      <c r="J662" s="20"/>
      <c r="K662" s="20"/>
    </row>
    <row r="663" spans="1:11" ht="15.5" x14ac:dyDescent="0.35">
      <c r="A663" s="3" t="s">
        <v>94</v>
      </c>
      <c r="B663" s="1">
        <v>40</v>
      </c>
      <c r="C663" s="20">
        <v>21500</v>
      </c>
      <c r="D663" s="1">
        <v>18</v>
      </c>
      <c r="E663" s="1">
        <v>22</v>
      </c>
      <c r="F663" s="20">
        <f t="shared" si="107"/>
        <v>860000</v>
      </c>
      <c r="G663" s="20">
        <f t="shared" si="108"/>
        <v>387000</v>
      </c>
      <c r="H663" s="20">
        <f t="shared" si="105"/>
        <v>473000</v>
      </c>
      <c r="I663" s="20" t="b">
        <f t="shared" si="106"/>
        <v>1</v>
      </c>
      <c r="J663" s="20"/>
      <c r="K663" s="20"/>
    </row>
    <row r="664" spans="1:11" ht="15.5" x14ac:dyDescent="0.35">
      <c r="A664" s="19"/>
      <c r="B664" s="22">
        <f>SUM(B647:B663)</f>
        <v>404</v>
      </c>
      <c r="C664" s="20"/>
      <c r="D664" s="1"/>
      <c r="E664" s="1"/>
      <c r="F664" s="23">
        <f>SUM(F647:F663)</f>
        <v>7395000</v>
      </c>
      <c r="G664" s="23">
        <f>SUM(G647:G663)</f>
        <v>3545500</v>
      </c>
      <c r="H664" s="23">
        <f>SUM(H647:H663)</f>
        <v>3849500</v>
      </c>
      <c r="I664" s="23"/>
      <c r="J664" s="23">
        <f>SUM(J647:J663)</f>
        <v>886000</v>
      </c>
      <c r="K664" s="23">
        <f>H664-J664</f>
        <v>2963500</v>
      </c>
    </row>
    <row r="665" spans="1:11" ht="15.5" x14ac:dyDescent="0.35">
      <c r="A665" s="19" t="s">
        <v>95</v>
      </c>
      <c r="B665" s="1"/>
      <c r="C665" s="20"/>
      <c r="D665" s="1"/>
      <c r="E665" s="1"/>
      <c r="F665" s="20"/>
      <c r="G665" s="20"/>
      <c r="H665" s="20" t="s">
        <v>192</v>
      </c>
      <c r="I665" s="20"/>
      <c r="J665" s="20"/>
      <c r="K665" s="20"/>
    </row>
    <row r="666" spans="1:11" ht="15.5" x14ac:dyDescent="0.35">
      <c r="A666" s="3" t="s">
        <v>96</v>
      </c>
      <c r="B666" s="1"/>
      <c r="C666" s="20">
        <v>3000</v>
      </c>
      <c r="D666" s="1"/>
      <c r="E666" s="20"/>
      <c r="F666" s="20">
        <f t="shared" ref="F666:F669" si="109">C666*B666</f>
        <v>0</v>
      </c>
      <c r="G666" s="20"/>
      <c r="H666" s="20"/>
      <c r="I666" s="20"/>
      <c r="J666" s="20"/>
      <c r="K666" s="20"/>
    </row>
    <row r="667" spans="1:11" ht="15.5" x14ac:dyDescent="0.35">
      <c r="A667" s="3" t="s">
        <v>97</v>
      </c>
      <c r="B667" s="1"/>
      <c r="C667" s="20">
        <v>2500</v>
      </c>
      <c r="D667" s="1"/>
      <c r="E667" s="1"/>
      <c r="F667" s="20">
        <f t="shared" si="109"/>
        <v>0</v>
      </c>
      <c r="G667" s="20"/>
      <c r="H667" s="20"/>
      <c r="I667" s="20"/>
      <c r="J667" s="20"/>
      <c r="K667" s="20"/>
    </row>
    <row r="668" spans="1:11" ht="15.5" x14ac:dyDescent="0.35">
      <c r="A668" s="3" t="s">
        <v>98</v>
      </c>
      <c r="B668" s="1"/>
      <c r="C668" s="20">
        <v>1800</v>
      </c>
      <c r="D668" s="1"/>
      <c r="E668" s="1"/>
      <c r="F668" s="20">
        <f t="shared" si="109"/>
        <v>0</v>
      </c>
      <c r="G668" s="20"/>
      <c r="H668" s="20"/>
      <c r="I668" s="20"/>
      <c r="J668" s="20"/>
      <c r="K668" s="20"/>
    </row>
    <row r="669" spans="1:11" ht="15.5" x14ac:dyDescent="0.35">
      <c r="A669" s="3" t="s">
        <v>99</v>
      </c>
      <c r="B669" s="1"/>
      <c r="C669" s="20">
        <v>3500</v>
      </c>
      <c r="D669" s="1"/>
      <c r="E669" s="1"/>
      <c r="F669" s="20">
        <f t="shared" si="109"/>
        <v>0</v>
      </c>
      <c r="G669" s="20"/>
      <c r="H669" s="20"/>
      <c r="I669" s="20"/>
      <c r="J669" s="20"/>
      <c r="K669" s="20"/>
    </row>
    <row r="670" spans="1:11" ht="15.5" x14ac:dyDescent="0.35">
      <c r="A670" s="18"/>
      <c r="F670" s="21"/>
    </row>
    <row r="671" spans="1:11" ht="15.5" x14ac:dyDescent="0.35">
      <c r="A671" s="24" t="s">
        <v>108</v>
      </c>
      <c r="K671" s="21"/>
    </row>
    <row r="672" spans="1:11" ht="15.5" x14ac:dyDescent="0.35">
      <c r="A672" s="18" t="s">
        <v>114</v>
      </c>
      <c r="B672" s="67">
        <v>40000</v>
      </c>
    </row>
    <row r="673" spans="1:11" ht="15.5" x14ac:dyDescent="0.35">
      <c r="A673" s="18" t="s">
        <v>112</v>
      </c>
      <c r="B673" s="67">
        <v>40000</v>
      </c>
    </row>
    <row r="674" spans="1:11" ht="15.5" x14ac:dyDescent="0.35">
      <c r="A674" s="18" t="s">
        <v>309</v>
      </c>
      <c r="B674" s="67">
        <v>60000</v>
      </c>
    </row>
    <row r="675" spans="1:11" ht="15.5" x14ac:dyDescent="0.35">
      <c r="A675" s="18" t="s">
        <v>110</v>
      </c>
      <c r="B675" s="67">
        <v>40000</v>
      </c>
    </row>
    <row r="676" spans="1:11" ht="15.5" x14ac:dyDescent="0.35">
      <c r="A676" s="18" t="s">
        <v>111</v>
      </c>
      <c r="B676" s="67">
        <v>40000</v>
      </c>
    </row>
    <row r="677" spans="1:11" ht="15.5" x14ac:dyDescent="0.35">
      <c r="A677" s="18" t="s">
        <v>196</v>
      </c>
      <c r="B677" s="67">
        <v>40000</v>
      </c>
    </row>
    <row r="678" spans="1:11" ht="15.5" x14ac:dyDescent="0.35">
      <c r="A678" s="18" t="s">
        <v>113</v>
      </c>
      <c r="B678" s="67">
        <v>40000</v>
      </c>
    </row>
    <row r="679" spans="1:11" ht="15.5" x14ac:dyDescent="0.35">
      <c r="A679" s="18" t="s">
        <v>209</v>
      </c>
      <c r="B679" s="67">
        <v>40000</v>
      </c>
    </row>
    <row r="680" spans="1:11" ht="15.5" x14ac:dyDescent="0.35">
      <c r="A680" s="18" t="s">
        <v>115</v>
      </c>
      <c r="B680" s="67">
        <v>60000</v>
      </c>
    </row>
    <row r="681" spans="1:11" ht="15.5" x14ac:dyDescent="0.35">
      <c r="A681" s="18" t="s">
        <v>109</v>
      </c>
      <c r="B681" s="67">
        <v>40000</v>
      </c>
    </row>
    <row r="682" spans="1:11" ht="15.5" x14ac:dyDescent="0.35">
      <c r="A682" s="24" t="s">
        <v>4</v>
      </c>
      <c r="B682" s="75">
        <f>SUM(B672:B681)</f>
        <v>440000</v>
      </c>
    </row>
    <row r="685" spans="1:11" ht="18.5" x14ac:dyDescent="0.45">
      <c r="A685" s="151" t="s">
        <v>1</v>
      </c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</row>
    <row r="686" spans="1:11" ht="18.5" x14ac:dyDescent="0.45">
      <c r="A686" s="150" t="s">
        <v>74</v>
      </c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</row>
    <row r="687" spans="1:11" ht="18.5" x14ac:dyDescent="0.45">
      <c r="A687" s="149">
        <v>46101</v>
      </c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</row>
    <row r="688" spans="1:11" ht="18.5" x14ac:dyDescent="0.45">
      <c r="A688" s="150"/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</row>
    <row r="689" spans="1:11" ht="18.5" x14ac:dyDescent="0.45">
      <c r="A689" s="2" t="s">
        <v>75</v>
      </c>
      <c r="B689" s="2" t="s">
        <v>3</v>
      </c>
      <c r="C689" s="2" t="s">
        <v>100</v>
      </c>
      <c r="D689" s="2" t="s">
        <v>90</v>
      </c>
      <c r="E689" s="2" t="s">
        <v>91</v>
      </c>
      <c r="F689" s="2" t="s">
        <v>4</v>
      </c>
      <c r="G689" s="2" t="s">
        <v>101</v>
      </c>
      <c r="H689" s="2" t="s">
        <v>104</v>
      </c>
      <c r="I689" s="2"/>
      <c r="J689" s="2" t="s">
        <v>105</v>
      </c>
      <c r="K689" s="2" t="s">
        <v>106</v>
      </c>
    </row>
    <row r="690" spans="1:11" ht="15.5" x14ac:dyDescent="0.35">
      <c r="A690" s="3" t="s">
        <v>76</v>
      </c>
      <c r="B690" s="1">
        <v>105</v>
      </c>
      <c r="C690" s="20">
        <v>17500</v>
      </c>
      <c r="D690" s="1">
        <v>45</v>
      </c>
      <c r="E690" s="1">
        <v>60</v>
      </c>
      <c r="F690" s="20">
        <f>C690*B690</f>
        <v>1837500</v>
      </c>
      <c r="G690" s="20">
        <f>D690*C690</f>
        <v>787500</v>
      </c>
      <c r="H690" s="20">
        <f>E690*C690</f>
        <v>1050000</v>
      </c>
      <c r="I690" s="20" t="b">
        <f>D690+E690=B690</f>
        <v>1</v>
      </c>
      <c r="J690" s="20">
        <f>B725</f>
        <v>440000</v>
      </c>
      <c r="K690" s="20" t="s">
        <v>117</v>
      </c>
    </row>
    <row r="691" spans="1:11" ht="15.5" x14ac:dyDescent="0.35">
      <c r="A691" s="3" t="s">
        <v>77</v>
      </c>
      <c r="B691" s="1">
        <v>12</v>
      </c>
      <c r="C691" s="20">
        <v>16000</v>
      </c>
      <c r="D691" s="1">
        <v>3</v>
      </c>
      <c r="E691" s="1">
        <v>9</v>
      </c>
      <c r="F691" s="20">
        <f t="shared" ref="F691:F702" si="110">C691*B691</f>
        <v>192000</v>
      </c>
      <c r="G691" s="20">
        <f t="shared" ref="G691:G702" si="111">D691*C691</f>
        <v>48000</v>
      </c>
      <c r="H691" s="20">
        <f t="shared" ref="H691:H706" si="112">E691*C691</f>
        <v>144000</v>
      </c>
      <c r="I691" s="20" t="b">
        <f t="shared" ref="I691:I706" si="113">D691+E691=B691</f>
        <v>1</v>
      </c>
      <c r="J691" s="20">
        <v>420000</v>
      </c>
      <c r="K691" s="20" t="s">
        <v>107</v>
      </c>
    </row>
    <row r="692" spans="1:11" ht="15.5" x14ac:dyDescent="0.35">
      <c r="A692" s="3" t="s">
        <v>78</v>
      </c>
      <c r="B692" s="1">
        <v>65</v>
      </c>
      <c r="C692" s="20">
        <v>17500</v>
      </c>
      <c r="D692" s="1">
        <v>26</v>
      </c>
      <c r="E692" s="1">
        <v>39</v>
      </c>
      <c r="F692" s="20">
        <f t="shared" si="110"/>
        <v>1137500</v>
      </c>
      <c r="G692" s="20">
        <f t="shared" si="111"/>
        <v>455000</v>
      </c>
      <c r="H692" s="20">
        <f t="shared" si="112"/>
        <v>682500</v>
      </c>
      <c r="I692" s="20" t="b">
        <f t="shared" si="113"/>
        <v>1</v>
      </c>
      <c r="J692" s="20">
        <v>115000</v>
      </c>
      <c r="K692" s="20" t="s">
        <v>140</v>
      </c>
    </row>
    <row r="693" spans="1:11" ht="15.5" x14ac:dyDescent="0.35">
      <c r="A693" s="3" t="s">
        <v>79</v>
      </c>
      <c r="B693" s="1">
        <v>30</v>
      </c>
      <c r="C693" s="20">
        <v>18500</v>
      </c>
      <c r="D693" s="1">
        <v>7</v>
      </c>
      <c r="E693" s="1">
        <v>23</v>
      </c>
      <c r="F693" s="20">
        <f t="shared" si="110"/>
        <v>555000</v>
      </c>
      <c r="G693" s="20">
        <f t="shared" si="111"/>
        <v>129500</v>
      </c>
      <c r="H693" s="20">
        <f t="shared" si="112"/>
        <v>425500</v>
      </c>
      <c r="I693" s="20" t="b">
        <f t="shared" si="113"/>
        <v>1</v>
      </c>
      <c r="J693" s="20"/>
      <c r="K693" s="20"/>
    </row>
    <row r="694" spans="1:11" ht="15.5" x14ac:dyDescent="0.35">
      <c r="A694" s="3" t="s">
        <v>80</v>
      </c>
      <c r="B694" s="1"/>
      <c r="C694" s="20">
        <v>18500</v>
      </c>
      <c r="D694" s="1"/>
      <c r="E694" s="1"/>
      <c r="F694" s="20">
        <f t="shared" si="110"/>
        <v>0</v>
      </c>
      <c r="G694" s="20">
        <f t="shared" si="111"/>
        <v>0</v>
      </c>
      <c r="H694" s="20">
        <f t="shared" si="112"/>
        <v>0</v>
      </c>
      <c r="I694" s="20" t="b">
        <f t="shared" si="113"/>
        <v>1</v>
      </c>
      <c r="J694" s="20"/>
      <c r="K694" s="20"/>
    </row>
    <row r="695" spans="1:11" ht="15.5" x14ac:dyDescent="0.35">
      <c r="A695" s="3" t="s">
        <v>81</v>
      </c>
      <c r="B695" s="1"/>
      <c r="C695" s="20">
        <v>23000</v>
      </c>
      <c r="D695" s="1"/>
      <c r="E695" s="1"/>
      <c r="F695" s="20">
        <f t="shared" si="110"/>
        <v>0</v>
      </c>
      <c r="G695" s="20">
        <f t="shared" si="111"/>
        <v>0</v>
      </c>
      <c r="H695" s="20">
        <f t="shared" si="112"/>
        <v>0</v>
      </c>
      <c r="I695" s="20" t="b">
        <f t="shared" si="113"/>
        <v>1</v>
      </c>
      <c r="J695" s="20"/>
      <c r="K695" s="20"/>
    </row>
    <row r="696" spans="1:11" ht="15.5" x14ac:dyDescent="0.35">
      <c r="A696" s="3" t="s">
        <v>82</v>
      </c>
      <c r="B696" s="1"/>
      <c r="C696" s="20">
        <v>18000</v>
      </c>
      <c r="D696" s="1"/>
      <c r="E696" s="1"/>
      <c r="F696" s="20">
        <f t="shared" si="110"/>
        <v>0</v>
      </c>
      <c r="G696" s="20">
        <f t="shared" si="111"/>
        <v>0</v>
      </c>
      <c r="H696" s="20">
        <f t="shared" si="112"/>
        <v>0</v>
      </c>
      <c r="I696" s="20" t="b">
        <f t="shared" si="113"/>
        <v>1</v>
      </c>
      <c r="J696" s="20"/>
      <c r="K696" s="20"/>
    </row>
    <row r="697" spans="1:11" ht="15.5" x14ac:dyDescent="0.35">
      <c r="A697" s="3" t="s">
        <v>83</v>
      </c>
      <c r="B697" s="1"/>
      <c r="C697" s="20">
        <v>18000</v>
      </c>
      <c r="D697" s="1"/>
      <c r="E697" s="1"/>
      <c r="F697" s="20">
        <f t="shared" si="110"/>
        <v>0</v>
      </c>
      <c r="G697" s="20">
        <f t="shared" si="111"/>
        <v>0</v>
      </c>
      <c r="H697" s="20">
        <f t="shared" si="112"/>
        <v>0</v>
      </c>
      <c r="I697" s="20" t="b">
        <f t="shared" si="113"/>
        <v>1</v>
      </c>
      <c r="J697" s="20"/>
      <c r="K697" s="20"/>
    </row>
    <row r="698" spans="1:11" ht="15.5" x14ac:dyDescent="0.35">
      <c r="A698" s="3" t="s">
        <v>84</v>
      </c>
      <c r="B698" s="1"/>
      <c r="C698" s="20">
        <v>18500</v>
      </c>
      <c r="D698" s="1"/>
      <c r="E698" s="1"/>
      <c r="F698" s="20">
        <f t="shared" si="110"/>
        <v>0</v>
      </c>
      <c r="G698" s="20">
        <f t="shared" si="111"/>
        <v>0</v>
      </c>
      <c r="H698" s="20">
        <f t="shared" si="112"/>
        <v>0</v>
      </c>
      <c r="I698" s="20" t="b">
        <f t="shared" si="113"/>
        <v>1</v>
      </c>
      <c r="J698" s="20"/>
      <c r="K698" s="20"/>
    </row>
    <row r="699" spans="1:11" ht="15.5" x14ac:dyDescent="0.35">
      <c r="A699" s="3" t="s">
        <v>85</v>
      </c>
      <c r="B699" s="1">
        <v>50</v>
      </c>
      <c r="C699" s="20">
        <v>18500</v>
      </c>
      <c r="D699" s="1">
        <v>22</v>
      </c>
      <c r="E699" s="1">
        <v>28</v>
      </c>
      <c r="F699" s="20">
        <f t="shared" si="110"/>
        <v>925000</v>
      </c>
      <c r="G699" s="20">
        <f t="shared" si="111"/>
        <v>407000</v>
      </c>
      <c r="H699" s="20">
        <f t="shared" si="112"/>
        <v>518000</v>
      </c>
      <c r="I699" s="20" t="b">
        <f t="shared" si="113"/>
        <v>1</v>
      </c>
      <c r="J699" s="20"/>
      <c r="K699" s="20"/>
    </row>
    <row r="700" spans="1:11" ht="15.5" x14ac:dyDescent="0.35">
      <c r="A700" s="3" t="s">
        <v>86</v>
      </c>
      <c r="B700" s="1">
        <v>13</v>
      </c>
      <c r="C700" s="20">
        <v>18500</v>
      </c>
      <c r="D700" s="1">
        <v>6</v>
      </c>
      <c r="E700" s="1">
        <v>7</v>
      </c>
      <c r="F700" s="20">
        <f t="shared" si="110"/>
        <v>240500</v>
      </c>
      <c r="G700" s="20">
        <f t="shared" si="111"/>
        <v>111000</v>
      </c>
      <c r="H700" s="20">
        <f t="shared" si="112"/>
        <v>129500</v>
      </c>
      <c r="I700" s="20" t="b">
        <f t="shared" si="113"/>
        <v>1</v>
      </c>
      <c r="J700" s="20"/>
      <c r="K700" s="20"/>
    </row>
    <row r="701" spans="1:11" ht="15.5" x14ac:dyDescent="0.35">
      <c r="A701" s="3" t="s">
        <v>87</v>
      </c>
      <c r="B701" s="1"/>
      <c r="C701" s="20">
        <v>18500</v>
      </c>
      <c r="D701" s="1"/>
      <c r="E701" s="1"/>
      <c r="F701" s="20">
        <f t="shared" si="110"/>
        <v>0</v>
      </c>
      <c r="G701" s="20">
        <f t="shared" si="111"/>
        <v>0</v>
      </c>
      <c r="H701" s="20">
        <f t="shared" si="112"/>
        <v>0</v>
      </c>
      <c r="I701" s="20" t="b">
        <f t="shared" si="113"/>
        <v>1</v>
      </c>
      <c r="J701" s="20"/>
      <c r="K701" s="20"/>
    </row>
    <row r="702" spans="1:11" ht="15.5" x14ac:dyDescent="0.35">
      <c r="A702" s="3" t="s">
        <v>88</v>
      </c>
      <c r="B702" s="1">
        <v>7</v>
      </c>
      <c r="C702" s="20">
        <v>18500</v>
      </c>
      <c r="D702" s="1">
        <v>4</v>
      </c>
      <c r="E702" s="1">
        <v>3</v>
      </c>
      <c r="F702" s="20">
        <f t="shared" si="110"/>
        <v>129500</v>
      </c>
      <c r="G702" s="20">
        <f t="shared" si="111"/>
        <v>74000</v>
      </c>
      <c r="H702" s="20">
        <f t="shared" si="112"/>
        <v>55500</v>
      </c>
      <c r="I702" s="20" t="b">
        <f t="shared" si="113"/>
        <v>1</v>
      </c>
      <c r="J702" s="20"/>
      <c r="K702" s="20"/>
    </row>
    <row r="703" spans="1:11" ht="15.5" x14ac:dyDescent="0.35">
      <c r="A703" s="19" t="s">
        <v>89</v>
      </c>
      <c r="B703" s="1"/>
      <c r="C703" s="20"/>
      <c r="D703" s="1"/>
      <c r="E703" s="1"/>
      <c r="F703" s="20"/>
      <c r="G703" s="20"/>
      <c r="H703" s="20">
        <f t="shared" si="112"/>
        <v>0</v>
      </c>
      <c r="I703" s="20" t="b">
        <f t="shared" si="113"/>
        <v>1</v>
      </c>
      <c r="J703" s="20"/>
      <c r="K703" s="20"/>
    </row>
    <row r="704" spans="1:11" ht="15.5" x14ac:dyDescent="0.35">
      <c r="A704" s="3" t="s">
        <v>92</v>
      </c>
      <c r="B704" s="1">
        <v>26</v>
      </c>
      <c r="C704" s="20">
        <v>21500</v>
      </c>
      <c r="D704" s="1">
        <v>11</v>
      </c>
      <c r="E704" s="1">
        <v>15</v>
      </c>
      <c r="F704" s="20">
        <f t="shared" ref="F704:F706" si="114">C704*B704</f>
        <v>559000</v>
      </c>
      <c r="G704" s="20">
        <f t="shared" ref="G704:G706" si="115">D704*C704</f>
        <v>236500</v>
      </c>
      <c r="H704" s="20">
        <f t="shared" si="112"/>
        <v>322500</v>
      </c>
      <c r="I704" s="20" t="b">
        <f t="shared" si="113"/>
        <v>1</v>
      </c>
      <c r="J704" s="20"/>
      <c r="K704" s="20"/>
    </row>
    <row r="705" spans="1:11" ht="15.5" x14ac:dyDescent="0.35">
      <c r="A705" s="3" t="s">
        <v>93</v>
      </c>
      <c r="B705" s="1"/>
      <c r="C705" s="20">
        <v>21500</v>
      </c>
      <c r="D705" s="1"/>
      <c r="E705" s="1"/>
      <c r="F705" s="20">
        <f t="shared" si="114"/>
        <v>0</v>
      </c>
      <c r="G705" s="20">
        <f t="shared" si="115"/>
        <v>0</v>
      </c>
      <c r="H705" s="20">
        <f t="shared" si="112"/>
        <v>0</v>
      </c>
      <c r="I705" s="20" t="b">
        <f t="shared" si="113"/>
        <v>1</v>
      </c>
      <c r="J705" s="20"/>
      <c r="K705" s="20"/>
    </row>
    <row r="706" spans="1:11" ht="15.5" x14ac:dyDescent="0.35">
      <c r="A706" s="3" t="s">
        <v>94</v>
      </c>
      <c r="B706" s="1">
        <v>37</v>
      </c>
      <c r="C706" s="20">
        <v>21500</v>
      </c>
      <c r="D706" s="1">
        <v>18</v>
      </c>
      <c r="E706" s="1">
        <v>19</v>
      </c>
      <c r="F706" s="20">
        <f t="shared" si="114"/>
        <v>795500</v>
      </c>
      <c r="G706" s="20">
        <f t="shared" si="115"/>
        <v>387000</v>
      </c>
      <c r="H706" s="20">
        <f t="shared" si="112"/>
        <v>408500</v>
      </c>
      <c r="I706" s="20" t="b">
        <f t="shared" si="113"/>
        <v>1</v>
      </c>
      <c r="J706" s="20"/>
      <c r="K706" s="20"/>
    </row>
    <row r="707" spans="1:11" ht="15.5" x14ac:dyDescent="0.35">
      <c r="A707" s="19"/>
      <c r="B707" s="22">
        <f>SUM(B690:B706)</f>
        <v>345</v>
      </c>
      <c r="C707" s="20"/>
      <c r="D707" s="1"/>
      <c r="E707" s="1"/>
      <c r="F707" s="23">
        <f>SUM(F690:F706)</f>
        <v>6371500</v>
      </c>
      <c r="G707" s="23">
        <f>SUM(G690:G706)</f>
        <v>2635500</v>
      </c>
      <c r="H707" s="23">
        <f>SUM(H690:H706)</f>
        <v>3736000</v>
      </c>
      <c r="I707" s="23"/>
      <c r="J707" s="23">
        <f>SUM(J690:J706)</f>
        <v>975000</v>
      </c>
      <c r="K707" s="23">
        <f>H707-J707</f>
        <v>2761000</v>
      </c>
    </row>
    <row r="708" spans="1:11" ht="15.5" x14ac:dyDescent="0.35">
      <c r="A708" s="19" t="s">
        <v>95</v>
      </c>
      <c r="B708" s="1"/>
      <c r="C708" s="20"/>
      <c r="D708" s="1"/>
      <c r="E708" s="1"/>
      <c r="F708" s="20"/>
      <c r="G708" s="20"/>
      <c r="H708" s="20" t="s">
        <v>192</v>
      </c>
      <c r="I708" s="20"/>
      <c r="J708" s="20"/>
      <c r="K708" s="20"/>
    </row>
    <row r="709" spans="1:11" ht="15.5" x14ac:dyDescent="0.35">
      <c r="A709" s="3" t="s">
        <v>96</v>
      </c>
      <c r="B709" s="1"/>
      <c r="C709" s="20">
        <v>3000</v>
      </c>
      <c r="D709" s="1"/>
      <c r="E709" s="20"/>
      <c r="F709" s="20">
        <f t="shared" ref="F709:F712" si="116">C709*B709</f>
        <v>0</v>
      </c>
      <c r="G709" s="20"/>
      <c r="H709" s="20"/>
      <c r="I709" s="20"/>
      <c r="J709" s="20"/>
      <c r="K709" s="20"/>
    </row>
    <row r="710" spans="1:11" ht="15.5" x14ac:dyDescent="0.35">
      <c r="A710" s="3" t="s">
        <v>97</v>
      </c>
      <c r="B710" s="1"/>
      <c r="C710" s="20">
        <v>2500</v>
      </c>
      <c r="D710" s="1"/>
      <c r="E710" s="1"/>
      <c r="F710" s="20">
        <f t="shared" si="116"/>
        <v>0</v>
      </c>
      <c r="G710" s="20"/>
      <c r="H710" s="20"/>
      <c r="I710" s="20"/>
      <c r="J710" s="20"/>
      <c r="K710" s="20"/>
    </row>
    <row r="711" spans="1:11" ht="15.5" x14ac:dyDescent="0.35">
      <c r="A711" s="3" t="s">
        <v>98</v>
      </c>
      <c r="B711" s="1"/>
      <c r="C711" s="20">
        <v>1800</v>
      </c>
      <c r="D711" s="1"/>
      <c r="E711" s="1"/>
      <c r="F711" s="20">
        <f t="shared" si="116"/>
        <v>0</v>
      </c>
      <c r="G711" s="20"/>
      <c r="H711" s="20"/>
      <c r="I711" s="20"/>
      <c r="J711" s="20"/>
      <c r="K711" s="20"/>
    </row>
    <row r="712" spans="1:11" ht="15.5" x14ac:dyDescent="0.35">
      <c r="A712" s="3" t="s">
        <v>99</v>
      </c>
      <c r="B712" s="1">
        <v>2</v>
      </c>
      <c r="C712" s="20">
        <v>3500</v>
      </c>
      <c r="D712" s="1">
        <v>2</v>
      </c>
      <c r="E712" s="1"/>
      <c r="F712" s="20">
        <f t="shared" si="116"/>
        <v>7000</v>
      </c>
      <c r="G712" s="20"/>
      <c r="H712" s="20"/>
      <c r="I712" s="20"/>
      <c r="J712" s="20"/>
      <c r="K712" s="20"/>
    </row>
    <row r="713" spans="1:11" ht="15.5" x14ac:dyDescent="0.35">
      <c r="A713" s="18"/>
      <c r="F713" s="21"/>
    </row>
    <row r="714" spans="1:11" ht="15.5" x14ac:dyDescent="0.35">
      <c r="A714" s="24" t="s">
        <v>108</v>
      </c>
      <c r="K714" s="21"/>
    </row>
    <row r="715" spans="1:11" ht="15.5" x14ac:dyDescent="0.35">
      <c r="A715" s="18" t="s">
        <v>114</v>
      </c>
      <c r="B715" s="67">
        <v>40000</v>
      </c>
    </row>
    <row r="716" spans="1:11" ht="15.5" x14ac:dyDescent="0.35">
      <c r="A716" s="18" t="s">
        <v>112</v>
      </c>
      <c r="B716" s="67">
        <v>40000</v>
      </c>
    </row>
    <row r="717" spans="1:11" ht="15.5" x14ac:dyDescent="0.35">
      <c r="A717" s="18" t="s">
        <v>309</v>
      </c>
      <c r="B717" s="67">
        <v>60000</v>
      </c>
    </row>
    <row r="718" spans="1:11" ht="15.5" x14ac:dyDescent="0.35">
      <c r="A718" s="18" t="s">
        <v>110</v>
      </c>
      <c r="B718" s="67">
        <v>40000</v>
      </c>
    </row>
    <row r="719" spans="1:11" ht="15.5" x14ac:dyDescent="0.35">
      <c r="A719" s="18" t="s">
        <v>111</v>
      </c>
      <c r="B719" s="67">
        <v>40000</v>
      </c>
    </row>
    <row r="720" spans="1:11" ht="15.5" x14ac:dyDescent="0.35">
      <c r="A720" s="18" t="s">
        <v>196</v>
      </c>
      <c r="B720" s="67">
        <v>40000</v>
      </c>
    </row>
    <row r="721" spans="1:11" ht="15.5" x14ac:dyDescent="0.35">
      <c r="A721" s="18" t="s">
        <v>113</v>
      </c>
      <c r="B721" s="67">
        <v>40000</v>
      </c>
    </row>
    <row r="722" spans="1:11" ht="15.5" x14ac:dyDescent="0.35">
      <c r="A722" s="18" t="s">
        <v>209</v>
      </c>
      <c r="B722" s="67">
        <v>40000</v>
      </c>
    </row>
    <row r="723" spans="1:11" ht="15.5" x14ac:dyDescent="0.35">
      <c r="A723" s="18" t="s">
        <v>115</v>
      </c>
      <c r="B723" s="67">
        <v>60000</v>
      </c>
    </row>
    <row r="724" spans="1:11" ht="15.5" x14ac:dyDescent="0.35">
      <c r="A724" s="18" t="s">
        <v>109</v>
      </c>
      <c r="B724" s="67">
        <v>40000</v>
      </c>
    </row>
    <row r="725" spans="1:11" ht="15.5" x14ac:dyDescent="0.35">
      <c r="A725" s="24" t="s">
        <v>4</v>
      </c>
      <c r="B725" s="75">
        <f>SUM(B715:B724)</f>
        <v>440000</v>
      </c>
    </row>
    <row r="728" spans="1:11" ht="18.5" x14ac:dyDescent="0.45">
      <c r="A728" s="151" t="s">
        <v>1</v>
      </c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</row>
    <row r="729" spans="1:11" ht="18.5" x14ac:dyDescent="0.45">
      <c r="A729" s="150" t="s">
        <v>74</v>
      </c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</row>
    <row r="730" spans="1:11" ht="18.5" x14ac:dyDescent="0.45">
      <c r="A730" s="149">
        <v>46102</v>
      </c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</row>
    <row r="731" spans="1:11" ht="18.5" x14ac:dyDescent="0.45">
      <c r="A731" s="150"/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</row>
    <row r="732" spans="1:11" ht="18.5" x14ac:dyDescent="0.45">
      <c r="A732" s="2" t="s">
        <v>75</v>
      </c>
      <c r="B732" s="2" t="s">
        <v>3</v>
      </c>
      <c r="C732" s="2" t="s">
        <v>100</v>
      </c>
      <c r="D732" s="2" t="s">
        <v>90</v>
      </c>
      <c r="E732" s="2" t="s">
        <v>91</v>
      </c>
      <c r="F732" s="2" t="s">
        <v>4</v>
      </c>
      <c r="G732" s="2" t="s">
        <v>101</v>
      </c>
      <c r="H732" s="2" t="s">
        <v>104</v>
      </c>
      <c r="I732" s="2"/>
      <c r="J732" s="2" t="s">
        <v>105</v>
      </c>
      <c r="K732" s="2" t="s">
        <v>106</v>
      </c>
    </row>
    <row r="733" spans="1:11" ht="15.5" x14ac:dyDescent="0.35">
      <c r="A733" s="3" t="s">
        <v>76</v>
      </c>
      <c r="B733" s="1">
        <v>70</v>
      </c>
      <c r="C733" s="20">
        <v>17500</v>
      </c>
      <c r="D733" s="1">
        <v>33</v>
      </c>
      <c r="E733" s="1">
        <v>37</v>
      </c>
      <c r="F733" s="20">
        <f>C733*B733</f>
        <v>1225000</v>
      </c>
      <c r="G733" s="20">
        <f>D733*C733</f>
        <v>577500</v>
      </c>
      <c r="H733" s="20">
        <f>E733*C733</f>
        <v>647500</v>
      </c>
      <c r="I733" s="20" t="b">
        <f>D733+E733=B733</f>
        <v>1</v>
      </c>
      <c r="J733" s="20">
        <f>B762</f>
        <v>240000</v>
      </c>
      <c r="K733" s="20" t="s">
        <v>117</v>
      </c>
    </row>
    <row r="734" spans="1:11" ht="15.5" x14ac:dyDescent="0.35">
      <c r="A734" s="3" t="s">
        <v>77</v>
      </c>
      <c r="B734" s="1">
        <v>25</v>
      </c>
      <c r="C734" s="20">
        <v>16000</v>
      </c>
      <c r="D734" s="1">
        <v>14</v>
      </c>
      <c r="E734" s="1">
        <v>11</v>
      </c>
      <c r="F734" s="20">
        <f t="shared" ref="F734:F745" si="117">C734*B734</f>
        <v>400000</v>
      </c>
      <c r="G734" s="20">
        <f t="shared" ref="G734:G745" si="118">D734*C734</f>
        <v>224000</v>
      </c>
      <c r="H734" s="20">
        <f t="shared" ref="H734:H749" si="119">E734*C734</f>
        <v>176000</v>
      </c>
      <c r="I734" s="20" t="b">
        <f t="shared" ref="I734:I749" si="120">D734+E734=B734</f>
        <v>1</v>
      </c>
      <c r="J734" s="20">
        <v>300000</v>
      </c>
      <c r="K734" s="20" t="s">
        <v>399</v>
      </c>
    </row>
    <row r="735" spans="1:11" ht="15.5" x14ac:dyDescent="0.35">
      <c r="A735" s="3" t="s">
        <v>78</v>
      </c>
      <c r="B735" s="1">
        <v>40</v>
      </c>
      <c r="C735" s="20">
        <v>17500</v>
      </c>
      <c r="D735" s="1">
        <v>17</v>
      </c>
      <c r="E735" s="1">
        <v>23</v>
      </c>
      <c r="F735" s="20">
        <f t="shared" si="117"/>
        <v>700000</v>
      </c>
      <c r="G735" s="20">
        <f t="shared" si="118"/>
        <v>297500</v>
      </c>
      <c r="H735" s="20">
        <f t="shared" si="119"/>
        <v>402500</v>
      </c>
      <c r="I735" s="20" t="b">
        <f t="shared" si="120"/>
        <v>1</v>
      </c>
      <c r="J735" s="20"/>
      <c r="K735" s="20"/>
    </row>
    <row r="736" spans="1:11" ht="15.5" x14ac:dyDescent="0.35">
      <c r="A736" s="3" t="s">
        <v>79</v>
      </c>
      <c r="B736" s="1">
        <v>7</v>
      </c>
      <c r="C736" s="20">
        <v>18500</v>
      </c>
      <c r="D736" s="1">
        <v>4</v>
      </c>
      <c r="E736" s="1">
        <v>3</v>
      </c>
      <c r="F736" s="20">
        <f t="shared" si="117"/>
        <v>129500</v>
      </c>
      <c r="G736" s="20">
        <f t="shared" si="118"/>
        <v>74000</v>
      </c>
      <c r="H736" s="20">
        <f t="shared" si="119"/>
        <v>55500</v>
      </c>
      <c r="I736" s="20" t="b">
        <f t="shared" si="120"/>
        <v>1</v>
      </c>
      <c r="J736" s="20"/>
      <c r="K736" s="20"/>
    </row>
    <row r="737" spans="1:11" ht="15.5" x14ac:dyDescent="0.35">
      <c r="A737" s="3" t="s">
        <v>80</v>
      </c>
      <c r="B737" s="1">
        <v>15</v>
      </c>
      <c r="C737" s="20">
        <v>18500</v>
      </c>
      <c r="D737" s="1">
        <v>9</v>
      </c>
      <c r="E737" s="1">
        <v>6</v>
      </c>
      <c r="F737" s="20">
        <f t="shared" si="117"/>
        <v>277500</v>
      </c>
      <c r="G737" s="20">
        <f t="shared" si="118"/>
        <v>166500</v>
      </c>
      <c r="H737" s="20">
        <f t="shared" si="119"/>
        <v>111000</v>
      </c>
      <c r="I737" s="20" t="b">
        <f t="shared" si="120"/>
        <v>1</v>
      </c>
      <c r="J737" s="20"/>
      <c r="K737" s="20"/>
    </row>
    <row r="738" spans="1:11" ht="15.5" x14ac:dyDescent="0.35">
      <c r="A738" s="3" t="s">
        <v>81</v>
      </c>
      <c r="B738" s="1">
        <v>8</v>
      </c>
      <c r="C738" s="20">
        <v>23000</v>
      </c>
      <c r="D738" s="1">
        <v>3</v>
      </c>
      <c r="E738" s="1">
        <v>5</v>
      </c>
      <c r="F738" s="20">
        <f t="shared" si="117"/>
        <v>184000</v>
      </c>
      <c r="G738" s="20">
        <f t="shared" si="118"/>
        <v>69000</v>
      </c>
      <c r="H738" s="20">
        <f t="shared" si="119"/>
        <v>115000</v>
      </c>
      <c r="I738" s="20" t="b">
        <f t="shared" si="120"/>
        <v>1</v>
      </c>
      <c r="J738" s="20"/>
      <c r="K738" s="20"/>
    </row>
    <row r="739" spans="1:11" ht="15.5" x14ac:dyDescent="0.35">
      <c r="A739" s="3" t="s">
        <v>82</v>
      </c>
      <c r="B739" s="1"/>
      <c r="C739" s="20">
        <v>18000</v>
      </c>
      <c r="D739" s="1"/>
      <c r="E739" s="1"/>
      <c r="F739" s="20">
        <f t="shared" si="117"/>
        <v>0</v>
      </c>
      <c r="G739" s="20">
        <f t="shared" si="118"/>
        <v>0</v>
      </c>
      <c r="H739" s="20">
        <f t="shared" si="119"/>
        <v>0</v>
      </c>
      <c r="I739" s="20" t="b">
        <f t="shared" si="120"/>
        <v>1</v>
      </c>
      <c r="J739" s="20"/>
      <c r="K739" s="20"/>
    </row>
    <row r="740" spans="1:11" ht="15.5" x14ac:dyDescent="0.35">
      <c r="A740" s="3" t="s">
        <v>83</v>
      </c>
      <c r="B740" s="1"/>
      <c r="C740" s="20">
        <v>18000</v>
      </c>
      <c r="D740" s="1"/>
      <c r="E740" s="1"/>
      <c r="F740" s="20">
        <f t="shared" si="117"/>
        <v>0</v>
      </c>
      <c r="G740" s="20">
        <f t="shared" si="118"/>
        <v>0</v>
      </c>
      <c r="H740" s="20">
        <f t="shared" si="119"/>
        <v>0</v>
      </c>
      <c r="I740" s="20" t="b">
        <f t="shared" si="120"/>
        <v>1</v>
      </c>
      <c r="J740" s="20"/>
      <c r="K740" s="20"/>
    </row>
    <row r="741" spans="1:11" ht="15.5" x14ac:dyDescent="0.35">
      <c r="A741" s="3" t="s">
        <v>84</v>
      </c>
      <c r="B741" s="1"/>
      <c r="C741" s="20">
        <v>18500</v>
      </c>
      <c r="D741" s="1"/>
      <c r="E741" s="1"/>
      <c r="F741" s="20">
        <f t="shared" si="117"/>
        <v>0</v>
      </c>
      <c r="G741" s="20">
        <f t="shared" si="118"/>
        <v>0</v>
      </c>
      <c r="H741" s="20">
        <f t="shared" si="119"/>
        <v>0</v>
      </c>
      <c r="I741" s="20" t="b">
        <f t="shared" si="120"/>
        <v>1</v>
      </c>
      <c r="J741" s="20"/>
      <c r="K741" s="20"/>
    </row>
    <row r="742" spans="1:11" ht="15.5" x14ac:dyDescent="0.35">
      <c r="A742" s="3" t="s">
        <v>85</v>
      </c>
      <c r="B742" s="1">
        <v>24</v>
      </c>
      <c r="C742" s="20">
        <v>18500</v>
      </c>
      <c r="D742" s="1">
        <v>6</v>
      </c>
      <c r="E742" s="1">
        <v>18</v>
      </c>
      <c r="F742" s="20">
        <f t="shared" si="117"/>
        <v>444000</v>
      </c>
      <c r="G742" s="20">
        <f t="shared" si="118"/>
        <v>111000</v>
      </c>
      <c r="H742" s="20">
        <f t="shared" si="119"/>
        <v>333000</v>
      </c>
      <c r="I742" s="20" t="b">
        <f t="shared" si="120"/>
        <v>1</v>
      </c>
      <c r="J742" s="20"/>
      <c r="K742" s="20"/>
    </row>
    <row r="743" spans="1:11" ht="15.5" x14ac:dyDescent="0.35">
      <c r="A743" s="3" t="s">
        <v>86</v>
      </c>
      <c r="B743" s="1">
        <v>10</v>
      </c>
      <c r="C743" s="20">
        <v>18500</v>
      </c>
      <c r="D743" s="1">
        <v>7</v>
      </c>
      <c r="E743" s="1">
        <v>3</v>
      </c>
      <c r="F743" s="20">
        <f t="shared" si="117"/>
        <v>185000</v>
      </c>
      <c r="G743" s="20">
        <f t="shared" si="118"/>
        <v>129500</v>
      </c>
      <c r="H743" s="20">
        <f t="shared" si="119"/>
        <v>55500</v>
      </c>
      <c r="I743" s="20" t="b">
        <f t="shared" si="120"/>
        <v>1</v>
      </c>
      <c r="J743" s="20"/>
      <c r="K743" s="20"/>
    </row>
    <row r="744" spans="1:11" ht="15.5" x14ac:dyDescent="0.35">
      <c r="A744" s="3" t="s">
        <v>87</v>
      </c>
      <c r="B744" s="1"/>
      <c r="C744" s="20">
        <v>18500</v>
      </c>
      <c r="D744" s="1"/>
      <c r="E744" s="1"/>
      <c r="F744" s="20">
        <f t="shared" si="117"/>
        <v>0</v>
      </c>
      <c r="G744" s="20">
        <f t="shared" si="118"/>
        <v>0</v>
      </c>
      <c r="H744" s="20">
        <f t="shared" si="119"/>
        <v>0</v>
      </c>
      <c r="I744" s="20" t="b">
        <f t="shared" si="120"/>
        <v>1</v>
      </c>
      <c r="J744" s="20"/>
      <c r="K744" s="20"/>
    </row>
    <row r="745" spans="1:11" ht="15.5" x14ac:dyDescent="0.35">
      <c r="A745" s="3" t="s">
        <v>88</v>
      </c>
      <c r="B745" s="1"/>
      <c r="C745" s="20">
        <v>18500</v>
      </c>
      <c r="D745" s="1"/>
      <c r="E745" s="1"/>
      <c r="F745" s="20">
        <f t="shared" si="117"/>
        <v>0</v>
      </c>
      <c r="G745" s="20">
        <f t="shared" si="118"/>
        <v>0</v>
      </c>
      <c r="H745" s="20">
        <f t="shared" si="119"/>
        <v>0</v>
      </c>
      <c r="I745" s="20" t="b">
        <f t="shared" si="120"/>
        <v>1</v>
      </c>
      <c r="J745" s="20"/>
      <c r="K745" s="20"/>
    </row>
    <row r="746" spans="1:11" ht="15.5" x14ac:dyDescent="0.35">
      <c r="A746" s="19" t="s">
        <v>89</v>
      </c>
      <c r="B746" s="1"/>
      <c r="C746" s="20"/>
      <c r="D746" s="1"/>
      <c r="E746" s="1"/>
      <c r="F746" s="20"/>
      <c r="G746" s="20"/>
      <c r="H746" s="20">
        <f t="shared" si="119"/>
        <v>0</v>
      </c>
      <c r="I746" s="20" t="b">
        <f t="shared" si="120"/>
        <v>1</v>
      </c>
      <c r="J746" s="20"/>
      <c r="K746" s="20"/>
    </row>
    <row r="747" spans="1:11" ht="15.5" x14ac:dyDescent="0.35">
      <c r="A747" s="3" t="s">
        <v>92</v>
      </c>
      <c r="B747" s="1">
        <v>27</v>
      </c>
      <c r="C747" s="20">
        <v>21500</v>
      </c>
      <c r="D747" s="1">
        <v>17</v>
      </c>
      <c r="E747" s="1">
        <v>10</v>
      </c>
      <c r="F747" s="20">
        <f t="shared" ref="F747:F749" si="121">C747*B747</f>
        <v>580500</v>
      </c>
      <c r="G747" s="20">
        <f t="shared" ref="G747:G749" si="122">D747*C747</f>
        <v>365500</v>
      </c>
      <c r="H747" s="20">
        <f t="shared" si="119"/>
        <v>215000</v>
      </c>
      <c r="I747" s="20" t="b">
        <f t="shared" si="120"/>
        <v>1</v>
      </c>
      <c r="J747" s="20"/>
      <c r="K747" s="20"/>
    </row>
    <row r="748" spans="1:11" ht="15.5" x14ac:dyDescent="0.35">
      <c r="A748" s="3" t="s">
        <v>93</v>
      </c>
      <c r="B748" s="1">
        <v>12</v>
      </c>
      <c r="C748" s="20">
        <v>21500</v>
      </c>
      <c r="D748" s="1">
        <v>6</v>
      </c>
      <c r="E748" s="1">
        <v>6</v>
      </c>
      <c r="F748" s="20">
        <f t="shared" si="121"/>
        <v>258000</v>
      </c>
      <c r="G748" s="20">
        <f t="shared" si="122"/>
        <v>129000</v>
      </c>
      <c r="H748" s="20">
        <f t="shared" si="119"/>
        <v>129000</v>
      </c>
      <c r="I748" s="20" t="b">
        <f t="shared" si="120"/>
        <v>1</v>
      </c>
      <c r="J748" s="20"/>
      <c r="K748" s="20"/>
    </row>
    <row r="749" spans="1:11" ht="15.5" x14ac:dyDescent="0.35">
      <c r="A749" s="3" t="s">
        <v>94</v>
      </c>
      <c r="B749" s="1"/>
      <c r="C749" s="20">
        <v>21500</v>
      </c>
      <c r="D749" s="1"/>
      <c r="E749" s="1"/>
      <c r="F749" s="20">
        <f t="shared" si="121"/>
        <v>0</v>
      </c>
      <c r="G749" s="20">
        <f t="shared" si="122"/>
        <v>0</v>
      </c>
      <c r="H749" s="20">
        <f t="shared" si="119"/>
        <v>0</v>
      </c>
      <c r="I749" s="20" t="b">
        <f t="shared" si="120"/>
        <v>1</v>
      </c>
      <c r="J749" s="20"/>
      <c r="K749" s="20"/>
    </row>
    <row r="750" spans="1:11" ht="15.5" x14ac:dyDescent="0.35">
      <c r="A750" s="19"/>
      <c r="B750" s="22">
        <f>SUM(B733:B749)</f>
        <v>238</v>
      </c>
      <c r="C750" s="20"/>
      <c r="D750" s="1"/>
      <c r="E750" s="1"/>
      <c r="F750" s="23">
        <f>SUM(F733:F749)</f>
        <v>4383500</v>
      </c>
      <c r="G750" s="23">
        <f>SUM(G733:G749)</f>
        <v>2143500</v>
      </c>
      <c r="H750" s="23">
        <f>SUM(H733:H749)</f>
        <v>2240000</v>
      </c>
      <c r="I750" s="23"/>
      <c r="J750" s="23">
        <f>SUM(J733:J749)</f>
        <v>540000</v>
      </c>
      <c r="K750" s="23">
        <f>H750-J750</f>
        <v>1700000</v>
      </c>
    </row>
    <row r="751" spans="1:11" ht="15.5" x14ac:dyDescent="0.35">
      <c r="A751" s="19" t="s">
        <v>95</v>
      </c>
      <c r="B751" s="1"/>
      <c r="C751" s="20"/>
      <c r="D751" s="1"/>
      <c r="E751" s="1"/>
      <c r="F751" s="20"/>
      <c r="G751" s="20"/>
      <c r="H751" s="20" t="s">
        <v>192</v>
      </c>
      <c r="I751" s="20"/>
      <c r="J751" s="20"/>
      <c r="K751" s="20"/>
    </row>
    <row r="752" spans="1:11" ht="15.5" x14ac:dyDescent="0.35">
      <c r="A752" s="3" t="s">
        <v>96</v>
      </c>
      <c r="B752" s="1"/>
      <c r="C752" s="20">
        <v>3000</v>
      </c>
      <c r="D752" s="1"/>
      <c r="E752" s="20"/>
      <c r="F752" s="20">
        <f t="shared" ref="F752:F755" si="123">C752*B752</f>
        <v>0</v>
      </c>
      <c r="G752" s="20"/>
      <c r="H752" s="20"/>
      <c r="I752" s="20"/>
      <c r="J752" s="20"/>
      <c r="K752" s="20"/>
    </row>
    <row r="753" spans="1:11" ht="15.5" x14ac:dyDescent="0.35">
      <c r="A753" s="3" t="s">
        <v>97</v>
      </c>
      <c r="B753" s="1"/>
      <c r="C753" s="20">
        <v>2500</v>
      </c>
      <c r="D753" s="1"/>
      <c r="E753" s="1"/>
      <c r="F753" s="20">
        <f t="shared" si="123"/>
        <v>0</v>
      </c>
      <c r="G753" s="20"/>
      <c r="H753" s="20"/>
      <c r="I753" s="20"/>
      <c r="J753" s="20"/>
      <c r="K753" s="20"/>
    </row>
    <row r="754" spans="1:11" ht="15.5" x14ac:dyDescent="0.35">
      <c r="A754" s="3" t="s">
        <v>98</v>
      </c>
      <c r="B754" s="1"/>
      <c r="C754" s="20">
        <v>1800</v>
      </c>
      <c r="D754" s="1"/>
      <c r="E754" s="1"/>
      <c r="F754" s="20">
        <f t="shared" si="123"/>
        <v>0</v>
      </c>
      <c r="G754" s="20"/>
      <c r="H754" s="20"/>
      <c r="I754" s="20"/>
      <c r="J754" s="20"/>
      <c r="K754" s="20"/>
    </row>
    <row r="755" spans="1:11" ht="15.5" x14ac:dyDescent="0.35">
      <c r="A755" s="3" t="s">
        <v>99</v>
      </c>
      <c r="B755" s="1">
        <v>3</v>
      </c>
      <c r="C755" s="20">
        <v>3500</v>
      </c>
      <c r="D755" s="1">
        <v>2</v>
      </c>
      <c r="E755" s="1">
        <v>1</v>
      </c>
      <c r="F755" s="20">
        <f t="shared" si="123"/>
        <v>10500</v>
      </c>
      <c r="G755" s="20"/>
      <c r="H755" s="20"/>
      <c r="I755" s="20"/>
      <c r="J755" s="20"/>
      <c r="K755" s="20"/>
    </row>
    <row r="756" spans="1:11" ht="15.5" x14ac:dyDescent="0.35">
      <c r="A756" s="18"/>
      <c r="F756" s="21"/>
    </row>
    <row r="757" spans="1:11" ht="15.5" x14ac:dyDescent="0.35">
      <c r="A757" s="24" t="s">
        <v>108</v>
      </c>
      <c r="K757" s="21"/>
    </row>
    <row r="758" spans="1:11" ht="15.5" x14ac:dyDescent="0.35">
      <c r="A758" s="18" t="s">
        <v>114</v>
      </c>
      <c r="B758" s="67">
        <v>60000</v>
      </c>
    </row>
    <row r="759" spans="1:11" ht="15.5" x14ac:dyDescent="0.35">
      <c r="A759" s="18" t="s">
        <v>112</v>
      </c>
      <c r="B759" s="67">
        <v>60000</v>
      </c>
    </row>
    <row r="760" spans="1:11" ht="15.5" x14ac:dyDescent="0.35">
      <c r="A760" s="18" t="s">
        <v>111</v>
      </c>
      <c r="B760" s="67">
        <v>60000</v>
      </c>
    </row>
    <row r="761" spans="1:11" ht="15.5" x14ac:dyDescent="0.35">
      <c r="A761" s="18" t="s">
        <v>196</v>
      </c>
      <c r="B761" s="67">
        <v>60000</v>
      </c>
    </row>
    <row r="762" spans="1:11" ht="15.5" x14ac:dyDescent="0.35">
      <c r="A762" s="24" t="s">
        <v>4</v>
      </c>
      <c r="B762" s="75">
        <f>SUM(B758:B761)</f>
        <v>240000</v>
      </c>
    </row>
    <row r="765" spans="1:11" ht="18.5" x14ac:dyDescent="0.45">
      <c r="A765" s="151" t="s">
        <v>1</v>
      </c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</row>
    <row r="766" spans="1:11" ht="18.5" x14ac:dyDescent="0.45">
      <c r="A766" s="150" t="s">
        <v>74</v>
      </c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</row>
    <row r="767" spans="1:11" ht="18.5" x14ac:dyDescent="0.45">
      <c r="A767" s="149">
        <v>46105</v>
      </c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</row>
    <row r="768" spans="1:11" ht="18.5" x14ac:dyDescent="0.45">
      <c r="A768" s="150"/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</row>
    <row r="769" spans="1:11" ht="18.5" x14ac:dyDescent="0.45">
      <c r="A769" s="2" t="s">
        <v>75</v>
      </c>
      <c r="B769" s="2" t="s">
        <v>3</v>
      </c>
      <c r="C769" s="2" t="s">
        <v>100</v>
      </c>
      <c r="D769" s="2" t="s">
        <v>90</v>
      </c>
      <c r="E769" s="2" t="s">
        <v>91</v>
      </c>
      <c r="F769" s="2" t="s">
        <v>4</v>
      </c>
      <c r="G769" s="2" t="s">
        <v>101</v>
      </c>
      <c r="H769" s="2" t="s">
        <v>104</v>
      </c>
      <c r="I769" s="2"/>
      <c r="J769" s="2" t="s">
        <v>105</v>
      </c>
      <c r="K769" s="2" t="s">
        <v>106</v>
      </c>
    </row>
    <row r="770" spans="1:11" ht="15.5" x14ac:dyDescent="0.35">
      <c r="A770" s="3" t="s">
        <v>76</v>
      </c>
      <c r="B770" s="1">
        <v>86</v>
      </c>
      <c r="C770" s="20">
        <v>17500</v>
      </c>
      <c r="D770" s="1">
        <v>42</v>
      </c>
      <c r="E770" s="1">
        <v>44</v>
      </c>
      <c r="F770" s="20">
        <f>C770*B770</f>
        <v>1505000</v>
      </c>
      <c r="G770" s="20">
        <f>D770*C770</f>
        <v>735000</v>
      </c>
      <c r="H770" s="20">
        <f>E770*C770</f>
        <v>770000</v>
      </c>
      <c r="I770" s="20" t="b">
        <f>D770+E770=B770</f>
        <v>1</v>
      </c>
      <c r="J770" s="20">
        <f>B805</f>
        <v>400000</v>
      </c>
      <c r="K770" s="20" t="s">
        <v>117</v>
      </c>
    </row>
    <row r="771" spans="1:11" ht="15.5" x14ac:dyDescent="0.35">
      <c r="A771" s="3" t="s">
        <v>77</v>
      </c>
      <c r="B771" s="1">
        <v>15</v>
      </c>
      <c r="C771" s="20">
        <v>16000</v>
      </c>
      <c r="D771" s="1">
        <v>8</v>
      </c>
      <c r="E771" s="1">
        <v>7</v>
      </c>
      <c r="F771" s="20">
        <f t="shared" ref="F771:F782" si="124">C771*B771</f>
        <v>240000</v>
      </c>
      <c r="G771" s="20">
        <f t="shared" ref="G771:G782" si="125">D771*C771</f>
        <v>128000</v>
      </c>
      <c r="H771" s="20">
        <f t="shared" ref="H771:H786" si="126">E771*C771</f>
        <v>112000</v>
      </c>
      <c r="I771" s="20" t="b">
        <f t="shared" ref="I771:I786" si="127">D771+E771=B771</f>
        <v>1</v>
      </c>
      <c r="J771" s="20">
        <v>436000</v>
      </c>
      <c r="K771" s="20" t="s">
        <v>107</v>
      </c>
    </row>
    <row r="772" spans="1:11" ht="15.5" x14ac:dyDescent="0.35">
      <c r="A772" s="3" t="s">
        <v>78</v>
      </c>
      <c r="B772" s="1">
        <v>67</v>
      </c>
      <c r="C772" s="20">
        <v>17500</v>
      </c>
      <c r="D772" s="1">
        <v>31</v>
      </c>
      <c r="E772" s="1">
        <v>36</v>
      </c>
      <c r="F772" s="20">
        <f t="shared" si="124"/>
        <v>1172500</v>
      </c>
      <c r="G772" s="20">
        <f t="shared" si="125"/>
        <v>542500</v>
      </c>
      <c r="H772" s="20">
        <f t="shared" si="126"/>
        <v>630000</v>
      </c>
      <c r="I772" s="20" t="b">
        <f t="shared" si="127"/>
        <v>1</v>
      </c>
      <c r="J772" s="20"/>
      <c r="K772" s="20"/>
    </row>
    <row r="773" spans="1:11" ht="15.5" x14ac:dyDescent="0.35">
      <c r="A773" s="3" t="s">
        <v>79</v>
      </c>
      <c r="B773" s="1">
        <v>28</v>
      </c>
      <c r="C773" s="20">
        <v>18500</v>
      </c>
      <c r="D773" s="1">
        <v>7</v>
      </c>
      <c r="E773" s="1">
        <v>21</v>
      </c>
      <c r="F773" s="20">
        <f t="shared" si="124"/>
        <v>518000</v>
      </c>
      <c r="G773" s="20">
        <f t="shared" si="125"/>
        <v>129500</v>
      </c>
      <c r="H773" s="20">
        <f t="shared" si="126"/>
        <v>388500</v>
      </c>
      <c r="I773" s="20" t="b">
        <f t="shared" si="127"/>
        <v>1</v>
      </c>
      <c r="J773" s="20"/>
      <c r="K773" s="20"/>
    </row>
    <row r="774" spans="1:11" ht="15.5" x14ac:dyDescent="0.35">
      <c r="A774" s="3" t="s">
        <v>80</v>
      </c>
      <c r="B774" s="1"/>
      <c r="C774" s="20">
        <v>18500</v>
      </c>
      <c r="D774" s="1"/>
      <c r="E774" s="1"/>
      <c r="F774" s="20">
        <f t="shared" si="124"/>
        <v>0</v>
      </c>
      <c r="G774" s="20">
        <f t="shared" si="125"/>
        <v>0</v>
      </c>
      <c r="H774" s="20">
        <f t="shared" si="126"/>
        <v>0</v>
      </c>
      <c r="I774" s="20" t="b">
        <f t="shared" si="127"/>
        <v>1</v>
      </c>
      <c r="J774" s="20"/>
      <c r="K774" s="20"/>
    </row>
    <row r="775" spans="1:11" ht="15.5" x14ac:dyDescent="0.35">
      <c r="A775" s="3" t="s">
        <v>81</v>
      </c>
      <c r="B775" s="1"/>
      <c r="C775" s="20">
        <v>23000</v>
      </c>
      <c r="D775" s="1"/>
      <c r="E775" s="1"/>
      <c r="F775" s="20">
        <f t="shared" si="124"/>
        <v>0</v>
      </c>
      <c r="G775" s="20">
        <f t="shared" si="125"/>
        <v>0</v>
      </c>
      <c r="H775" s="20">
        <f t="shared" si="126"/>
        <v>0</v>
      </c>
      <c r="I775" s="20" t="b">
        <f t="shared" si="127"/>
        <v>1</v>
      </c>
      <c r="J775" s="20"/>
      <c r="K775" s="20"/>
    </row>
    <row r="776" spans="1:11" ht="15.5" x14ac:dyDescent="0.35">
      <c r="A776" s="3" t="s">
        <v>82</v>
      </c>
      <c r="B776" s="1"/>
      <c r="C776" s="20">
        <v>18000</v>
      </c>
      <c r="D776" s="1"/>
      <c r="E776" s="1"/>
      <c r="F776" s="20">
        <f t="shared" si="124"/>
        <v>0</v>
      </c>
      <c r="G776" s="20">
        <f t="shared" si="125"/>
        <v>0</v>
      </c>
      <c r="H776" s="20">
        <f t="shared" si="126"/>
        <v>0</v>
      </c>
      <c r="I776" s="20" t="b">
        <f t="shared" si="127"/>
        <v>1</v>
      </c>
      <c r="J776" s="20"/>
      <c r="K776" s="20"/>
    </row>
    <row r="777" spans="1:11" ht="15.5" x14ac:dyDescent="0.35">
      <c r="A777" s="3" t="s">
        <v>83</v>
      </c>
      <c r="B777" s="1"/>
      <c r="C777" s="20">
        <v>18000</v>
      </c>
      <c r="D777" s="1"/>
      <c r="E777" s="1"/>
      <c r="F777" s="20">
        <f t="shared" si="124"/>
        <v>0</v>
      </c>
      <c r="G777" s="20">
        <f t="shared" si="125"/>
        <v>0</v>
      </c>
      <c r="H777" s="20">
        <f t="shared" si="126"/>
        <v>0</v>
      </c>
      <c r="I777" s="20" t="b">
        <f t="shared" si="127"/>
        <v>1</v>
      </c>
      <c r="J777" s="20"/>
      <c r="K777" s="20"/>
    </row>
    <row r="778" spans="1:11" ht="15.5" x14ac:dyDescent="0.35">
      <c r="A778" s="3" t="s">
        <v>84</v>
      </c>
      <c r="B778" s="1"/>
      <c r="C778" s="20">
        <v>18500</v>
      </c>
      <c r="D778" s="1"/>
      <c r="E778" s="1"/>
      <c r="F778" s="20">
        <f t="shared" si="124"/>
        <v>0</v>
      </c>
      <c r="G778" s="20">
        <f t="shared" si="125"/>
        <v>0</v>
      </c>
      <c r="H778" s="20">
        <f t="shared" si="126"/>
        <v>0</v>
      </c>
      <c r="I778" s="20" t="b">
        <f t="shared" si="127"/>
        <v>1</v>
      </c>
      <c r="J778" s="20"/>
      <c r="K778" s="20"/>
    </row>
    <row r="779" spans="1:11" ht="15.5" x14ac:dyDescent="0.35">
      <c r="A779" s="3" t="s">
        <v>85</v>
      </c>
      <c r="B779" s="1">
        <v>50</v>
      </c>
      <c r="C779" s="20">
        <v>18500</v>
      </c>
      <c r="D779" s="1">
        <v>17</v>
      </c>
      <c r="E779" s="1">
        <v>33</v>
      </c>
      <c r="F779" s="20">
        <f t="shared" si="124"/>
        <v>925000</v>
      </c>
      <c r="G779" s="20">
        <f t="shared" si="125"/>
        <v>314500</v>
      </c>
      <c r="H779" s="20">
        <f t="shared" si="126"/>
        <v>610500</v>
      </c>
      <c r="I779" s="20" t="b">
        <f t="shared" si="127"/>
        <v>1</v>
      </c>
      <c r="J779" s="20"/>
      <c r="K779" s="20"/>
    </row>
    <row r="780" spans="1:11" ht="15.5" x14ac:dyDescent="0.35">
      <c r="A780" s="3" t="s">
        <v>86</v>
      </c>
      <c r="B780" s="1"/>
      <c r="C780" s="20">
        <v>18500</v>
      </c>
      <c r="D780" s="1"/>
      <c r="E780" s="1"/>
      <c r="F780" s="20">
        <f t="shared" si="124"/>
        <v>0</v>
      </c>
      <c r="G780" s="20">
        <f t="shared" si="125"/>
        <v>0</v>
      </c>
      <c r="H780" s="20">
        <f t="shared" si="126"/>
        <v>0</v>
      </c>
      <c r="I780" s="20" t="b">
        <f t="shared" si="127"/>
        <v>1</v>
      </c>
      <c r="J780" s="20"/>
      <c r="K780" s="20"/>
    </row>
    <row r="781" spans="1:11" ht="15.5" x14ac:dyDescent="0.35">
      <c r="A781" s="3" t="s">
        <v>87</v>
      </c>
      <c r="B781" s="1"/>
      <c r="C781" s="20">
        <v>18500</v>
      </c>
      <c r="D781" s="1"/>
      <c r="E781" s="1"/>
      <c r="F781" s="20">
        <f t="shared" si="124"/>
        <v>0</v>
      </c>
      <c r="G781" s="20">
        <f t="shared" si="125"/>
        <v>0</v>
      </c>
      <c r="H781" s="20">
        <f t="shared" si="126"/>
        <v>0</v>
      </c>
      <c r="I781" s="20" t="b">
        <f t="shared" si="127"/>
        <v>1</v>
      </c>
      <c r="J781" s="20"/>
      <c r="K781" s="20"/>
    </row>
    <row r="782" spans="1:11" ht="15.5" x14ac:dyDescent="0.35">
      <c r="A782" s="3" t="s">
        <v>88</v>
      </c>
      <c r="B782" s="1">
        <v>10</v>
      </c>
      <c r="C782" s="20">
        <v>18500</v>
      </c>
      <c r="D782" s="1">
        <v>7</v>
      </c>
      <c r="E782" s="1">
        <v>3</v>
      </c>
      <c r="F782" s="20">
        <f t="shared" si="124"/>
        <v>185000</v>
      </c>
      <c r="G782" s="20">
        <f t="shared" si="125"/>
        <v>129500</v>
      </c>
      <c r="H782" s="20">
        <f t="shared" si="126"/>
        <v>55500</v>
      </c>
      <c r="I782" s="20" t="b">
        <f t="shared" si="127"/>
        <v>1</v>
      </c>
      <c r="J782" s="20"/>
      <c r="K782" s="20"/>
    </row>
    <row r="783" spans="1:11" ht="15.5" x14ac:dyDescent="0.35">
      <c r="A783" s="19" t="s">
        <v>89</v>
      </c>
      <c r="B783" s="1"/>
      <c r="C783" s="20"/>
      <c r="D783" s="1"/>
      <c r="E783" s="1"/>
      <c r="F783" s="20"/>
      <c r="G783" s="20"/>
      <c r="H783" s="20">
        <f t="shared" si="126"/>
        <v>0</v>
      </c>
      <c r="I783" s="20" t="b">
        <f t="shared" si="127"/>
        <v>1</v>
      </c>
      <c r="J783" s="20"/>
      <c r="K783" s="20"/>
    </row>
    <row r="784" spans="1:11" ht="15.5" x14ac:dyDescent="0.35">
      <c r="A784" s="3" t="s">
        <v>92</v>
      </c>
      <c r="B784" s="1"/>
      <c r="C784" s="20">
        <v>21500</v>
      </c>
      <c r="D784" s="1"/>
      <c r="E784" s="1"/>
      <c r="F784" s="20">
        <f t="shared" ref="F784:F786" si="128">C784*B784</f>
        <v>0</v>
      </c>
      <c r="G784" s="20">
        <f t="shared" ref="G784:G786" si="129">D784*C784</f>
        <v>0</v>
      </c>
      <c r="H784" s="20">
        <f t="shared" si="126"/>
        <v>0</v>
      </c>
      <c r="I784" s="20" t="b">
        <f t="shared" si="127"/>
        <v>1</v>
      </c>
      <c r="J784" s="20"/>
      <c r="K784" s="20"/>
    </row>
    <row r="785" spans="1:11" ht="15.5" x14ac:dyDescent="0.35">
      <c r="A785" s="3" t="s">
        <v>93</v>
      </c>
      <c r="B785" s="1">
        <v>31</v>
      </c>
      <c r="C785" s="20">
        <v>21500</v>
      </c>
      <c r="D785" s="1">
        <v>20</v>
      </c>
      <c r="E785" s="1">
        <v>11</v>
      </c>
      <c r="F785" s="20">
        <f t="shared" si="128"/>
        <v>666500</v>
      </c>
      <c r="G785" s="20">
        <f t="shared" si="129"/>
        <v>430000</v>
      </c>
      <c r="H785" s="20">
        <f t="shared" si="126"/>
        <v>236500</v>
      </c>
      <c r="I785" s="20" t="b">
        <f t="shared" si="127"/>
        <v>1</v>
      </c>
      <c r="J785" s="20"/>
      <c r="K785" s="20"/>
    </row>
    <row r="786" spans="1:11" ht="15.5" x14ac:dyDescent="0.35">
      <c r="A786" s="3" t="s">
        <v>94</v>
      </c>
      <c r="B786" s="1">
        <v>29</v>
      </c>
      <c r="C786" s="20">
        <v>21500</v>
      </c>
      <c r="D786" s="1">
        <v>20</v>
      </c>
      <c r="E786" s="1">
        <v>9</v>
      </c>
      <c r="F786" s="20">
        <f t="shared" si="128"/>
        <v>623500</v>
      </c>
      <c r="G786" s="20">
        <f t="shared" si="129"/>
        <v>430000</v>
      </c>
      <c r="H786" s="20">
        <f t="shared" si="126"/>
        <v>193500</v>
      </c>
      <c r="I786" s="20" t="b">
        <f t="shared" si="127"/>
        <v>1</v>
      </c>
      <c r="J786" s="20"/>
      <c r="K786" s="20"/>
    </row>
    <row r="787" spans="1:11" ht="15.5" x14ac:dyDescent="0.35">
      <c r="A787" s="19"/>
      <c r="B787" s="22">
        <f>SUM(B770:B786)</f>
        <v>316</v>
      </c>
      <c r="C787" s="20"/>
      <c r="D787" s="1"/>
      <c r="E787" s="1"/>
      <c r="F787" s="23">
        <f>SUM(F770:F786)</f>
        <v>5835500</v>
      </c>
      <c r="G787" s="23">
        <f>SUM(G770:G786)</f>
        <v>2839000</v>
      </c>
      <c r="H787" s="23">
        <f>SUM(H770:H786)</f>
        <v>2996500</v>
      </c>
      <c r="I787" s="23"/>
      <c r="J787" s="23">
        <f>SUM(J770:J786)</f>
        <v>836000</v>
      </c>
      <c r="K787" s="23">
        <f>H787-J787</f>
        <v>2160500</v>
      </c>
    </row>
    <row r="788" spans="1:11" ht="15.5" x14ac:dyDescent="0.35">
      <c r="A788" s="19" t="s">
        <v>95</v>
      </c>
      <c r="B788" s="1"/>
      <c r="C788" s="20"/>
      <c r="D788" s="1"/>
      <c r="E788" s="1"/>
      <c r="F788" s="20"/>
      <c r="G788" s="20"/>
      <c r="H788" s="20" t="s">
        <v>192</v>
      </c>
      <c r="I788" s="20"/>
      <c r="J788" s="20"/>
      <c r="K788" s="20"/>
    </row>
    <row r="789" spans="1:11" ht="15.5" x14ac:dyDescent="0.35">
      <c r="A789" s="3" t="s">
        <v>96</v>
      </c>
      <c r="B789" s="1"/>
      <c r="C789" s="20">
        <v>3000</v>
      </c>
      <c r="D789" s="1"/>
      <c r="E789" s="20"/>
      <c r="F789" s="20">
        <f t="shared" ref="F789:F792" si="130">C789*B789</f>
        <v>0</v>
      </c>
      <c r="G789" s="20"/>
      <c r="H789" s="20"/>
      <c r="I789" s="20"/>
      <c r="J789" s="20"/>
      <c r="K789" s="20"/>
    </row>
    <row r="790" spans="1:11" ht="15.5" x14ac:dyDescent="0.35">
      <c r="A790" s="3" t="s">
        <v>97</v>
      </c>
      <c r="B790" s="1"/>
      <c r="C790" s="20">
        <v>2500</v>
      </c>
      <c r="D790" s="1"/>
      <c r="E790" s="1"/>
      <c r="F790" s="20">
        <f t="shared" si="130"/>
        <v>0</v>
      </c>
      <c r="G790" s="20"/>
      <c r="H790" s="20"/>
      <c r="I790" s="20"/>
      <c r="J790" s="20"/>
      <c r="K790" s="20"/>
    </row>
    <row r="791" spans="1:11" ht="15.5" x14ac:dyDescent="0.35">
      <c r="A791" s="3" t="s">
        <v>98</v>
      </c>
      <c r="B791" s="1"/>
      <c r="C791" s="20">
        <v>1800</v>
      </c>
      <c r="D791" s="1"/>
      <c r="E791" s="1"/>
      <c r="F791" s="20">
        <f t="shared" si="130"/>
        <v>0</v>
      </c>
      <c r="G791" s="20"/>
      <c r="H791" s="20"/>
      <c r="I791" s="20"/>
      <c r="J791" s="20"/>
      <c r="K791" s="20"/>
    </row>
    <row r="792" spans="1:11" ht="15.5" x14ac:dyDescent="0.35">
      <c r="A792" s="3" t="s">
        <v>99</v>
      </c>
      <c r="B792" s="1"/>
      <c r="C792" s="20">
        <v>3500</v>
      </c>
      <c r="D792" s="1"/>
      <c r="E792" s="1"/>
      <c r="F792" s="20">
        <f t="shared" si="130"/>
        <v>0</v>
      </c>
      <c r="G792" s="20"/>
      <c r="H792" s="20"/>
      <c r="I792" s="20"/>
      <c r="J792" s="20"/>
      <c r="K792" s="20"/>
    </row>
    <row r="793" spans="1:11" ht="15.5" x14ac:dyDescent="0.35">
      <c r="A793" s="18"/>
      <c r="F793" s="21"/>
    </row>
    <row r="794" spans="1:11" ht="15.5" x14ac:dyDescent="0.35">
      <c r="A794" s="24" t="s">
        <v>108</v>
      </c>
      <c r="K794" s="21"/>
    </row>
    <row r="795" spans="1:11" ht="15.5" x14ac:dyDescent="0.35">
      <c r="A795" s="18" t="s">
        <v>114</v>
      </c>
      <c r="B795" s="67">
        <v>40000</v>
      </c>
    </row>
    <row r="796" spans="1:11" ht="15.5" x14ac:dyDescent="0.35">
      <c r="A796" s="18" t="s">
        <v>112</v>
      </c>
      <c r="B796" s="67">
        <v>40000</v>
      </c>
    </row>
    <row r="797" spans="1:11" ht="15.5" x14ac:dyDescent="0.35">
      <c r="A797" s="18" t="s">
        <v>309</v>
      </c>
      <c r="B797" s="67">
        <v>60000</v>
      </c>
    </row>
    <row r="798" spans="1:11" ht="15.5" x14ac:dyDescent="0.35">
      <c r="A798" s="18" t="s">
        <v>110</v>
      </c>
      <c r="B798" s="67">
        <v>40000</v>
      </c>
    </row>
    <row r="799" spans="1:11" ht="15.5" x14ac:dyDescent="0.35">
      <c r="A799" s="18" t="s">
        <v>111</v>
      </c>
      <c r="B799" s="67">
        <v>40000</v>
      </c>
    </row>
    <row r="800" spans="1:11" ht="15.5" x14ac:dyDescent="0.35">
      <c r="A800" s="18" t="s">
        <v>196</v>
      </c>
      <c r="B800" s="67">
        <v>40000</v>
      </c>
    </row>
    <row r="801" spans="1:11" ht="15.5" x14ac:dyDescent="0.35">
      <c r="A801" s="18" t="s">
        <v>113</v>
      </c>
      <c r="B801" s="67" t="s">
        <v>409</v>
      </c>
    </row>
    <row r="802" spans="1:11" ht="15.5" x14ac:dyDescent="0.35">
      <c r="A802" s="18" t="s">
        <v>209</v>
      </c>
      <c r="B802" s="67">
        <v>40000</v>
      </c>
    </row>
    <row r="803" spans="1:11" ht="15.5" x14ac:dyDescent="0.35">
      <c r="A803" s="18" t="s">
        <v>115</v>
      </c>
      <c r="B803" s="67">
        <v>60000</v>
      </c>
    </row>
    <row r="804" spans="1:11" ht="15.5" x14ac:dyDescent="0.35">
      <c r="A804" s="18" t="s">
        <v>109</v>
      </c>
      <c r="B804" s="67">
        <v>40000</v>
      </c>
    </row>
    <row r="805" spans="1:11" ht="15.5" x14ac:dyDescent="0.35">
      <c r="A805" s="24" t="s">
        <v>4</v>
      </c>
      <c r="B805" s="75">
        <f>SUM(B795:B804)</f>
        <v>400000</v>
      </c>
    </row>
    <row r="808" spans="1:11" ht="18.5" x14ac:dyDescent="0.45">
      <c r="A808" s="151" t="s">
        <v>1</v>
      </c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</row>
    <row r="809" spans="1:11" ht="18.5" x14ac:dyDescent="0.45">
      <c r="A809" s="150" t="s">
        <v>74</v>
      </c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</row>
    <row r="810" spans="1:11" ht="18.5" x14ac:dyDescent="0.45">
      <c r="A810" s="149">
        <v>46106</v>
      </c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</row>
    <row r="811" spans="1:11" ht="18.5" x14ac:dyDescent="0.45">
      <c r="A811" s="150"/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</row>
    <row r="812" spans="1:11" ht="18.5" x14ac:dyDescent="0.45">
      <c r="A812" s="2" t="s">
        <v>75</v>
      </c>
      <c r="B812" s="2" t="s">
        <v>3</v>
      </c>
      <c r="C812" s="2" t="s">
        <v>100</v>
      </c>
      <c r="D812" s="2" t="s">
        <v>90</v>
      </c>
      <c r="E812" s="2" t="s">
        <v>91</v>
      </c>
      <c r="F812" s="2" t="s">
        <v>4</v>
      </c>
      <c r="G812" s="2" t="s">
        <v>101</v>
      </c>
      <c r="H812" s="2" t="s">
        <v>104</v>
      </c>
      <c r="I812" s="2"/>
      <c r="J812" s="2" t="s">
        <v>105</v>
      </c>
      <c r="K812" s="2" t="s">
        <v>106</v>
      </c>
    </row>
    <row r="813" spans="1:11" ht="15.5" x14ac:dyDescent="0.35">
      <c r="A813" s="3" t="s">
        <v>76</v>
      </c>
      <c r="B813" s="1">
        <v>91</v>
      </c>
      <c r="C813" s="20">
        <v>17500</v>
      </c>
      <c r="D813" s="1">
        <v>48</v>
      </c>
      <c r="E813" s="1">
        <v>43</v>
      </c>
      <c r="F813" s="20">
        <f>C813*B813</f>
        <v>1592500</v>
      </c>
      <c r="G813" s="20">
        <f>D813*C813</f>
        <v>840000</v>
      </c>
      <c r="H813" s="20">
        <f>E813*C813</f>
        <v>752500</v>
      </c>
      <c r="I813" s="20" t="b">
        <f>D813+E813=B813</f>
        <v>1</v>
      </c>
      <c r="J813" s="20">
        <f>B848</f>
        <v>440000</v>
      </c>
      <c r="K813" s="20" t="s">
        <v>117</v>
      </c>
    </row>
    <row r="814" spans="1:11" ht="15.5" x14ac:dyDescent="0.35">
      <c r="A814" s="3" t="s">
        <v>77</v>
      </c>
      <c r="B814" s="1">
        <v>14</v>
      </c>
      <c r="C814" s="20">
        <v>16000</v>
      </c>
      <c r="D814" s="1">
        <v>5</v>
      </c>
      <c r="E814" s="1">
        <v>9</v>
      </c>
      <c r="F814" s="20">
        <f t="shared" ref="F814:F825" si="131">C814*B814</f>
        <v>224000</v>
      </c>
      <c r="G814" s="20">
        <f t="shared" ref="G814:G825" si="132">D814*C814</f>
        <v>80000</v>
      </c>
      <c r="H814" s="20">
        <f t="shared" ref="H814:H829" si="133">E814*C814</f>
        <v>144000</v>
      </c>
      <c r="I814" s="20" t="b">
        <f t="shared" ref="I814:I829" si="134">D814+E814=B814</f>
        <v>1</v>
      </c>
      <c r="J814" s="20">
        <v>30000</v>
      </c>
      <c r="K814" s="20" t="s">
        <v>384</v>
      </c>
    </row>
    <row r="815" spans="1:11" ht="15.5" x14ac:dyDescent="0.35">
      <c r="A815" s="3" t="s">
        <v>78</v>
      </c>
      <c r="B815" s="1">
        <v>52</v>
      </c>
      <c r="C815" s="20">
        <v>17500</v>
      </c>
      <c r="D815" s="1">
        <v>17</v>
      </c>
      <c r="E815" s="1">
        <v>35</v>
      </c>
      <c r="F815" s="20">
        <f t="shared" si="131"/>
        <v>910000</v>
      </c>
      <c r="G815" s="20">
        <f t="shared" si="132"/>
        <v>297500</v>
      </c>
      <c r="H815" s="20">
        <f t="shared" si="133"/>
        <v>612500</v>
      </c>
      <c r="I815" s="20" t="b">
        <f t="shared" si="134"/>
        <v>1</v>
      </c>
      <c r="J815" s="20">
        <v>240000</v>
      </c>
      <c r="K815" s="20" t="s">
        <v>107</v>
      </c>
    </row>
    <row r="816" spans="1:11" ht="15.5" x14ac:dyDescent="0.35">
      <c r="A816" s="3" t="s">
        <v>79</v>
      </c>
      <c r="B816" s="1"/>
      <c r="C816" s="20">
        <v>18500</v>
      </c>
      <c r="D816" s="1"/>
      <c r="E816" s="1"/>
      <c r="F816" s="20">
        <f t="shared" si="131"/>
        <v>0</v>
      </c>
      <c r="G816" s="20">
        <f t="shared" si="132"/>
        <v>0</v>
      </c>
      <c r="H816" s="20">
        <f t="shared" si="133"/>
        <v>0</v>
      </c>
      <c r="I816" s="20" t="b">
        <f t="shared" si="134"/>
        <v>1</v>
      </c>
      <c r="J816" s="20"/>
      <c r="K816" s="20"/>
    </row>
    <row r="817" spans="1:11" ht="15.5" x14ac:dyDescent="0.35">
      <c r="A817" s="3" t="s">
        <v>80</v>
      </c>
      <c r="B817" s="1">
        <v>44</v>
      </c>
      <c r="C817" s="20">
        <v>18500</v>
      </c>
      <c r="D817" s="1">
        <v>21</v>
      </c>
      <c r="E817" s="1">
        <v>23</v>
      </c>
      <c r="F817" s="20">
        <f t="shared" si="131"/>
        <v>814000</v>
      </c>
      <c r="G817" s="20">
        <f t="shared" si="132"/>
        <v>388500</v>
      </c>
      <c r="H817" s="20">
        <f t="shared" si="133"/>
        <v>425500</v>
      </c>
      <c r="I817" s="20" t="b">
        <f t="shared" si="134"/>
        <v>1</v>
      </c>
      <c r="J817" s="20"/>
      <c r="K817" s="20"/>
    </row>
    <row r="818" spans="1:11" ht="15.5" x14ac:dyDescent="0.35">
      <c r="A818" s="3" t="s">
        <v>81</v>
      </c>
      <c r="B818" s="1"/>
      <c r="C818" s="20">
        <v>23000</v>
      </c>
      <c r="D818" s="1"/>
      <c r="E818" s="1"/>
      <c r="F818" s="20">
        <f t="shared" si="131"/>
        <v>0</v>
      </c>
      <c r="G818" s="20">
        <f t="shared" si="132"/>
        <v>0</v>
      </c>
      <c r="H818" s="20">
        <f t="shared" si="133"/>
        <v>0</v>
      </c>
      <c r="I818" s="20" t="b">
        <f t="shared" si="134"/>
        <v>1</v>
      </c>
      <c r="J818" s="20"/>
      <c r="K818" s="20"/>
    </row>
    <row r="819" spans="1:11" ht="15.5" x14ac:dyDescent="0.35">
      <c r="A819" s="3" t="s">
        <v>82</v>
      </c>
      <c r="B819" s="1"/>
      <c r="C819" s="20">
        <v>18000</v>
      </c>
      <c r="D819" s="1"/>
      <c r="E819" s="1"/>
      <c r="F819" s="20">
        <f t="shared" si="131"/>
        <v>0</v>
      </c>
      <c r="G819" s="20">
        <f t="shared" si="132"/>
        <v>0</v>
      </c>
      <c r="H819" s="20">
        <f t="shared" si="133"/>
        <v>0</v>
      </c>
      <c r="I819" s="20" t="b">
        <f t="shared" si="134"/>
        <v>1</v>
      </c>
      <c r="J819" s="20"/>
      <c r="K819" s="20"/>
    </row>
    <row r="820" spans="1:11" ht="15.5" x14ac:dyDescent="0.35">
      <c r="A820" s="3" t="s">
        <v>83</v>
      </c>
      <c r="B820" s="1">
        <v>32</v>
      </c>
      <c r="C820" s="20">
        <v>18000</v>
      </c>
      <c r="D820" s="1">
        <v>6</v>
      </c>
      <c r="E820" s="1">
        <v>26</v>
      </c>
      <c r="F820" s="20">
        <f t="shared" si="131"/>
        <v>576000</v>
      </c>
      <c r="G820" s="20">
        <f t="shared" si="132"/>
        <v>108000</v>
      </c>
      <c r="H820" s="20">
        <f t="shared" si="133"/>
        <v>468000</v>
      </c>
      <c r="I820" s="20" t="b">
        <f t="shared" si="134"/>
        <v>1</v>
      </c>
      <c r="J820" s="20"/>
      <c r="K820" s="20"/>
    </row>
    <row r="821" spans="1:11" ht="15.5" x14ac:dyDescent="0.35">
      <c r="A821" s="3" t="s">
        <v>84</v>
      </c>
      <c r="B821" s="1"/>
      <c r="C821" s="20">
        <v>18500</v>
      </c>
      <c r="D821" s="1"/>
      <c r="E821" s="1"/>
      <c r="F821" s="20">
        <f t="shared" si="131"/>
        <v>0</v>
      </c>
      <c r="G821" s="20">
        <f t="shared" si="132"/>
        <v>0</v>
      </c>
      <c r="H821" s="20">
        <f t="shared" si="133"/>
        <v>0</v>
      </c>
      <c r="I821" s="20" t="b">
        <f t="shared" si="134"/>
        <v>1</v>
      </c>
      <c r="J821" s="20"/>
      <c r="K821" s="20"/>
    </row>
    <row r="822" spans="1:11" ht="15.5" x14ac:dyDescent="0.35">
      <c r="A822" s="3" t="s">
        <v>85</v>
      </c>
      <c r="B822" s="1"/>
      <c r="C822" s="20">
        <v>18500</v>
      </c>
      <c r="D822" s="1"/>
      <c r="E822" s="1"/>
      <c r="F822" s="20">
        <f t="shared" si="131"/>
        <v>0</v>
      </c>
      <c r="G822" s="20">
        <f t="shared" si="132"/>
        <v>0</v>
      </c>
      <c r="H822" s="20">
        <f t="shared" si="133"/>
        <v>0</v>
      </c>
      <c r="I822" s="20" t="b">
        <f t="shared" si="134"/>
        <v>1</v>
      </c>
      <c r="J822" s="20"/>
      <c r="K822" s="20"/>
    </row>
    <row r="823" spans="1:11" ht="15.5" x14ac:dyDescent="0.35">
      <c r="A823" s="3" t="s">
        <v>86</v>
      </c>
      <c r="B823" s="1">
        <v>6</v>
      </c>
      <c r="C823" s="20">
        <v>18500</v>
      </c>
      <c r="D823" s="1">
        <v>4</v>
      </c>
      <c r="E823" s="1">
        <v>2</v>
      </c>
      <c r="F823" s="20">
        <f t="shared" si="131"/>
        <v>111000</v>
      </c>
      <c r="G823" s="20">
        <f t="shared" si="132"/>
        <v>74000</v>
      </c>
      <c r="H823" s="20">
        <f t="shared" si="133"/>
        <v>37000</v>
      </c>
      <c r="I823" s="20" t="b">
        <f t="shared" si="134"/>
        <v>1</v>
      </c>
      <c r="J823" s="20"/>
      <c r="K823" s="20"/>
    </row>
    <row r="824" spans="1:11" ht="15.5" x14ac:dyDescent="0.35">
      <c r="A824" s="3" t="s">
        <v>87</v>
      </c>
      <c r="B824" s="1"/>
      <c r="C824" s="20">
        <v>18500</v>
      </c>
      <c r="D824" s="1"/>
      <c r="E824" s="1"/>
      <c r="F824" s="20">
        <f t="shared" si="131"/>
        <v>0</v>
      </c>
      <c r="G824" s="20">
        <f t="shared" si="132"/>
        <v>0</v>
      </c>
      <c r="H824" s="20">
        <f t="shared" si="133"/>
        <v>0</v>
      </c>
      <c r="I824" s="20" t="b">
        <f t="shared" si="134"/>
        <v>1</v>
      </c>
      <c r="J824" s="20"/>
      <c r="K824" s="20"/>
    </row>
    <row r="825" spans="1:11" ht="15.5" x14ac:dyDescent="0.35">
      <c r="A825" s="3" t="s">
        <v>88</v>
      </c>
      <c r="B825" s="1">
        <v>13</v>
      </c>
      <c r="C825" s="20">
        <v>18500</v>
      </c>
      <c r="D825" s="1">
        <v>6</v>
      </c>
      <c r="E825" s="1">
        <v>7</v>
      </c>
      <c r="F825" s="20">
        <f t="shared" si="131"/>
        <v>240500</v>
      </c>
      <c r="G825" s="20">
        <f t="shared" si="132"/>
        <v>111000</v>
      </c>
      <c r="H825" s="20">
        <f t="shared" si="133"/>
        <v>129500</v>
      </c>
      <c r="I825" s="20" t="b">
        <f t="shared" si="134"/>
        <v>1</v>
      </c>
      <c r="J825" s="20"/>
      <c r="K825" s="20"/>
    </row>
    <row r="826" spans="1:11" ht="15.5" x14ac:dyDescent="0.35">
      <c r="A826" s="19" t="s">
        <v>89</v>
      </c>
      <c r="B826" s="1"/>
      <c r="C826" s="20"/>
      <c r="D826" s="1"/>
      <c r="E826" s="1"/>
      <c r="F826" s="20"/>
      <c r="G826" s="20"/>
      <c r="H826" s="20">
        <f t="shared" si="133"/>
        <v>0</v>
      </c>
      <c r="I826" s="20" t="b">
        <f t="shared" si="134"/>
        <v>1</v>
      </c>
      <c r="J826" s="20"/>
      <c r="K826" s="20"/>
    </row>
    <row r="827" spans="1:11" ht="15.5" x14ac:dyDescent="0.35">
      <c r="A827" s="3" t="s">
        <v>92</v>
      </c>
      <c r="B827" s="1">
        <v>39</v>
      </c>
      <c r="C827" s="20">
        <v>21500</v>
      </c>
      <c r="D827" s="1">
        <v>20</v>
      </c>
      <c r="E827" s="1">
        <v>19</v>
      </c>
      <c r="F827" s="20">
        <f t="shared" ref="F827:F829" si="135">C827*B827</f>
        <v>838500</v>
      </c>
      <c r="G827" s="20">
        <f t="shared" ref="G827:G829" si="136">D827*C827</f>
        <v>430000</v>
      </c>
      <c r="H827" s="20">
        <f t="shared" si="133"/>
        <v>408500</v>
      </c>
      <c r="I827" s="20" t="b">
        <f t="shared" si="134"/>
        <v>1</v>
      </c>
      <c r="J827" s="20"/>
      <c r="K827" s="20"/>
    </row>
    <row r="828" spans="1:11" ht="15.5" x14ac:dyDescent="0.35">
      <c r="A828" s="3" t="s">
        <v>93</v>
      </c>
      <c r="B828" s="1">
        <v>5</v>
      </c>
      <c r="C828" s="20">
        <v>21500</v>
      </c>
      <c r="D828" s="1">
        <v>5</v>
      </c>
      <c r="E828" s="1"/>
      <c r="F828" s="20">
        <f t="shared" si="135"/>
        <v>107500</v>
      </c>
      <c r="G828" s="20">
        <f t="shared" si="136"/>
        <v>107500</v>
      </c>
      <c r="H828" s="20">
        <f t="shared" si="133"/>
        <v>0</v>
      </c>
      <c r="I828" s="20" t="b">
        <f t="shared" si="134"/>
        <v>1</v>
      </c>
      <c r="J828" s="20"/>
      <c r="K828" s="20"/>
    </row>
    <row r="829" spans="1:11" ht="15.5" x14ac:dyDescent="0.35">
      <c r="A829" s="3" t="s">
        <v>94</v>
      </c>
      <c r="B829" s="1">
        <v>29</v>
      </c>
      <c r="C829" s="20">
        <v>21500</v>
      </c>
      <c r="D829" s="1">
        <v>12</v>
      </c>
      <c r="E829" s="1">
        <v>17</v>
      </c>
      <c r="F829" s="20">
        <f t="shared" si="135"/>
        <v>623500</v>
      </c>
      <c r="G829" s="20">
        <f t="shared" si="136"/>
        <v>258000</v>
      </c>
      <c r="H829" s="20">
        <f t="shared" si="133"/>
        <v>365500</v>
      </c>
      <c r="I829" s="20" t="b">
        <f t="shared" si="134"/>
        <v>1</v>
      </c>
      <c r="J829" s="20"/>
      <c r="K829" s="20"/>
    </row>
    <row r="830" spans="1:11" ht="15.5" x14ac:dyDescent="0.35">
      <c r="A830" s="19"/>
      <c r="B830" s="22">
        <f>SUM(B813:B829)</f>
        <v>325</v>
      </c>
      <c r="C830" s="20"/>
      <c r="D830" s="1"/>
      <c r="E830" s="1"/>
      <c r="F830" s="23">
        <f>SUM(F813:F829)</f>
        <v>6037500</v>
      </c>
      <c r="G830" s="23">
        <f>SUM(G813:G829)</f>
        <v>2694500</v>
      </c>
      <c r="H830" s="23">
        <f>SUM(H813:H829)</f>
        <v>3343000</v>
      </c>
      <c r="I830" s="23"/>
      <c r="J830" s="23">
        <f>SUM(J813:J829)</f>
        <v>710000</v>
      </c>
      <c r="K830" s="23">
        <f>H830-J830</f>
        <v>2633000</v>
      </c>
    </row>
    <row r="831" spans="1:11" ht="15.5" x14ac:dyDescent="0.35">
      <c r="A831" s="19" t="s">
        <v>95</v>
      </c>
      <c r="B831" s="1"/>
      <c r="C831" s="20"/>
      <c r="D831" s="1"/>
      <c r="E831" s="1"/>
      <c r="F831" s="20"/>
      <c r="G831" s="20"/>
      <c r="H831" s="20" t="s">
        <v>192</v>
      </c>
      <c r="I831" s="20"/>
      <c r="J831" s="20"/>
      <c r="K831" s="20"/>
    </row>
    <row r="832" spans="1:11" ht="15.5" x14ac:dyDescent="0.35">
      <c r="A832" s="3" t="s">
        <v>96</v>
      </c>
      <c r="B832" s="1"/>
      <c r="C832" s="20">
        <v>3000</v>
      </c>
      <c r="D832" s="1"/>
      <c r="E832" s="20"/>
      <c r="F832" s="20">
        <f t="shared" ref="F832:F835" si="137">C832*B832</f>
        <v>0</v>
      </c>
      <c r="G832" s="20"/>
      <c r="H832" s="20"/>
      <c r="I832" s="20"/>
      <c r="J832" s="20"/>
      <c r="K832" s="20"/>
    </row>
    <row r="833" spans="1:11" ht="15.5" x14ac:dyDescent="0.35">
      <c r="A833" s="3" t="s">
        <v>97</v>
      </c>
      <c r="B833" s="1"/>
      <c r="C833" s="20">
        <v>2500</v>
      </c>
      <c r="D833" s="1"/>
      <c r="E833" s="1"/>
      <c r="F833" s="20">
        <f t="shared" si="137"/>
        <v>0</v>
      </c>
      <c r="G833" s="20"/>
      <c r="H833" s="20"/>
      <c r="I833" s="20"/>
      <c r="J833" s="20"/>
      <c r="K833" s="20"/>
    </row>
    <row r="834" spans="1:11" ht="15.5" x14ac:dyDescent="0.35">
      <c r="A834" s="3" t="s">
        <v>98</v>
      </c>
      <c r="B834" s="1"/>
      <c r="C834" s="20">
        <v>1800</v>
      </c>
      <c r="D834" s="1"/>
      <c r="E834" s="1"/>
      <c r="F834" s="20">
        <f t="shared" si="137"/>
        <v>0</v>
      </c>
      <c r="G834" s="20"/>
      <c r="H834" s="20"/>
      <c r="I834" s="20"/>
      <c r="J834" s="20"/>
      <c r="K834" s="20"/>
    </row>
    <row r="835" spans="1:11" ht="15.5" x14ac:dyDescent="0.35">
      <c r="A835" s="3" t="s">
        <v>99</v>
      </c>
      <c r="B835" s="1"/>
      <c r="C835" s="20">
        <v>3500</v>
      </c>
      <c r="D835" s="1"/>
      <c r="E835" s="1"/>
      <c r="F835" s="20">
        <f t="shared" si="137"/>
        <v>0</v>
      </c>
      <c r="G835" s="20"/>
      <c r="H835" s="20"/>
      <c r="I835" s="20"/>
      <c r="J835" s="20"/>
      <c r="K835" s="20"/>
    </row>
    <row r="836" spans="1:11" ht="15.5" x14ac:dyDescent="0.35">
      <c r="A836" s="18"/>
      <c r="F836" s="21"/>
    </row>
    <row r="837" spans="1:11" ht="15.5" x14ac:dyDescent="0.35">
      <c r="A837" s="24" t="s">
        <v>108</v>
      </c>
      <c r="K837" s="21"/>
    </row>
    <row r="838" spans="1:11" ht="15.5" x14ac:dyDescent="0.35">
      <c r="A838" s="18" t="s">
        <v>114</v>
      </c>
      <c r="B838" s="67">
        <v>40000</v>
      </c>
    </row>
    <row r="839" spans="1:11" ht="15.5" x14ac:dyDescent="0.35">
      <c r="A839" s="18" t="s">
        <v>112</v>
      </c>
      <c r="B839" s="67">
        <v>40000</v>
      </c>
    </row>
    <row r="840" spans="1:11" ht="15.5" x14ac:dyDescent="0.35">
      <c r="A840" s="18" t="s">
        <v>309</v>
      </c>
      <c r="B840" s="67">
        <v>60000</v>
      </c>
    </row>
    <row r="841" spans="1:11" ht="15.5" x14ac:dyDescent="0.35">
      <c r="A841" s="18" t="s">
        <v>110</v>
      </c>
      <c r="B841" s="67">
        <v>40000</v>
      </c>
    </row>
    <row r="842" spans="1:11" ht="15.5" x14ac:dyDescent="0.35">
      <c r="A842" s="18" t="s">
        <v>111</v>
      </c>
      <c r="B842" s="67">
        <v>40000</v>
      </c>
    </row>
    <row r="843" spans="1:11" ht="15.5" x14ac:dyDescent="0.35">
      <c r="A843" s="18" t="s">
        <v>196</v>
      </c>
      <c r="B843" s="67">
        <v>40000</v>
      </c>
    </row>
    <row r="844" spans="1:11" ht="15.5" x14ac:dyDescent="0.35">
      <c r="A844" s="18" t="s">
        <v>113</v>
      </c>
      <c r="B844" s="67">
        <v>40000</v>
      </c>
    </row>
    <row r="845" spans="1:11" ht="15.5" x14ac:dyDescent="0.35">
      <c r="A845" s="18" t="s">
        <v>209</v>
      </c>
      <c r="B845" s="67">
        <v>40000</v>
      </c>
    </row>
    <row r="846" spans="1:11" ht="15.5" x14ac:dyDescent="0.35">
      <c r="A846" s="18" t="s">
        <v>115</v>
      </c>
      <c r="B846" s="67">
        <v>60000</v>
      </c>
    </row>
    <row r="847" spans="1:11" ht="15.5" x14ac:dyDescent="0.35">
      <c r="A847" s="18" t="s">
        <v>109</v>
      </c>
      <c r="B847" s="67">
        <v>40000</v>
      </c>
    </row>
    <row r="848" spans="1:11" ht="15.5" x14ac:dyDescent="0.35">
      <c r="A848" s="24" t="s">
        <v>4</v>
      </c>
      <c r="B848" s="75">
        <f>SUM(B838:B847)</f>
        <v>440000</v>
      </c>
    </row>
    <row r="851" spans="1:11" ht="18.5" x14ac:dyDescent="0.45">
      <c r="A851" s="151" t="s">
        <v>1</v>
      </c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</row>
    <row r="852" spans="1:11" ht="18.5" x14ac:dyDescent="0.45">
      <c r="A852" s="150" t="s">
        <v>74</v>
      </c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</row>
    <row r="853" spans="1:11" ht="18.5" x14ac:dyDescent="0.45">
      <c r="A853" s="149">
        <v>46107</v>
      </c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</row>
    <row r="854" spans="1:11" ht="18.5" x14ac:dyDescent="0.45">
      <c r="A854" s="150"/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</row>
    <row r="855" spans="1:11" ht="18.5" x14ac:dyDescent="0.45">
      <c r="A855" s="2" t="s">
        <v>75</v>
      </c>
      <c r="B855" s="2" t="s">
        <v>3</v>
      </c>
      <c r="C855" s="2" t="s">
        <v>100</v>
      </c>
      <c r="D855" s="2" t="s">
        <v>90</v>
      </c>
      <c r="E855" s="2" t="s">
        <v>91</v>
      </c>
      <c r="F855" s="2" t="s">
        <v>4</v>
      </c>
      <c r="G855" s="2" t="s">
        <v>101</v>
      </c>
      <c r="H855" s="2" t="s">
        <v>104</v>
      </c>
      <c r="I855" s="2"/>
      <c r="J855" s="2" t="s">
        <v>105</v>
      </c>
      <c r="K855" s="2" t="s">
        <v>106</v>
      </c>
    </row>
    <row r="856" spans="1:11" ht="15.5" x14ac:dyDescent="0.35">
      <c r="A856" s="3" t="s">
        <v>76</v>
      </c>
      <c r="B856" s="1">
        <v>108</v>
      </c>
      <c r="C856" s="20">
        <v>17500</v>
      </c>
      <c r="D856" s="1">
        <v>69</v>
      </c>
      <c r="E856" s="1">
        <v>39</v>
      </c>
      <c r="F856" s="20">
        <f>C856*B856</f>
        <v>1890000</v>
      </c>
      <c r="G856" s="20">
        <f>D856*C856</f>
        <v>1207500</v>
      </c>
      <c r="H856" s="20">
        <f>E856*C856</f>
        <v>682500</v>
      </c>
      <c r="I856" s="20" t="b">
        <f>D856+E856=B856</f>
        <v>1</v>
      </c>
      <c r="J856" s="20">
        <f>B891</f>
        <v>440000</v>
      </c>
      <c r="K856" s="20" t="s">
        <v>117</v>
      </c>
    </row>
    <row r="857" spans="1:11" ht="15.5" x14ac:dyDescent="0.35">
      <c r="A857" s="3" t="s">
        <v>77</v>
      </c>
      <c r="B857" s="1">
        <v>18</v>
      </c>
      <c r="C857" s="20">
        <v>16000</v>
      </c>
      <c r="D857" s="1">
        <v>10</v>
      </c>
      <c r="E857" s="1">
        <v>8</v>
      </c>
      <c r="F857" s="20">
        <f t="shared" ref="F857:F868" si="138">C857*B857</f>
        <v>288000</v>
      </c>
      <c r="G857" s="20">
        <f t="shared" ref="G857:G868" si="139">D857*C857</f>
        <v>160000</v>
      </c>
      <c r="H857" s="20">
        <f t="shared" ref="H857:H872" si="140">E857*C857</f>
        <v>128000</v>
      </c>
      <c r="I857" s="20" t="b">
        <f t="shared" ref="I857:I872" si="141">D857+E857=B857</f>
        <v>1</v>
      </c>
      <c r="J857" s="20">
        <v>35000</v>
      </c>
      <c r="K857" s="20" t="s">
        <v>385</v>
      </c>
    </row>
    <row r="858" spans="1:11" ht="15.5" x14ac:dyDescent="0.35">
      <c r="A858" s="3" t="s">
        <v>78</v>
      </c>
      <c r="B858" s="1">
        <v>65</v>
      </c>
      <c r="C858" s="20">
        <v>17500</v>
      </c>
      <c r="D858" s="1">
        <v>34</v>
      </c>
      <c r="E858" s="1">
        <v>31</v>
      </c>
      <c r="F858" s="20">
        <f t="shared" si="138"/>
        <v>1137500</v>
      </c>
      <c r="G858" s="20">
        <f t="shared" si="139"/>
        <v>595000</v>
      </c>
      <c r="H858" s="20">
        <f t="shared" si="140"/>
        <v>542500</v>
      </c>
      <c r="I858" s="20" t="b">
        <f t="shared" si="141"/>
        <v>1</v>
      </c>
      <c r="J858" s="20"/>
      <c r="K858" s="20"/>
    </row>
    <row r="859" spans="1:11" ht="15.5" x14ac:dyDescent="0.35">
      <c r="A859" s="3" t="s">
        <v>79</v>
      </c>
      <c r="B859" s="1">
        <v>25</v>
      </c>
      <c r="C859" s="20">
        <v>18500</v>
      </c>
      <c r="D859" s="1">
        <v>10</v>
      </c>
      <c r="E859" s="1">
        <v>15</v>
      </c>
      <c r="F859" s="20">
        <f t="shared" si="138"/>
        <v>462500</v>
      </c>
      <c r="G859" s="20">
        <f t="shared" si="139"/>
        <v>185000</v>
      </c>
      <c r="H859" s="20">
        <f t="shared" si="140"/>
        <v>277500</v>
      </c>
      <c r="I859" s="20" t="b">
        <f t="shared" si="141"/>
        <v>1</v>
      </c>
      <c r="J859" s="20"/>
      <c r="K859" s="20"/>
    </row>
    <row r="860" spans="1:11" ht="15.5" x14ac:dyDescent="0.35">
      <c r="A860" s="3" t="s">
        <v>80</v>
      </c>
      <c r="B860" s="1"/>
      <c r="C860" s="20">
        <v>18500</v>
      </c>
      <c r="D860" s="1"/>
      <c r="E860" s="1"/>
      <c r="F860" s="20">
        <f t="shared" si="138"/>
        <v>0</v>
      </c>
      <c r="G860" s="20">
        <f t="shared" si="139"/>
        <v>0</v>
      </c>
      <c r="H860" s="20">
        <f t="shared" si="140"/>
        <v>0</v>
      </c>
      <c r="I860" s="20" t="b">
        <f t="shared" si="141"/>
        <v>1</v>
      </c>
      <c r="J860" s="20"/>
      <c r="K860" s="20"/>
    </row>
    <row r="861" spans="1:11" ht="15.5" x14ac:dyDescent="0.35">
      <c r="A861" s="3" t="s">
        <v>81</v>
      </c>
      <c r="B861" s="1"/>
      <c r="C861" s="20">
        <v>23000</v>
      </c>
      <c r="D861" s="1"/>
      <c r="E861" s="1"/>
      <c r="F861" s="20">
        <f t="shared" si="138"/>
        <v>0</v>
      </c>
      <c r="G861" s="20">
        <f t="shared" si="139"/>
        <v>0</v>
      </c>
      <c r="H861" s="20">
        <f t="shared" si="140"/>
        <v>0</v>
      </c>
      <c r="I861" s="20" t="b">
        <f t="shared" si="141"/>
        <v>1</v>
      </c>
      <c r="J861" s="20"/>
      <c r="K861" s="20"/>
    </row>
    <row r="862" spans="1:11" ht="15.5" x14ac:dyDescent="0.35">
      <c r="A862" s="3" t="s">
        <v>82</v>
      </c>
      <c r="B862" s="1"/>
      <c r="C862" s="20">
        <v>18000</v>
      </c>
      <c r="D862" s="1"/>
      <c r="E862" s="1"/>
      <c r="F862" s="20">
        <f t="shared" si="138"/>
        <v>0</v>
      </c>
      <c r="G862" s="20">
        <f t="shared" si="139"/>
        <v>0</v>
      </c>
      <c r="H862" s="20">
        <f t="shared" si="140"/>
        <v>0</v>
      </c>
      <c r="I862" s="20" t="b">
        <f t="shared" si="141"/>
        <v>1</v>
      </c>
      <c r="J862" s="20"/>
      <c r="K862" s="20"/>
    </row>
    <row r="863" spans="1:11" ht="15.5" x14ac:dyDescent="0.35">
      <c r="A863" s="3" t="s">
        <v>83</v>
      </c>
      <c r="B863" s="1"/>
      <c r="C863" s="20">
        <v>18000</v>
      </c>
      <c r="D863" s="1"/>
      <c r="E863" s="1"/>
      <c r="F863" s="20">
        <f t="shared" si="138"/>
        <v>0</v>
      </c>
      <c r="G863" s="20">
        <f t="shared" si="139"/>
        <v>0</v>
      </c>
      <c r="H863" s="20">
        <f t="shared" si="140"/>
        <v>0</v>
      </c>
      <c r="I863" s="20" t="b">
        <f t="shared" si="141"/>
        <v>1</v>
      </c>
      <c r="J863" s="20"/>
      <c r="K863" s="20"/>
    </row>
    <row r="864" spans="1:11" ht="15.5" x14ac:dyDescent="0.35">
      <c r="A864" s="3" t="s">
        <v>84</v>
      </c>
      <c r="B864" s="1">
        <v>46</v>
      </c>
      <c r="C864" s="20">
        <v>18500</v>
      </c>
      <c r="D864" s="1">
        <v>27</v>
      </c>
      <c r="E864" s="1">
        <v>19</v>
      </c>
      <c r="F864" s="20">
        <f t="shared" si="138"/>
        <v>851000</v>
      </c>
      <c r="G864" s="20">
        <f t="shared" si="139"/>
        <v>499500</v>
      </c>
      <c r="H864" s="20">
        <f t="shared" si="140"/>
        <v>351500</v>
      </c>
      <c r="I864" s="20" t="b">
        <f t="shared" si="141"/>
        <v>1</v>
      </c>
      <c r="J864" s="20"/>
      <c r="K864" s="20"/>
    </row>
    <row r="865" spans="1:11" ht="15.5" x14ac:dyDescent="0.35">
      <c r="A865" s="3" t="s">
        <v>85</v>
      </c>
      <c r="B865" s="1"/>
      <c r="C865" s="20">
        <v>18500</v>
      </c>
      <c r="D865" s="1"/>
      <c r="E865" s="1"/>
      <c r="F865" s="20">
        <f t="shared" si="138"/>
        <v>0</v>
      </c>
      <c r="G865" s="20">
        <f t="shared" si="139"/>
        <v>0</v>
      </c>
      <c r="H865" s="20">
        <f t="shared" si="140"/>
        <v>0</v>
      </c>
      <c r="I865" s="20" t="b">
        <f t="shared" si="141"/>
        <v>1</v>
      </c>
      <c r="J865" s="20"/>
      <c r="K865" s="20"/>
    </row>
    <row r="866" spans="1:11" ht="15.5" x14ac:dyDescent="0.35">
      <c r="A866" s="3" t="s">
        <v>86</v>
      </c>
      <c r="B866" s="1"/>
      <c r="C866" s="20">
        <v>18500</v>
      </c>
      <c r="D866" s="1"/>
      <c r="E866" s="1"/>
      <c r="F866" s="20">
        <f t="shared" si="138"/>
        <v>0</v>
      </c>
      <c r="G866" s="20">
        <f t="shared" si="139"/>
        <v>0</v>
      </c>
      <c r="H866" s="20">
        <f t="shared" si="140"/>
        <v>0</v>
      </c>
      <c r="I866" s="20" t="b">
        <f t="shared" si="141"/>
        <v>1</v>
      </c>
      <c r="J866" s="20"/>
      <c r="K866" s="20"/>
    </row>
    <row r="867" spans="1:11" ht="15.5" x14ac:dyDescent="0.35">
      <c r="A867" s="3" t="s">
        <v>87</v>
      </c>
      <c r="B867" s="1">
        <v>6</v>
      </c>
      <c r="C867" s="20">
        <v>18500</v>
      </c>
      <c r="D867" s="1">
        <v>5</v>
      </c>
      <c r="E867" s="1">
        <v>1</v>
      </c>
      <c r="F867" s="20">
        <f t="shared" si="138"/>
        <v>111000</v>
      </c>
      <c r="G867" s="20">
        <f t="shared" si="139"/>
        <v>92500</v>
      </c>
      <c r="H867" s="20">
        <f t="shared" si="140"/>
        <v>18500</v>
      </c>
      <c r="I867" s="20" t="b">
        <f t="shared" si="141"/>
        <v>1</v>
      </c>
      <c r="J867" s="20"/>
      <c r="K867" s="20"/>
    </row>
    <row r="868" spans="1:11" ht="15.5" x14ac:dyDescent="0.35">
      <c r="A868" s="3" t="s">
        <v>88</v>
      </c>
      <c r="B868" s="1">
        <v>5</v>
      </c>
      <c r="C868" s="20">
        <v>18500</v>
      </c>
      <c r="D868" s="1">
        <v>3</v>
      </c>
      <c r="E868" s="1">
        <v>2</v>
      </c>
      <c r="F868" s="20">
        <f t="shared" si="138"/>
        <v>92500</v>
      </c>
      <c r="G868" s="20">
        <f t="shared" si="139"/>
        <v>55500</v>
      </c>
      <c r="H868" s="20">
        <f t="shared" si="140"/>
        <v>37000</v>
      </c>
      <c r="I868" s="20" t="b">
        <f t="shared" si="141"/>
        <v>1</v>
      </c>
      <c r="J868" s="20"/>
      <c r="K868" s="20"/>
    </row>
    <row r="869" spans="1:11" ht="15.5" x14ac:dyDescent="0.35">
      <c r="A869" s="19" t="s">
        <v>89</v>
      </c>
      <c r="B869" s="1"/>
      <c r="C869" s="20"/>
      <c r="D869" s="1"/>
      <c r="E869" s="1"/>
      <c r="F869" s="20"/>
      <c r="G869" s="20"/>
      <c r="H869" s="20">
        <f t="shared" si="140"/>
        <v>0</v>
      </c>
      <c r="I869" s="20" t="b">
        <f t="shared" si="141"/>
        <v>1</v>
      </c>
      <c r="J869" s="20"/>
      <c r="K869" s="20"/>
    </row>
    <row r="870" spans="1:11" ht="15.5" x14ac:dyDescent="0.35">
      <c r="A870" s="3" t="s">
        <v>92</v>
      </c>
      <c r="B870" s="1"/>
      <c r="C870" s="20">
        <v>21500</v>
      </c>
      <c r="D870" s="1"/>
      <c r="E870" s="1"/>
      <c r="F870" s="20">
        <f t="shared" ref="F870:F872" si="142">C870*B870</f>
        <v>0</v>
      </c>
      <c r="G870" s="20">
        <f t="shared" ref="G870:G872" si="143">D870*C870</f>
        <v>0</v>
      </c>
      <c r="H870" s="20">
        <f t="shared" si="140"/>
        <v>0</v>
      </c>
      <c r="I870" s="20" t="b">
        <f t="shared" si="141"/>
        <v>1</v>
      </c>
      <c r="J870" s="20"/>
      <c r="K870" s="20"/>
    </row>
    <row r="871" spans="1:11" ht="15.5" x14ac:dyDescent="0.35">
      <c r="A871" s="3" t="s">
        <v>93</v>
      </c>
      <c r="B871" s="1">
        <v>30</v>
      </c>
      <c r="C871" s="20">
        <v>21500</v>
      </c>
      <c r="D871" s="1">
        <v>21</v>
      </c>
      <c r="E871" s="1">
        <v>9</v>
      </c>
      <c r="F871" s="20">
        <f t="shared" si="142"/>
        <v>645000</v>
      </c>
      <c r="G871" s="20">
        <f t="shared" si="143"/>
        <v>451500</v>
      </c>
      <c r="H871" s="20">
        <f t="shared" si="140"/>
        <v>193500</v>
      </c>
      <c r="I871" s="20" t="b">
        <f t="shared" si="141"/>
        <v>1</v>
      </c>
      <c r="J871" s="20"/>
      <c r="K871" s="20"/>
    </row>
    <row r="872" spans="1:11" ht="15.5" x14ac:dyDescent="0.35">
      <c r="A872" s="3" t="s">
        <v>94</v>
      </c>
      <c r="B872" s="1">
        <v>28</v>
      </c>
      <c r="C872" s="20">
        <v>21500</v>
      </c>
      <c r="D872" s="1">
        <v>17</v>
      </c>
      <c r="E872" s="1">
        <v>11</v>
      </c>
      <c r="F872" s="20">
        <f t="shared" si="142"/>
        <v>602000</v>
      </c>
      <c r="G872" s="20">
        <f t="shared" si="143"/>
        <v>365500</v>
      </c>
      <c r="H872" s="20">
        <f t="shared" si="140"/>
        <v>236500</v>
      </c>
      <c r="I872" s="20" t="b">
        <f t="shared" si="141"/>
        <v>1</v>
      </c>
      <c r="J872" s="20"/>
      <c r="K872" s="20"/>
    </row>
    <row r="873" spans="1:11" ht="15.5" x14ac:dyDescent="0.35">
      <c r="A873" s="19"/>
      <c r="B873" s="22">
        <f>SUM(B856:B872)</f>
        <v>331</v>
      </c>
      <c r="C873" s="20"/>
      <c r="D873" s="1"/>
      <c r="E873" s="1"/>
      <c r="F873" s="23">
        <f>SUM(F856:F872)</f>
        <v>6079500</v>
      </c>
      <c r="G873" s="23">
        <f>SUM(G856:G872)</f>
        <v>3612000</v>
      </c>
      <c r="H873" s="23">
        <f>SUM(H856:H872)</f>
        <v>2467500</v>
      </c>
      <c r="I873" s="23"/>
      <c r="J873" s="23">
        <f>SUM(J856:J872)</f>
        <v>475000</v>
      </c>
      <c r="K873" s="23">
        <f>H873-J873</f>
        <v>1992500</v>
      </c>
    </row>
    <row r="874" spans="1:11" ht="15.5" x14ac:dyDescent="0.35">
      <c r="A874" s="19" t="s">
        <v>95</v>
      </c>
      <c r="B874" s="1"/>
      <c r="C874" s="20"/>
      <c r="D874" s="1"/>
      <c r="E874" s="1"/>
      <c r="F874" s="20"/>
      <c r="G874" s="20"/>
      <c r="H874" s="20" t="s">
        <v>192</v>
      </c>
      <c r="I874" s="20"/>
      <c r="J874" s="20"/>
      <c r="K874" s="20"/>
    </row>
    <row r="875" spans="1:11" ht="15.5" x14ac:dyDescent="0.35">
      <c r="A875" s="3" t="s">
        <v>96</v>
      </c>
      <c r="B875" s="1"/>
      <c r="C875" s="20">
        <v>3000</v>
      </c>
      <c r="D875" s="1"/>
      <c r="E875" s="20"/>
      <c r="F875" s="20">
        <f t="shared" ref="F875:F878" si="144">C875*B875</f>
        <v>0</v>
      </c>
      <c r="G875" s="20"/>
      <c r="H875" s="20"/>
      <c r="I875" s="20"/>
      <c r="J875" s="20"/>
      <c r="K875" s="20"/>
    </row>
    <row r="876" spans="1:11" ht="15.5" x14ac:dyDescent="0.35">
      <c r="A876" s="3" t="s">
        <v>97</v>
      </c>
      <c r="B876" s="1"/>
      <c r="C876" s="20">
        <v>2500</v>
      </c>
      <c r="D876" s="1"/>
      <c r="E876" s="1"/>
      <c r="F876" s="20">
        <f t="shared" si="144"/>
        <v>0</v>
      </c>
      <c r="G876" s="20"/>
      <c r="H876" s="20"/>
      <c r="I876" s="20"/>
      <c r="J876" s="20"/>
      <c r="K876" s="20"/>
    </row>
    <row r="877" spans="1:11" ht="15.5" x14ac:dyDescent="0.35">
      <c r="A877" s="3" t="s">
        <v>98</v>
      </c>
      <c r="B877" s="1"/>
      <c r="C877" s="20">
        <v>1800</v>
      </c>
      <c r="D877" s="1"/>
      <c r="E877" s="1"/>
      <c r="F877" s="20">
        <f t="shared" si="144"/>
        <v>0</v>
      </c>
      <c r="G877" s="20"/>
      <c r="H877" s="20"/>
      <c r="I877" s="20"/>
      <c r="J877" s="20"/>
      <c r="K877" s="20"/>
    </row>
    <row r="878" spans="1:11" ht="15.5" x14ac:dyDescent="0.35">
      <c r="A878" s="3" t="s">
        <v>99</v>
      </c>
      <c r="B878" s="1"/>
      <c r="C878" s="20">
        <v>3500</v>
      </c>
      <c r="D878" s="1"/>
      <c r="E878" s="1"/>
      <c r="F878" s="20">
        <f t="shared" si="144"/>
        <v>0</v>
      </c>
      <c r="G878" s="20"/>
      <c r="H878" s="20"/>
      <c r="I878" s="20"/>
      <c r="J878" s="20"/>
      <c r="K878" s="20"/>
    </row>
    <row r="879" spans="1:11" ht="15.5" x14ac:dyDescent="0.35">
      <c r="A879" s="18"/>
      <c r="F879" s="21"/>
    </row>
    <row r="880" spans="1:11" ht="15.5" x14ac:dyDescent="0.35">
      <c r="A880" s="24" t="s">
        <v>108</v>
      </c>
      <c r="K880" s="21"/>
    </row>
    <row r="881" spans="1:11" ht="15.5" x14ac:dyDescent="0.35">
      <c r="A881" s="18" t="s">
        <v>114</v>
      </c>
      <c r="B881" s="67">
        <v>40000</v>
      </c>
    </row>
    <row r="882" spans="1:11" ht="15.5" x14ac:dyDescent="0.35">
      <c r="A882" s="18" t="s">
        <v>112</v>
      </c>
      <c r="B882" s="67">
        <v>40000</v>
      </c>
    </row>
    <row r="883" spans="1:11" ht="15.5" x14ac:dyDescent="0.35">
      <c r="A883" s="18" t="s">
        <v>309</v>
      </c>
      <c r="B883" s="67">
        <v>60000</v>
      </c>
    </row>
    <row r="884" spans="1:11" ht="15.5" x14ac:dyDescent="0.35">
      <c r="A884" s="18" t="s">
        <v>110</v>
      </c>
      <c r="B884" s="67">
        <v>40000</v>
      </c>
    </row>
    <row r="885" spans="1:11" ht="15.5" x14ac:dyDescent="0.35">
      <c r="A885" s="18" t="s">
        <v>111</v>
      </c>
      <c r="B885" s="67">
        <v>40000</v>
      </c>
    </row>
    <row r="886" spans="1:11" ht="15.5" x14ac:dyDescent="0.35">
      <c r="A886" s="18" t="s">
        <v>196</v>
      </c>
      <c r="B886" s="67">
        <v>40000</v>
      </c>
    </row>
    <row r="887" spans="1:11" ht="15.5" x14ac:dyDescent="0.35">
      <c r="A887" s="18" t="s">
        <v>113</v>
      </c>
      <c r="B887" s="67">
        <v>40000</v>
      </c>
    </row>
    <row r="888" spans="1:11" ht="15.5" x14ac:dyDescent="0.35">
      <c r="A888" s="18" t="s">
        <v>209</v>
      </c>
      <c r="B888" s="67">
        <v>40000</v>
      </c>
    </row>
    <row r="889" spans="1:11" ht="15.5" x14ac:dyDescent="0.35">
      <c r="A889" s="18" t="s">
        <v>115</v>
      </c>
      <c r="B889" s="67">
        <v>60000</v>
      </c>
    </row>
    <row r="890" spans="1:11" ht="15.5" x14ac:dyDescent="0.35">
      <c r="A890" s="18" t="s">
        <v>109</v>
      </c>
      <c r="B890" s="67">
        <v>40000</v>
      </c>
    </row>
    <row r="891" spans="1:11" ht="15.5" x14ac:dyDescent="0.35">
      <c r="A891" s="24" t="s">
        <v>4</v>
      </c>
      <c r="B891" s="75">
        <f>SUM(B881:B890)</f>
        <v>440000</v>
      </c>
    </row>
    <row r="892" spans="1:11" ht="15.5" x14ac:dyDescent="0.35">
      <c r="A892" s="24"/>
      <c r="B892" s="75"/>
    </row>
    <row r="893" spans="1:11" ht="15.5" x14ac:dyDescent="0.35">
      <c r="A893" s="24"/>
      <c r="B893" s="75"/>
    </row>
    <row r="894" spans="1:11" ht="18.5" x14ac:dyDescent="0.45">
      <c r="A894" s="151" t="s">
        <v>1</v>
      </c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</row>
    <row r="895" spans="1:11" ht="18.5" x14ac:dyDescent="0.45">
      <c r="A895" s="150" t="s">
        <v>74</v>
      </c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</row>
    <row r="896" spans="1:11" ht="18.5" x14ac:dyDescent="0.45">
      <c r="A896" s="149">
        <v>46108</v>
      </c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</row>
    <row r="897" spans="1:11" ht="18.5" x14ac:dyDescent="0.45">
      <c r="A897" s="150"/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</row>
    <row r="898" spans="1:11" ht="18.5" x14ac:dyDescent="0.45">
      <c r="A898" s="2" t="s">
        <v>75</v>
      </c>
      <c r="B898" s="2" t="s">
        <v>3</v>
      </c>
      <c r="C898" s="2" t="s">
        <v>100</v>
      </c>
      <c r="D898" s="2" t="s">
        <v>90</v>
      </c>
      <c r="E898" s="2" t="s">
        <v>91</v>
      </c>
      <c r="F898" s="2" t="s">
        <v>4</v>
      </c>
      <c r="G898" s="2" t="s">
        <v>101</v>
      </c>
      <c r="H898" s="2" t="s">
        <v>104</v>
      </c>
      <c r="I898" s="2"/>
      <c r="J898" s="2" t="s">
        <v>105</v>
      </c>
      <c r="K898" s="2" t="s">
        <v>106</v>
      </c>
    </row>
    <row r="899" spans="1:11" ht="15.5" x14ac:dyDescent="0.35">
      <c r="A899" s="3" t="s">
        <v>76</v>
      </c>
      <c r="B899" s="1">
        <v>141</v>
      </c>
      <c r="C899" s="20">
        <v>17500</v>
      </c>
      <c r="D899" s="1">
        <v>63</v>
      </c>
      <c r="E899" s="1">
        <v>78</v>
      </c>
      <c r="F899" s="20">
        <f>C899*B899</f>
        <v>2467500</v>
      </c>
      <c r="G899" s="20">
        <f>D899*C899</f>
        <v>1102500</v>
      </c>
      <c r="H899" s="20">
        <f>E899*C899</f>
        <v>1365000</v>
      </c>
      <c r="I899" s="20" t="b">
        <f>D899+E899=B899</f>
        <v>1</v>
      </c>
      <c r="J899" s="20">
        <f>B934</f>
        <v>440000</v>
      </c>
      <c r="K899" s="20" t="s">
        <v>117</v>
      </c>
    </row>
    <row r="900" spans="1:11" ht="15.5" x14ac:dyDescent="0.35">
      <c r="A900" s="3" t="s">
        <v>77</v>
      </c>
      <c r="B900" s="1">
        <v>23</v>
      </c>
      <c r="C900" s="20">
        <v>16000</v>
      </c>
      <c r="D900" s="1">
        <v>11</v>
      </c>
      <c r="E900" s="1">
        <v>12</v>
      </c>
      <c r="F900" s="20">
        <f t="shared" ref="F900:F911" si="145">C900*B900</f>
        <v>368000</v>
      </c>
      <c r="G900" s="20">
        <f t="shared" ref="G900:G911" si="146">D900*C900</f>
        <v>176000</v>
      </c>
      <c r="H900" s="20">
        <f t="shared" ref="H900:H915" si="147">E900*C900</f>
        <v>192000</v>
      </c>
      <c r="I900" s="20" t="b">
        <f t="shared" ref="I900:I915" si="148">D900+E900=B900</f>
        <v>1</v>
      </c>
      <c r="J900" s="20">
        <v>107130</v>
      </c>
      <c r="K900" s="20" t="s">
        <v>277</v>
      </c>
    </row>
    <row r="901" spans="1:11" ht="15.5" x14ac:dyDescent="0.35">
      <c r="A901" s="3" t="s">
        <v>78</v>
      </c>
      <c r="B901" s="1">
        <v>56</v>
      </c>
      <c r="C901" s="20">
        <v>17500</v>
      </c>
      <c r="D901" s="1">
        <v>23</v>
      </c>
      <c r="E901" s="1">
        <v>33</v>
      </c>
      <c r="F901" s="20">
        <f t="shared" si="145"/>
        <v>980000</v>
      </c>
      <c r="G901" s="20">
        <f t="shared" si="146"/>
        <v>402500</v>
      </c>
      <c r="H901" s="20">
        <f t="shared" si="147"/>
        <v>577500</v>
      </c>
      <c r="I901" s="20" t="b">
        <f t="shared" si="148"/>
        <v>1</v>
      </c>
      <c r="J901" s="20">
        <v>195000</v>
      </c>
      <c r="K901" s="20" t="s">
        <v>199</v>
      </c>
    </row>
    <row r="902" spans="1:11" ht="15.5" x14ac:dyDescent="0.35">
      <c r="A902" s="3" t="s">
        <v>79</v>
      </c>
      <c r="B902" s="1">
        <v>27</v>
      </c>
      <c r="C902" s="20">
        <v>18500</v>
      </c>
      <c r="D902" s="1">
        <v>12</v>
      </c>
      <c r="E902" s="1">
        <v>15</v>
      </c>
      <c r="F902" s="20">
        <f t="shared" si="145"/>
        <v>499500</v>
      </c>
      <c r="G902" s="20">
        <f t="shared" si="146"/>
        <v>222000</v>
      </c>
      <c r="H902" s="20">
        <f t="shared" si="147"/>
        <v>277500</v>
      </c>
      <c r="I902" s="20" t="b">
        <f t="shared" si="148"/>
        <v>1</v>
      </c>
      <c r="J902" s="20">
        <v>390000</v>
      </c>
      <c r="K902" s="20" t="s">
        <v>107</v>
      </c>
    </row>
    <row r="903" spans="1:11" ht="15.5" x14ac:dyDescent="0.35">
      <c r="A903" s="3" t="s">
        <v>80</v>
      </c>
      <c r="B903" s="1"/>
      <c r="C903" s="20">
        <v>18500</v>
      </c>
      <c r="D903" s="1"/>
      <c r="E903" s="1"/>
      <c r="F903" s="20">
        <f t="shared" si="145"/>
        <v>0</v>
      </c>
      <c r="G903" s="20">
        <f t="shared" si="146"/>
        <v>0</v>
      </c>
      <c r="H903" s="20">
        <f t="shared" si="147"/>
        <v>0</v>
      </c>
      <c r="I903" s="20" t="b">
        <f t="shared" si="148"/>
        <v>1</v>
      </c>
      <c r="J903" s="20"/>
      <c r="K903" s="20"/>
    </row>
    <row r="904" spans="1:11" ht="15.5" x14ac:dyDescent="0.35">
      <c r="A904" s="3" t="s">
        <v>81</v>
      </c>
      <c r="B904" s="1"/>
      <c r="C904" s="20">
        <v>23000</v>
      </c>
      <c r="D904" s="1"/>
      <c r="E904" s="1"/>
      <c r="F904" s="20">
        <f t="shared" si="145"/>
        <v>0</v>
      </c>
      <c r="G904" s="20">
        <f t="shared" si="146"/>
        <v>0</v>
      </c>
      <c r="H904" s="20">
        <f t="shared" si="147"/>
        <v>0</v>
      </c>
      <c r="I904" s="20" t="b">
        <f t="shared" si="148"/>
        <v>1</v>
      </c>
      <c r="J904" s="20"/>
      <c r="K904" s="20"/>
    </row>
    <row r="905" spans="1:11" ht="15.5" x14ac:dyDescent="0.35">
      <c r="A905" s="3" t="s">
        <v>82</v>
      </c>
      <c r="B905" s="1"/>
      <c r="C905" s="20">
        <v>18000</v>
      </c>
      <c r="D905" s="1"/>
      <c r="E905" s="1"/>
      <c r="F905" s="20">
        <f t="shared" si="145"/>
        <v>0</v>
      </c>
      <c r="G905" s="20">
        <f t="shared" si="146"/>
        <v>0</v>
      </c>
      <c r="H905" s="20">
        <f t="shared" si="147"/>
        <v>0</v>
      </c>
      <c r="I905" s="20" t="b">
        <f t="shared" si="148"/>
        <v>1</v>
      </c>
      <c r="J905" s="20"/>
      <c r="K905" s="20"/>
    </row>
    <row r="906" spans="1:11" ht="15.5" x14ac:dyDescent="0.35">
      <c r="A906" s="3" t="s">
        <v>83</v>
      </c>
      <c r="B906" s="1"/>
      <c r="C906" s="20">
        <v>18000</v>
      </c>
      <c r="D906" s="1"/>
      <c r="E906" s="1"/>
      <c r="F906" s="20">
        <f t="shared" si="145"/>
        <v>0</v>
      </c>
      <c r="G906" s="20">
        <f t="shared" si="146"/>
        <v>0</v>
      </c>
      <c r="H906" s="20">
        <f t="shared" si="147"/>
        <v>0</v>
      </c>
      <c r="I906" s="20" t="b">
        <f t="shared" si="148"/>
        <v>1</v>
      </c>
      <c r="J906" s="20"/>
      <c r="K906" s="20"/>
    </row>
    <row r="907" spans="1:11" ht="15.5" x14ac:dyDescent="0.35">
      <c r="A907" s="3" t="s">
        <v>84</v>
      </c>
      <c r="B907" s="1"/>
      <c r="C907" s="20">
        <v>18500</v>
      </c>
      <c r="D907" s="1"/>
      <c r="E907" s="1"/>
      <c r="F907" s="20">
        <f t="shared" si="145"/>
        <v>0</v>
      </c>
      <c r="G907" s="20">
        <f t="shared" si="146"/>
        <v>0</v>
      </c>
      <c r="H907" s="20">
        <f t="shared" si="147"/>
        <v>0</v>
      </c>
      <c r="I907" s="20" t="b">
        <f t="shared" si="148"/>
        <v>1</v>
      </c>
      <c r="J907" s="20"/>
      <c r="K907" s="20"/>
    </row>
    <row r="908" spans="1:11" ht="15.5" x14ac:dyDescent="0.35">
      <c r="A908" s="3" t="s">
        <v>85</v>
      </c>
      <c r="B908" s="1">
        <v>48</v>
      </c>
      <c r="C908" s="20">
        <v>18500</v>
      </c>
      <c r="D908" s="1">
        <v>24</v>
      </c>
      <c r="E908" s="1">
        <v>24</v>
      </c>
      <c r="F908" s="20">
        <f t="shared" si="145"/>
        <v>888000</v>
      </c>
      <c r="G908" s="20">
        <f t="shared" si="146"/>
        <v>444000</v>
      </c>
      <c r="H908" s="20">
        <f t="shared" si="147"/>
        <v>444000</v>
      </c>
      <c r="I908" s="20" t="b">
        <f t="shared" si="148"/>
        <v>1</v>
      </c>
      <c r="J908" s="20"/>
      <c r="K908" s="20"/>
    </row>
    <row r="909" spans="1:11" ht="15.5" x14ac:dyDescent="0.35">
      <c r="A909" s="3" t="s">
        <v>86</v>
      </c>
      <c r="B909" s="1">
        <v>9</v>
      </c>
      <c r="C909" s="20">
        <v>18500</v>
      </c>
      <c r="D909" s="1">
        <v>7</v>
      </c>
      <c r="E909" s="1">
        <v>2</v>
      </c>
      <c r="F909" s="20">
        <f t="shared" si="145"/>
        <v>166500</v>
      </c>
      <c r="G909" s="20">
        <f t="shared" si="146"/>
        <v>129500</v>
      </c>
      <c r="H909" s="20">
        <f t="shared" si="147"/>
        <v>37000</v>
      </c>
      <c r="I909" s="20" t="b">
        <f t="shared" si="148"/>
        <v>1</v>
      </c>
      <c r="J909" s="20"/>
      <c r="K909" s="20"/>
    </row>
    <row r="910" spans="1:11" ht="15.5" x14ac:dyDescent="0.35">
      <c r="A910" s="3" t="s">
        <v>87</v>
      </c>
      <c r="B910" s="1"/>
      <c r="C910" s="20">
        <v>18500</v>
      </c>
      <c r="D910" s="1"/>
      <c r="E910" s="1"/>
      <c r="F910" s="20">
        <f t="shared" si="145"/>
        <v>0</v>
      </c>
      <c r="G910" s="20">
        <f t="shared" si="146"/>
        <v>0</v>
      </c>
      <c r="H910" s="20">
        <f t="shared" si="147"/>
        <v>0</v>
      </c>
      <c r="I910" s="20" t="b">
        <f t="shared" si="148"/>
        <v>1</v>
      </c>
      <c r="J910" s="20"/>
      <c r="K910" s="20"/>
    </row>
    <row r="911" spans="1:11" ht="15.5" x14ac:dyDescent="0.35">
      <c r="A911" s="3" t="s">
        <v>88</v>
      </c>
      <c r="B911" s="1">
        <v>12</v>
      </c>
      <c r="C911" s="20">
        <v>18500</v>
      </c>
      <c r="D911" s="1">
        <v>8</v>
      </c>
      <c r="E911" s="1">
        <v>4</v>
      </c>
      <c r="F911" s="20">
        <f t="shared" si="145"/>
        <v>222000</v>
      </c>
      <c r="G911" s="20">
        <f t="shared" si="146"/>
        <v>148000</v>
      </c>
      <c r="H911" s="20">
        <f t="shared" si="147"/>
        <v>74000</v>
      </c>
      <c r="I911" s="20" t="b">
        <f t="shared" si="148"/>
        <v>1</v>
      </c>
      <c r="J911" s="20"/>
      <c r="K911" s="20"/>
    </row>
    <row r="912" spans="1:11" ht="15.5" x14ac:dyDescent="0.35">
      <c r="A912" s="19" t="s">
        <v>89</v>
      </c>
      <c r="B912" s="1"/>
      <c r="C912" s="20"/>
      <c r="D912" s="1"/>
      <c r="E912" s="1"/>
      <c r="F912" s="20"/>
      <c r="G912" s="20"/>
      <c r="H912" s="20">
        <f t="shared" si="147"/>
        <v>0</v>
      </c>
      <c r="I912" s="20" t="b">
        <f t="shared" si="148"/>
        <v>1</v>
      </c>
      <c r="J912" s="20"/>
      <c r="K912" s="20"/>
    </row>
    <row r="913" spans="1:11" ht="15.5" x14ac:dyDescent="0.35">
      <c r="A913" s="3" t="s">
        <v>92</v>
      </c>
      <c r="B913" s="1">
        <v>39</v>
      </c>
      <c r="C913" s="20">
        <v>21500</v>
      </c>
      <c r="D913" s="1">
        <v>24</v>
      </c>
      <c r="E913" s="1">
        <v>15</v>
      </c>
      <c r="F913" s="20">
        <f t="shared" ref="F913:F915" si="149">C913*B913</f>
        <v>838500</v>
      </c>
      <c r="G913" s="20">
        <f t="shared" ref="G913:G915" si="150">D913*C913</f>
        <v>516000</v>
      </c>
      <c r="H913" s="20">
        <f t="shared" si="147"/>
        <v>322500</v>
      </c>
      <c r="I913" s="20" t="b">
        <f t="shared" si="148"/>
        <v>1</v>
      </c>
      <c r="J913" s="20"/>
      <c r="K913" s="20"/>
    </row>
    <row r="914" spans="1:11" ht="15.5" x14ac:dyDescent="0.35">
      <c r="A914" s="3" t="s">
        <v>93</v>
      </c>
      <c r="B914" s="1"/>
      <c r="C914" s="20">
        <v>21500</v>
      </c>
      <c r="D914" s="1"/>
      <c r="E914" s="1"/>
      <c r="F914" s="20">
        <f t="shared" si="149"/>
        <v>0</v>
      </c>
      <c r="G914" s="20">
        <f t="shared" si="150"/>
        <v>0</v>
      </c>
      <c r="H914" s="20">
        <f t="shared" si="147"/>
        <v>0</v>
      </c>
      <c r="I914" s="20" t="b">
        <f t="shared" si="148"/>
        <v>1</v>
      </c>
      <c r="J914" s="20"/>
      <c r="K914" s="20"/>
    </row>
    <row r="915" spans="1:11" ht="15.5" x14ac:dyDescent="0.35">
      <c r="A915" s="3" t="s">
        <v>94</v>
      </c>
      <c r="B915" s="1">
        <v>23</v>
      </c>
      <c r="C915" s="20">
        <v>21500</v>
      </c>
      <c r="D915" s="1">
        <v>10</v>
      </c>
      <c r="E915" s="1">
        <v>13</v>
      </c>
      <c r="F915" s="20">
        <f t="shared" si="149"/>
        <v>494500</v>
      </c>
      <c r="G915" s="20">
        <f t="shared" si="150"/>
        <v>215000</v>
      </c>
      <c r="H915" s="20">
        <f t="shared" si="147"/>
        <v>279500</v>
      </c>
      <c r="I915" s="20" t="b">
        <f t="shared" si="148"/>
        <v>1</v>
      </c>
      <c r="J915" s="20"/>
      <c r="K915" s="20"/>
    </row>
    <row r="916" spans="1:11" ht="15.5" x14ac:dyDescent="0.35">
      <c r="A916" s="19"/>
      <c r="B916" s="22">
        <f>SUM(B899:B915)</f>
        <v>378</v>
      </c>
      <c r="C916" s="20"/>
      <c r="D916" s="1"/>
      <c r="E916" s="1"/>
      <c r="F916" s="23">
        <f>SUM(F899:F915)</f>
        <v>6924500</v>
      </c>
      <c r="G916" s="23">
        <f>SUM(G899:G915)</f>
        <v>3355500</v>
      </c>
      <c r="H916" s="23">
        <f>SUM(H899:H915)</f>
        <v>3569000</v>
      </c>
      <c r="I916" s="23"/>
      <c r="J916" s="23">
        <f>SUM(J899:J915)</f>
        <v>1132130</v>
      </c>
      <c r="K916" s="23">
        <f>H916-J916</f>
        <v>2436870</v>
      </c>
    </row>
    <row r="917" spans="1:11" ht="15.5" x14ac:dyDescent="0.35">
      <c r="A917" s="19" t="s">
        <v>95</v>
      </c>
      <c r="B917" s="1"/>
      <c r="C917" s="20"/>
      <c r="D917" s="1"/>
      <c r="E917" s="1"/>
      <c r="F917" s="20"/>
      <c r="G917" s="20"/>
      <c r="H917" s="20" t="s">
        <v>192</v>
      </c>
      <c r="I917" s="20"/>
      <c r="J917" s="20"/>
      <c r="K917" s="20"/>
    </row>
    <row r="918" spans="1:11" ht="15.5" x14ac:dyDescent="0.35">
      <c r="A918" s="3" t="s">
        <v>96</v>
      </c>
      <c r="B918" s="1"/>
      <c r="C918" s="20">
        <v>3000</v>
      </c>
      <c r="D918" s="1"/>
      <c r="E918" s="20"/>
      <c r="F918" s="20">
        <f t="shared" ref="F918:F921" si="151">C918*B918</f>
        <v>0</v>
      </c>
      <c r="G918" s="20"/>
      <c r="H918" s="20"/>
      <c r="I918" s="20"/>
      <c r="J918" s="20"/>
      <c r="K918" s="20"/>
    </row>
    <row r="919" spans="1:11" ht="15.5" x14ac:dyDescent="0.35">
      <c r="A919" s="3" t="s">
        <v>97</v>
      </c>
      <c r="B919" s="1"/>
      <c r="C919" s="20">
        <v>2500</v>
      </c>
      <c r="D919" s="1"/>
      <c r="E919" s="1"/>
      <c r="F919" s="20">
        <f t="shared" si="151"/>
        <v>0</v>
      </c>
      <c r="G919" s="20"/>
      <c r="H919" s="20"/>
      <c r="I919" s="20"/>
      <c r="J919" s="20"/>
      <c r="K919" s="20"/>
    </row>
    <row r="920" spans="1:11" ht="15.5" x14ac:dyDescent="0.35">
      <c r="A920" s="3" t="s">
        <v>98</v>
      </c>
      <c r="B920" s="1"/>
      <c r="C920" s="20">
        <v>1800</v>
      </c>
      <c r="D920" s="1"/>
      <c r="E920" s="1"/>
      <c r="F920" s="20">
        <f t="shared" si="151"/>
        <v>0</v>
      </c>
      <c r="G920" s="20"/>
      <c r="H920" s="20"/>
      <c r="I920" s="20"/>
      <c r="J920" s="20"/>
      <c r="K920" s="20"/>
    </row>
    <row r="921" spans="1:11" ht="15.5" x14ac:dyDescent="0.35">
      <c r="A921" s="3" t="s">
        <v>99</v>
      </c>
      <c r="B921" s="1"/>
      <c r="C921" s="20">
        <v>3500</v>
      </c>
      <c r="D921" s="1"/>
      <c r="E921" s="1"/>
      <c r="F921" s="20">
        <f t="shared" si="151"/>
        <v>0</v>
      </c>
      <c r="G921" s="20"/>
      <c r="H921" s="20"/>
      <c r="I921" s="20"/>
      <c r="J921" s="20"/>
      <c r="K921" s="20"/>
    </row>
    <row r="922" spans="1:11" ht="15.5" x14ac:dyDescent="0.35">
      <c r="A922" s="18"/>
      <c r="F922" s="21"/>
    </row>
    <row r="923" spans="1:11" ht="15.5" x14ac:dyDescent="0.35">
      <c r="A923" s="24" t="s">
        <v>108</v>
      </c>
      <c r="K923" s="21"/>
    </row>
    <row r="924" spans="1:11" ht="15.5" x14ac:dyDescent="0.35">
      <c r="A924" s="18" t="s">
        <v>114</v>
      </c>
      <c r="B924" s="67">
        <v>40000</v>
      </c>
    </row>
    <row r="925" spans="1:11" ht="15.5" x14ac:dyDescent="0.35">
      <c r="A925" s="18" t="s">
        <v>112</v>
      </c>
      <c r="B925" s="67">
        <v>40000</v>
      </c>
    </row>
    <row r="926" spans="1:11" ht="15.5" x14ac:dyDescent="0.35">
      <c r="A926" s="18" t="s">
        <v>309</v>
      </c>
      <c r="B926" s="67">
        <v>60000</v>
      </c>
    </row>
    <row r="927" spans="1:11" ht="15.5" x14ac:dyDescent="0.35">
      <c r="A927" s="18" t="s">
        <v>110</v>
      </c>
      <c r="B927" s="67">
        <v>40000</v>
      </c>
    </row>
    <row r="928" spans="1:11" ht="15.5" x14ac:dyDescent="0.35">
      <c r="A928" s="18" t="s">
        <v>111</v>
      </c>
      <c r="B928" s="67">
        <v>40000</v>
      </c>
    </row>
    <row r="929" spans="1:11" ht="15.5" x14ac:dyDescent="0.35">
      <c r="A929" s="18" t="s">
        <v>196</v>
      </c>
      <c r="B929" s="67">
        <v>40000</v>
      </c>
    </row>
    <row r="930" spans="1:11" ht="15.5" x14ac:dyDescent="0.35">
      <c r="A930" s="18" t="s">
        <v>113</v>
      </c>
      <c r="B930" s="67">
        <v>40000</v>
      </c>
    </row>
    <row r="931" spans="1:11" ht="15.5" x14ac:dyDescent="0.35">
      <c r="A931" s="18" t="s">
        <v>209</v>
      </c>
      <c r="B931" s="67">
        <v>40000</v>
      </c>
    </row>
    <row r="932" spans="1:11" ht="15.5" x14ac:dyDescent="0.35">
      <c r="A932" s="18" t="s">
        <v>115</v>
      </c>
      <c r="B932" s="67">
        <v>60000</v>
      </c>
    </row>
    <row r="933" spans="1:11" ht="15.5" x14ac:dyDescent="0.35">
      <c r="A933" s="18" t="s">
        <v>109</v>
      </c>
      <c r="B933" s="67">
        <v>40000</v>
      </c>
    </row>
    <row r="934" spans="1:11" ht="15.5" x14ac:dyDescent="0.35">
      <c r="A934" s="24" t="s">
        <v>4</v>
      </c>
      <c r="B934" s="75">
        <f>SUM(B924:B933)</f>
        <v>440000</v>
      </c>
    </row>
    <row r="937" spans="1:11" ht="18.5" x14ac:dyDescent="0.45">
      <c r="A937" s="151" t="s">
        <v>1</v>
      </c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</row>
    <row r="938" spans="1:11" ht="18.5" x14ac:dyDescent="0.45">
      <c r="A938" s="150" t="s">
        <v>74</v>
      </c>
      <c r="B938" s="150"/>
      <c r="C938" s="150"/>
      <c r="D938" s="150"/>
      <c r="E938" s="150"/>
      <c r="F938" s="150"/>
      <c r="G938" s="150"/>
      <c r="H938" s="150"/>
      <c r="I938" s="150"/>
      <c r="J938" s="150"/>
      <c r="K938" s="150"/>
    </row>
    <row r="939" spans="1:11" ht="18.5" x14ac:dyDescent="0.45">
      <c r="A939" s="149">
        <v>46109</v>
      </c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</row>
    <row r="940" spans="1:11" ht="18.5" x14ac:dyDescent="0.45">
      <c r="A940" s="150"/>
      <c r="B940" s="150"/>
      <c r="C940" s="150"/>
      <c r="D940" s="150"/>
      <c r="E940" s="150"/>
      <c r="F940" s="150"/>
      <c r="G940" s="150"/>
      <c r="H940" s="150"/>
      <c r="I940" s="150"/>
      <c r="J940" s="150"/>
      <c r="K940" s="150"/>
    </row>
    <row r="941" spans="1:11" ht="18.5" x14ac:dyDescent="0.45">
      <c r="A941" s="2" t="s">
        <v>75</v>
      </c>
      <c r="B941" s="2" t="s">
        <v>3</v>
      </c>
      <c r="C941" s="2" t="s">
        <v>100</v>
      </c>
      <c r="D941" s="2" t="s">
        <v>90</v>
      </c>
      <c r="E941" s="2" t="s">
        <v>91</v>
      </c>
      <c r="F941" s="2" t="s">
        <v>4</v>
      </c>
      <c r="G941" s="2" t="s">
        <v>101</v>
      </c>
      <c r="H941" s="2" t="s">
        <v>104</v>
      </c>
      <c r="I941" s="2"/>
      <c r="J941" s="2" t="s">
        <v>105</v>
      </c>
      <c r="K941" s="2" t="s">
        <v>106</v>
      </c>
    </row>
    <row r="942" spans="1:11" ht="15.5" x14ac:dyDescent="0.35">
      <c r="A942" s="3" t="s">
        <v>76</v>
      </c>
      <c r="B942" s="1">
        <v>68</v>
      </c>
      <c r="C942" s="20">
        <v>17500</v>
      </c>
      <c r="D942" s="1">
        <v>38</v>
      </c>
      <c r="E942" s="1">
        <v>30</v>
      </c>
      <c r="F942" s="20">
        <f>C942*B942</f>
        <v>1190000</v>
      </c>
      <c r="G942" s="20">
        <f>D942*C942</f>
        <v>665000</v>
      </c>
      <c r="H942" s="20">
        <f>E942*C942</f>
        <v>525000</v>
      </c>
      <c r="I942" s="20" t="b">
        <f>D942+E942=B942</f>
        <v>1</v>
      </c>
      <c r="J942" s="20">
        <f>B971</f>
        <v>240000</v>
      </c>
      <c r="K942" s="20" t="s">
        <v>117</v>
      </c>
    </row>
    <row r="943" spans="1:11" ht="15.5" x14ac:dyDescent="0.35">
      <c r="A943" s="3" t="s">
        <v>77</v>
      </c>
      <c r="B943" s="1">
        <v>12</v>
      </c>
      <c r="C943" s="20">
        <v>16000</v>
      </c>
      <c r="D943" s="1">
        <v>8</v>
      </c>
      <c r="E943" s="1">
        <v>4</v>
      </c>
      <c r="F943" s="20">
        <f t="shared" ref="F943:F954" si="152">C943*B943</f>
        <v>192000</v>
      </c>
      <c r="G943" s="20">
        <f t="shared" ref="G943:G954" si="153">D943*C943</f>
        <v>128000</v>
      </c>
      <c r="H943" s="20">
        <f t="shared" ref="H943:H958" si="154">E943*C943</f>
        <v>64000</v>
      </c>
      <c r="I943" s="20" t="b">
        <f t="shared" ref="I943:I958" si="155">D943+E943=B943</f>
        <v>1</v>
      </c>
      <c r="J943" s="20">
        <v>7500</v>
      </c>
      <c r="K943" s="20" t="s">
        <v>249</v>
      </c>
    </row>
    <row r="944" spans="1:11" ht="15.5" x14ac:dyDescent="0.35">
      <c r="A944" s="3" t="s">
        <v>78</v>
      </c>
      <c r="B944" s="1">
        <v>35</v>
      </c>
      <c r="C944" s="20">
        <v>17500</v>
      </c>
      <c r="D944" s="1">
        <v>23</v>
      </c>
      <c r="E944" s="1">
        <v>12</v>
      </c>
      <c r="F944" s="20">
        <f t="shared" si="152"/>
        <v>612500</v>
      </c>
      <c r="G944" s="20">
        <f t="shared" si="153"/>
        <v>402500</v>
      </c>
      <c r="H944" s="20">
        <f t="shared" si="154"/>
        <v>210000</v>
      </c>
      <c r="I944" s="20" t="b">
        <f t="shared" si="155"/>
        <v>1</v>
      </c>
      <c r="J944" s="20">
        <v>185000</v>
      </c>
      <c r="K944" s="20" t="s">
        <v>107</v>
      </c>
    </row>
    <row r="945" spans="1:11" ht="15.5" x14ac:dyDescent="0.35">
      <c r="A945" s="3" t="s">
        <v>79</v>
      </c>
      <c r="B945" s="1">
        <v>17</v>
      </c>
      <c r="C945" s="20">
        <v>18500</v>
      </c>
      <c r="D945" s="1">
        <v>5</v>
      </c>
      <c r="E945" s="1">
        <v>12</v>
      </c>
      <c r="F945" s="20">
        <f t="shared" si="152"/>
        <v>314500</v>
      </c>
      <c r="G945" s="20">
        <f t="shared" si="153"/>
        <v>92500</v>
      </c>
      <c r="H945" s="20">
        <f t="shared" si="154"/>
        <v>222000</v>
      </c>
      <c r="I945" s="20" t="b">
        <f t="shared" si="155"/>
        <v>1</v>
      </c>
      <c r="J945" s="20"/>
      <c r="K945" s="20"/>
    </row>
    <row r="946" spans="1:11" ht="15.5" x14ac:dyDescent="0.35">
      <c r="A946" s="3" t="s">
        <v>80</v>
      </c>
      <c r="B946" s="1">
        <v>12</v>
      </c>
      <c r="C946" s="20">
        <v>18500</v>
      </c>
      <c r="D946" s="1">
        <v>7</v>
      </c>
      <c r="E946" s="1">
        <v>5</v>
      </c>
      <c r="F946" s="20">
        <f t="shared" si="152"/>
        <v>222000</v>
      </c>
      <c r="G946" s="20">
        <f t="shared" si="153"/>
        <v>129500</v>
      </c>
      <c r="H946" s="20">
        <f t="shared" si="154"/>
        <v>92500</v>
      </c>
      <c r="I946" s="20" t="b">
        <f t="shared" si="155"/>
        <v>1</v>
      </c>
      <c r="J946" s="20"/>
      <c r="K946" s="20"/>
    </row>
    <row r="947" spans="1:11" ht="15.5" x14ac:dyDescent="0.35">
      <c r="A947" s="3" t="s">
        <v>81</v>
      </c>
      <c r="B947" s="1">
        <v>13</v>
      </c>
      <c r="C947" s="20">
        <v>23000</v>
      </c>
      <c r="D947" s="1">
        <v>7</v>
      </c>
      <c r="E947" s="1">
        <v>6</v>
      </c>
      <c r="F947" s="20">
        <f t="shared" si="152"/>
        <v>299000</v>
      </c>
      <c r="G947" s="20">
        <f t="shared" si="153"/>
        <v>161000</v>
      </c>
      <c r="H947" s="20">
        <f t="shared" si="154"/>
        <v>138000</v>
      </c>
      <c r="I947" s="20" t="b">
        <f t="shared" si="155"/>
        <v>1</v>
      </c>
      <c r="J947" s="20"/>
      <c r="K947" s="20"/>
    </row>
    <row r="948" spans="1:11" ht="15.5" x14ac:dyDescent="0.35">
      <c r="A948" s="3" t="s">
        <v>82</v>
      </c>
      <c r="B948" s="1"/>
      <c r="C948" s="20">
        <v>18000</v>
      </c>
      <c r="D948" s="1"/>
      <c r="E948" s="1"/>
      <c r="F948" s="20">
        <f t="shared" si="152"/>
        <v>0</v>
      </c>
      <c r="G948" s="20">
        <f t="shared" si="153"/>
        <v>0</v>
      </c>
      <c r="H948" s="20">
        <f t="shared" si="154"/>
        <v>0</v>
      </c>
      <c r="I948" s="20" t="b">
        <f t="shared" si="155"/>
        <v>1</v>
      </c>
      <c r="J948" s="20"/>
      <c r="K948" s="20"/>
    </row>
    <row r="949" spans="1:11" ht="15.5" x14ac:dyDescent="0.35">
      <c r="A949" s="3" t="s">
        <v>83</v>
      </c>
      <c r="B949" s="1"/>
      <c r="C949" s="20">
        <v>18000</v>
      </c>
      <c r="D949" s="1"/>
      <c r="E949" s="1"/>
      <c r="F949" s="20">
        <f t="shared" si="152"/>
        <v>0</v>
      </c>
      <c r="G949" s="20">
        <f t="shared" si="153"/>
        <v>0</v>
      </c>
      <c r="H949" s="20">
        <f t="shared" si="154"/>
        <v>0</v>
      </c>
      <c r="I949" s="20" t="b">
        <f t="shared" si="155"/>
        <v>1</v>
      </c>
      <c r="J949" s="20"/>
      <c r="K949" s="20"/>
    </row>
    <row r="950" spans="1:11" ht="15.5" x14ac:dyDescent="0.35">
      <c r="A950" s="3" t="s">
        <v>84</v>
      </c>
      <c r="B950" s="1"/>
      <c r="C950" s="20">
        <v>18500</v>
      </c>
      <c r="D950" s="1"/>
      <c r="E950" s="1"/>
      <c r="F950" s="20">
        <f t="shared" si="152"/>
        <v>0</v>
      </c>
      <c r="G950" s="20">
        <f t="shared" si="153"/>
        <v>0</v>
      </c>
      <c r="H950" s="20">
        <f t="shared" si="154"/>
        <v>0</v>
      </c>
      <c r="I950" s="20" t="b">
        <f t="shared" si="155"/>
        <v>1</v>
      </c>
      <c r="J950" s="20"/>
      <c r="K950" s="20"/>
    </row>
    <row r="951" spans="1:11" ht="15.5" x14ac:dyDescent="0.35">
      <c r="A951" s="3" t="s">
        <v>85</v>
      </c>
      <c r="B951" s="1">
        <v>26</v>
      </c>
      <c r="C951" s="20">
        <v>18500</v>
      </c>
      <c r="D951" s="1">
        <v>17</v>
      </c>
      <c r="E951" s="1">
        <v>9</v>
      </c>
      <c r="F951" s="20">
        <f t="shared" si="152"/>
        <v>481000</v>
      </c>
      <c r="G951" s="20">
        <f t="shared" si="153"/>
        <v>314500</v>
      </c>
      <c r="H951" s="20">
        <f t="shared" si="154"/>
        <v>166500</v>
      </c>
      <c r="I951" s="20" t="b">
        <f t="shared" si="155"/>
        <v>1</v>
      </c>
      <c r="J951" s="20"/>
      <c r="K951" s="20"/>
    </row>
    <row r="952" spans="1:11" ht="15.5" x14ac:dyDescent="0.35">
      <c r="A952" s="3" t="s">
        <v>86</v>
      </c>
      <c r="B952" s="1">
        <v>4</v>
      </c>
      <c r="C952" s="20">
        <v>18500</v>
      </c>
      <c r="D952" s="1">
        <v>2</v>
      </c>
      <c r="E952" s="1">
        <v>2</v>
      </c>
      <c r="F952" s="20">
        <f t="shared" si="152"/>
        <v>74000</v>
      </c>
      <c r="G952" s="20">
        <f t="shared" si="153"/>
        <v>37000</v>
      </c>
      <c r="H952" s="20">
        <f t="shared" si="154"/>
        <v>37000</v>
      </c>
      <c r="I952" s="20" t="b">
        <f t="shared" si="155"/>
        <v>1</v>
      </c>
      <c r="J952" s="20"/>
      <c r="K952" s="20"/>
    </row>
    <row r="953" spans="1:11" ht="15.5" x14ac:dyDescent="0.35">
      <c r="A953" s="3" t="s">
        <v>87</v>
      </c>
      <c r="B953" s="1">
        <v>3</v>
      </c>
      <c r="C953" s="20">
        <v>18500</v>
      </c>
      <c r="D953" s="1">
        <v>1</v>
      </c>
      <c r="E953" s="1">
        <v>2</v>
      </c>
      <c r="F953" s="20">
        <f t="shared" si="152"/>
        <v>55500</v>
      </c>
      <c r="G953" s="20">
        <f t="shared" si="153"/>
        <v>18500</v>
      </c>
      <c r="H953" s="20">
        <f t="shared" si="154"/>
        <v>37000</v>
      </c>
      <c r="I953" s="20" t="b">
        <f t="shared" si="155"/>
        <v>1</v>
      </c>
      <c r="J953" s="20"/>
      <c r="K953" s="20"/>
    </row>
    <row r="954" spans="1:11" ht="15.5" x14ac:dyDescent="0.35">
      <c r="A954" s="3" t="s">
        <v>88</v>
      </c>
      <c r="B954" s="1"/>
      <c r="C954" s="20">
        <v>18500</v>
      </c>
      <c r="D954" s="1"/>
      <c r="E954" s="1"/>
      <c r="F954" s="20">
        <f t="shared" si="152"/>
        <v>0</v>
      </c>
      <c r="G954" s="20">
        <f t="shared" si="153"/>
        <v>0</v>
      </c>
      <c r="H954" s="20">
        <f t="shared" si="154"/>
        <v>0</v>
      </c>
      <c r="I954" s="20" t="b">
        <f t="shared" si="155"/>
        <v>1</v>
      </c>
      <c r="J954" s="20"/>
      <c r="K954" s="20"/>
    </row>
    <row r="955" spans="1:11" ht="15.5" x14ac:dyDescent="0.35">
      <c r="A955" s="19" t="s">
        <v>89</v>
      </c>
      <c r="B955" s="1"/>
      <c r="C955" s="20"/>
      <c r="D955" s="1"/>
      <c r="E955" s="1"/>
      <c r="F955" s="20"/>
      <c r="G955" s="20"/>
      <c r="H955" s="20">
        <f t="shared" si="154"/>
        <v>0</v>
      </c>
      <c r="I955" s="20" t="b">
        <f t="shared" si="155"/>
        <v>1</v>
      </c>
      <c r="J955" s="20"/>
      <c r="K955" s="20"/>
    </row>
    <row r="956" spans="1:11" ht="15.5" x14ac:dyDescent="0.35">
      <c r="A956" s="3" t="s">
        <v>92</v>
      </c>
      <c r="B956" s="1">
        <v>26</v>
      </c>
      <c r="C956" s="20">
        <v>21500</v>
      </c>
      <c r="D956" s="1">
        <v>19</v>
      </c>
      <c r="E956" s="1">
        <v>7</v>
      </c>
      <c r="F956" s="20">
        <f t="shared" ref="F956:F958" si="156">C956*B956</f>
        <v>559000</v>
      </c>
      <c r="G956" s="20">
        <f t="shared" ref="G956:G958" si="157">D956*C956</f>
        <v>408500</v>
      </c>
      <c r="H956" s="20">
        <f t="shared" si="154"/>
        <v>150500</v>
      </c>
      <c r="I956" s="20" t="b">
        <f t="shared" si="155"/>
        <v>1</v>
      </c>
      <c r="J956" s="20"/>
      <c r="K956" s="20"/>
    </row>
    <row r="957" spans="1:11" ht="15.5" x14ac:dyDescent="0.35">
      <c r="A957" s="3" t="s">
        <v>93</v>
      </c>
      <c r="B957" s="1">
        <v>4</v>
      </c>
      <c r="C957" s="20">
        <v>21500</v>
      </c>
      <c r="D957" s="1">
        <v>2</v>
      </c>
      <c r="E957" s="1">
        <v>2</v>
      </c>
      <c r="F957" s="20">
        <f t="shared" si="156"/>
        <v>86000</v>
      </c>
      <c r="G957" s="20">
        <f t="shared" si="157"/>
        <v>43000</v>
      </c>
      <c r="H957" s="20">
        <f t="shared" si="154"/>
        <v>43000</v>
      </c>
      <c r="I957" s="20" t="b">
        <f t="shared" si="155"/>
        <v>1</v>
      </c>
      <c r="J957" s="20"/>
      <c r="K957" s="20"/>
    </row>
    <row r="958" spans="1:11" ht="15.5" x14ac:dyDescent="0.35">
      <c r="A958" s="3" t="s">
        <v>94</v>
      </c>
      <c r="B958" s="1"/>
      <c r="C958" s="20">
        <v>21500</v>
      </c>
      <c r="D958" s="1"/>
      <c r="E958" s="1"/>
      <c r="F958" s="20">
        <f t="shared" si="156"/>
        <v>0</v>
      </c>
      <c r="G958" s="20">
        <f t="shared" si="157"/>
        <v>0</v>
      </c>
      <c r="H958" s="20">
        <f t="shared" si="154"/>
        <v>0</v>
      </c>
      <c r="I958" s="20" t="b">
        <f t="shared" si="155"/>
        <v>1</v>
      </c>
      <c r="J958" s="20"/>
      <c r="K958" s="20"/>
    </row>
    <row r="959" spans="1:11" ht="15.5" x14ac:dyDescent="0.35">
      <c r="A959" s="19"/>
      <c r="B959" s="22">
        <f>SUM(B942:B958)</f>
        <v>220</v>
      </c>
      <c r="C959" s="20"/>
      <c r="D959" s="1"/>
      <c r="E959" s="1"/>
      <c r="F959" s="23">
        <f>SUM(F942:F958)</f>
        <v>4085500</v>
      </c>
      <c r="G959" s="23">
        <f>SUM(G942:G958)</f>
        <v>2400000</v>
      </c>
      <c r="H959" s="23">
        <f>SUM(H942:H958)</f>
        <v>1685500</v>
      </c>
      <c r="I959" s="23"/>
      <c r="J959" s="23">
        <f>SUM(J942:J958)</f>
        <v>432500</v>
      </c>
      <c r="K959" s="23">
        <f>H959-J959</f>
        <v>1253000</v>
      </c>
    </row>
    <row r="960" spans="1:11" ht="15.5" x14ac:dyDescent="0.35">
      <c r="A960" s="19" t="s">
        <v>95</v>
      </c>
      <c r="B960" s="1"/>
      <c r="C960" s="20"/>
      <c r="D960" s="1"/>
      <c r="E960" s="1"/>
      <c r="F960" s="20"/>
      <c r="G960" s="20"/>
      <c r="H960" s="20" t="s">
        <v>192</v>
      </c>
      <c r="I960" s="20"/>
      <c r="J960" s="20"/>
      <c r="K960" s="20"/>
    </row>
    <row r="961" spans="1:11" ht="15.5" x14ac:dyDescent="0.35">
      <c r="A961" s="3" t="s">
        <v>96</v>
      </c>
      <c r="B961" s="1"/>
      <c r="C961" s="20">
        <v>3000</v>
      </c>
      <c r="D961" s="1"/>
      <c r="E961" s="20"/>
      <c r="F961" s="20">
        <f t="shared" ref="F961:F964" si="158">C961*B961</f>
        <v>0</v>
      </c>
      <c r="G961" s="20"/>
      <c r="H961" s="20"/>
      <c r="I961" s="20"/>
      <c r="J961" s="20"/>
      <c r="K961" s="20"/>
    </row>
    <row r="962" spans="1:11" ht="15.5" x14ac:dyDescent="0.35">
      <c r="A962" s="3" t="s">
        <v>97</v>
      </c>
      <c r="B962" s="1"/>
      <c r="C962" s="20">
        <v>2500</v>
      </c>
      <c r="D962" s="1"/>
      <c r="E962" s="1"/>
      <c r="F962" s="20">
        <f t="shared" si="158"/>
        <v>0</v>
      </c>
      <c r="G962" s="20"/>
      <c r="H962" s="20"/>
      <c r="I962" s="20"/>
      <c r="J962" s="20"/>
      <c r="K962" s="20"/>
    </row>
    <row r="963" spans="1:11" ht="15.5" x14ac:dyDescent="0.35">
      <c r="A963" s="3" t="s">
        <v>98</v>
      </c>
      <c r="B963" s="1"/>
      <c r="C963" s="20">
        <v>1800</v>
      </c>
      <c r="D963" s="1"/>
      <c r="E963" s="1"/>
      <c r="F963" s="20">
        <f t="shared" si="158"/>
        <v>0</v>
      </c>
      <c r="G963" s="20"/>
      <c r="H963" s="20"/>
      <c r="I963" s="20"/>
      <c r="J963" s="20"/>
      <c r="K963" s="20"/>
    </row>
    <row r="964" spans="1:11" ht="15.5" x14ac:dyDescent="0.35">
      <c r="A964" s="3" t="s">
        <v>99</v>
      </c>
      <c r="B964" s="1"/>
      <c r="C964" s="20">
        <v>3500</v>
      </c>
      <c r="D964" s="1"/>
      <c r="E964" s="1"/>
      <c r="F964" s="20">
        <f t="shared" si="158"/>
        <v>0</v>
      </c>
      <c r="G964" s="20"/>
      <c r="H964" s="20"/>
      <c r="I964" s="20"/>
      <c r="J964" s="20"/>
      <c r="K964" s="20"/>
    </row>
    <row r="965" spans="1:11" ht="15.5" x14ac:dyDescent="0.35">
      <c r="A965" s="18"/>
      <c r="F965" s="21"/>
    </row>
    <row r="966" spans="1:11" ht="15.5" x14ac:dyDescent="0.35">
      <c r="A966" s="24" t="s">
        <v>108</v>
      </c>
      <c r="K966" s="21"/>
    </row>
    <row r="967" spans="1:11" ht="15.5" x14ac:dyDescent="0.35">
      <c r="A967" s="18" t="s">
        <v>114</v>
      </c>
      <c r="B967" s="67">
        <v>60000</v>
      </c>
    </row>
    <row r="968" spans="1:11" ht="15.5" x14ac:dyDescent="0.35">
      <c r="A968" s="18" t="s">
        <v>112</v>
      </c>
      <c r="B968" s="67">
        <v>60000</v>
      </c>
    </row>
    <row r="969" spans="1:11" ht="15.5" x14ac:dyDescent="0.35">
      <c r="A969" s="18" t="s">
        <v>111</v>
      </c>
      <c r="B969" s="67">
        <v>60000</v>
      </c>
    </row>
    <row r="970" spans="1:11" ht="15.5" x14ac:dyDescent="0.35">
      <c r="A970" s="18" t="s">
        <v>196</v>
      </c>
      <c r="B970" s="67">
        <v>60000</v>
      </c>
    </row>
    <row r="971" spans="1:11" ht="15.5" x14ac:dyDescent="0.35">
      <c r="A971" s="24" t="s">
        <v>4</v>
      </c>
      <c r="B971" s="75">
        <f>SUM(B967:B970)</f>
        <v>240000</v>
      </c>
    </row>
    <row r="974" spans="1:11" ht="18.5" x14ac:dyDescent="0.45">
      <c r="A974" s="151" t="s">
        <v>1</v>
      </c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</row>
    <row r="975" spans="1:11" ht="18.5" x14ac:dyDescent="0.45">
      <c r="A975" s="150" t="s">
        <v>74</v>
      </c>
      <c r="B975" s="150"/>
      <c r="C975" s="150"/>
      <c r="D975" s="150"/>
      <c r="E975" s="150"/>
      <c r="F975" s="150"/>
      <c r="G975" s="150"/>
      <c r="H975" s="150"/>
      <c r="I975" s="150"/>
      <c r="J975" s="150"/>
      <c r="K975" s="150"/>
    </row>
    <row r="976" spans="1:11" ht="18.5" x14ac:dyDescent="0.45">
      <c r="A976" s="149">
        <v>46111</v>
      </c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</row>
    <row r="977" spans="1:11" ht="18.5" x14ac:dyDescent="0.45">
      <c r="A977" s="150"/>
      <c r="B977" s="150"/>
      <c r="C977" s="150"/>
      <c r="D977" s="150"/>
      <c r="E977" s="150"/>
      <c r="F977" s="150"/>
      <c r="G977" s="150"/>
      <c r="H977" s="150"/>
      <c r="I977" s="150"/>
      <c r="J977" s="150"/>
      <c r="K977" s="150"/>
    </row>
    <row r="978" spans="1:11" ht="18.5" x14ac:dyDescent="0.45">
      <c r="A978" s="2" t="s">
        <v>75</v>
      </c>
      <c r="B978" s="2" t="s">
        <v>3</v>
      </c>
      <c r="C978" s="2" t="s">
        <v>100</v>
      </c>
      <c r="D978" s="2" t="s">
        <v>90</v>
      </c>
      <c r="E978" s="2" t="s">
        <v>91</v>
      </c>
      <c r="F978" s="2" t="s">
        <v>4</v>
      </c>
      <c r="G978" s="2" t="s">
        <v>101</v>
      </c>
      <c r="H978" s="2" t="s">
        <v>104</v>
      </c>
      <c r="I978" s="2"/>
      <c r="J978" s="2" t="s">
        <v>105</v>
      </c>
      <c r="K978" s="2" t="s">
        <v>106</v>
      </c>
    </row>
    <row r="979" spans="1:11" ht="15.5" x14ac:dyDescent="0.35">
      <c r="A979" s="3" t="s">
        <v>76</v>
      </c>
      <c r="B979" s="1">
        <v>104</v>
      </c>
      <c r="C979" s="20">
        <v>17500</v>
      </c>
      <c r="D979" s="1">
        <v>32</v>
      </c>
      <c r="E979" s="1">
        <v>72</v>
      </c>
      <c r="F979" s="20">
        <f>C979*B979</f>
        <v>1820000</v>
      </c>
      <c r="G979" s="20">
        <f>D979*C979</f>
        <v>560000</v>
      </c>
      <c r="H979" s="20">
        <f>E979*C979</f>
        <v>1260000</v>
      </c>
      <c r="I979" s="20" t="b">
        <f>D979+E979=B979</f>
        <v>1</v>
      </c>
      <c r="J979" s="20">
        <f>B1014</f>
        <v>440000</v>
      </c>
      <c r="K979" s="20" t="s">
        <v>117</v>
      </c>
    </row>
    <row r="980" spans="1:11" ht="15.5" x14ac:dyDescent="0.35">
      <c r="A980" s="3" t="s">
        <v>77</v>
      </c>
      <c r="B980" s="1">
        <v>19</v>
      </c>
      <c r="C980" s="20">
        <v>16000</v>
      </c>
      <c r="D980" s="1">
        <v>8</v>
      </c>
      <c r="E980" s="1">
        <v>11</v>
      </c>
      <c r="F980" s="20">
        <f t="shared" ref="F980:F991" si="159">C980*B980</f>
        <v>304000</v>
      </c>
      <c r="G980" s="20">
        <f t="shared" ref="G980:G991" si="160">D980*C980</f>
        <v>128000</v>
      </c>
      <c r="H980" s="20">
        <f t="shared" ref="H980:H995" si="161">E980*C980</f>
        <v>176000</v>
      </c>
      <c r="I980" s="20" t="b">
        <f t="shared" ref="I980:I995" si="162">D980+E980=B980</f>
        <v>1</v>
      </c>
      <c r="J980" s="20">
        <v>30000</v>
      </c>
      <c r="K980" s="20" t="s">
        <v>386</v>
      </c>
    </row>
    <row r="981" spans="1:11" ht="15.5" x14ac:dyDescent="0.35">
      <c r="A981" s="3" t="s">
        <v>78</v>
      </c>
      <c r="B981" s="1">
        <v>66</v>
      </c>
      <c r="C981" s="20">
        <v>17500</v>
      </c>
      <c r="D981" s="1">
        <v>30</v>
      </c>
      <c r="E981" s="1">
        <v>36</v>
      </c>
      <c r="F981" s="20">
        <f t="shared" si="159"/>
        <v>1155000</v>
      </c>
      <c r="G981" s="20">
        <f t="shared" si="160"/>
        <v>525000</v>
      </c>
      <c r="H981" s="20">
        <f t="shared" si="161"/>
        <v>630000</v>
      </c>
      <c r="I981" s="20" t="b">
        <f t="shared" si="162"/>
        <v>1</v>
      </c>
      <c r="J981" s="20">
        <v>17500</v>
      </c>
      <c r="K981" s="20" t="s">
        <v>127</v>
      </c>
    </row>
    <row r="982" spans="1:11" ht="15.5" x14ac:dyDescent="0.35">
      <c r="A982" s="3" t="s">
        <v>79</v>
      </c>
      <c r="B982" s="1">
        <v>29</v>
      </c>
      <c r="C982" s="20">
        <v>18500</v>
      </c>
      <c r="D982" s="1">
        <v>12</v>
      </c>
      <c r="E982" s="1">
        <v>17</v>
      </c>
      <c r="F982" s="20">
        <f t="shared" si="159"/>
        <v>536500</v>
      </c>
      <c r="G982" s="20">
        <f t="shared" si="160"/>
        <v>222000</v>
      </c>
      <c r="H982" s="20">
        <f t="shared" si="161"/>
        <v>314500</v>
      </c>
      <c r="I982" s="20" t="b">
        <f t="shared" si="162"/>
        <v>1</v>
      </c>
      <c r="J982" s="20">
        <v>100000</v>
      </c>
      <c r="K982" s="20" t="s">
        <v>251</v>
      </c>
    </row>
    <row r="983" spans="1:11" ht="15.5" x14ac:dyDescent="0.35">
      <c r="A983" s="3" t="s">
        <v>80</v>
      </c>
      <c r="B983" s="1"/>
      <c r="C983" s="20">
        <v>18500</v>
      </c>
      <c r="D983" s="1"/>
      <c r="E983" s="1"/>
      <c r="F983" s="20">
        <f t="shared" si="159"/>
        <v>0</v>
      </c>
      <c r="G983" s="20">
        <f t="shared" si="160"/>
        <v>0</v>
      </c>
      <c r="H983" s="20">
        <f t="shared" si="161"/>
        <v>0</v>
      </c>
      <c r="I983" s="20" t="b">
        <f t="shared" si="162"/>
        <v>1</v>
      </c>
      <c r="J983" s="20">
        <v>340000</v>
      </c>
      <c r="K983" s="20" t="s">
        <v>387</v>
      </c>
    </row>
    <row r="984" spans="1:11" ht="15.5" x14ac:dyDescent="0.35">
      <c r="A984" s="3" t="s">
        <v>81</v>
      </c>
      <c r="B984" s="1"/>
      <c r="C984" s="20">
        <v>23000</v>
      </c>
      <c r="D984" s="1"/>
      <c r="E984" s="1"/>
      <c r="F984" s="20">
        <f t="shared" si="159"/>
        <v>0</v>
      </c>
      <c r="G984" s="20">
        <f t="shared" si="160"/>
        <v>0</v>
      </c>
      <c r="H984" s="20">
        <f t="shared" si="161"/>
        <v>0</v>
      </c>
      <c r="I984" s="20" t="b">
        <f t="shared" si="162"/>
        <v>1</v>
      </c>
      <c r="J984" s="20"/>
      <c r="K984" s="20"/>
    </row>
    <row r="985" spans="1:11" ht="15.5" x14ac:dyDescent="0.35">
      <c r="A985" s="3" t="s">
        <v>82</v>
      </c>
      <c r="B985" s="1">
        <v>34</v>
      </c>
      <c r="C985" s="20">
        <v>18000</v>
      </c>
      <c r="D985" s="1">
        <v>10</v>
      </c>
      <c r="E985" s="1">
        <v>24</v>
      </c>
      <c r="F985" s="20">
        <f t="shared" si="159"/>
        <v>612000</v>
      </c>
      <c r="G985" s="20">
        <f t="shared" si="160"/>
        <v>180000</v>
      </c>
      <c r="H985" s="20">
        <f t="shared" si="161"/>
        <v>432000</v>
      </c>
      <c r="I985" s="20" t="b">
        <f t="shared" si="162"/>
        <v>1</v>
      </c>
      <c r="J985" s="20"/>
      <c r="K985" s="20"/>
    </row>
    <row r="986" spans="1:11" ht="15.5" x14ac:dyDescent="0.35">
      <c r="A986" s="3" t="s">
        <v>83</v>
      </c>
      <c r="B986" s="1"/>
      <c r="C986" s="20">
        <v>18000</v>
      </c>
      <c r="D986" s="1"/>
      <c r="E986" s="1"/>
      <c r="F986" s="20">
        <f t="shared" si="159"/>
        <v>0</v>
      </c>
      <c r="G986" s="20">
        <f t="shared" si="160"/>
        <v>0</v>
      </c>
      <c r="H986" s="20">
        <f t="shared" si="161"/>
        <v>0</v>
      </c>
      <c r="I986" s="20" t="b">
        <f t="shared" si="162"/>
        <v>1</v>
      </c>
      <c r="J986" s="20"/>
      <c r="K986" s="20"/>
    </row>
    <row r="987" spans="1:11" ht="15.5" x14ac:dyDescent="0.35">
      <c r="A987" s="3" t="s">
        <v>84</v>
      </c>
      <c r="B987" s="1"/>
      <c r="C987" s="20">
        <v>18500</v>
      </c>
      <c r="D987" s="1"/>
      <c r="E987" s="1"/>
      <c r="F987" s="20">
        <f t="shared" si="159"/>
        <v>0</v>
      </c>
      <c r="G987" s="20">
        <f t="shared" si="160"/>
        <v>0</v>
      </c>
      <c r="H987" s="20">
        <f t="shared" si="161"/>
        <v>0</v>
      </c>
      <c r="I987" s="20" t="b">
        <f t="shared" si="162"/>
        <v>1</v>
      </c>
      <c r="J987" s="20"/>
      <c r="K987" s="20"/>
    </row>
    <row r="988" spans="1:11" ht="15.5" x14ac:dyDescent="0.35">
      <c r="A988" s="3" t="s">
        <v>85</v>
      </c>
      <c r="B988" s="1"/>
      <c r="C988" s="20">
        <v>18500</v>
      </c>
      <c r="D988" s="1"/>
      <c r="E988" s="1"/>
      <c r="F988" s="20">
        <f t="shared" si="159"/>
        <v>0</v>
      </c>
      <c r="G988" s="20">
        <f t="shared" si="160"/>
        <v>0</v>
      </c>
      <c r="H988" s="20">
        <f t="shared" si="161"/>
        <v>0</v>
      </c>
      <c r="I988" s="20" t="b">
        <f t="shared" si="162"/>
        <v>1</v>
      </c>
      <c r="J988" s="20"/>
      <c r="K988" s="20"/>
    </row>
    <row r="989" spans="1:11" ht="15.5" x14ac:dyDescent="0.35">
      <c r="A989" s="3" t="s">
        <v>86</v>
      </c>
      <c r="B989" s="1">
        <v>9</v>
      </c>
      <c r="C989" s="20">
        <v>18500</v>
      </c>
      <c r="D989" s="1">
        <v>4</v>
      </c>
      <c r="E989" s="1">
        <v>5</v>
      </c>
      <c r="F989" s="20">
        <f t="shared" si="159"/>
        <v>166500</v>
      </c>
      <c r="G989" s="20">
        <f t="shared" si="160"/>
        <v>74000</v>
      </c>
      <c r="H989" s="20">
        <f t="shared" si="161"/>
        <v>92500</v>
      </c>
      <c r="I989" s="20" t="b">
        <f t="shared" si="162"/>
        <v>1</v>
      </c>
      <c r="J989" s="20"/>
      <c r="K989" s="20"/>
    </row>
    <row r="990" spans="1:11" ht="15.5" x14ac:dyDescent="0.35">
      <c r="A990" s="3" t="s">
        <v>87</v>
      </c>
      <c r="B990" s="1"/>
      <c r="C990" s="20">
        <v>18500</v>
      </c>
      <c r="D990" s="1"/>
      <c r="E990" s="1"/>
      <c r="F990" s="20">
        <f t="shared" si="159"/>
        <v>0</v>
      </c>
      <c r="G990" s="20">
        <f t="shared" si="160"/>
        <v>0</v>
      </c>
      <c r="H990" s="20">
        <f t="shared" si="161"/>
        <v>0</v>
      </c>
      <c r="I990" s="20" t="b">
        <f t="shared" si="162"/>
        <v>1</v>
      </c>
      <c r="J990" s="20"/>
      <c r="K990" s="20"/>
    </row>
    <row r="991" spans="1:11" ht="15.5" x14ac:dyDescent="0.35">
      <c r="A991" s="3" t="s">
        <v>88</v>
      </c>
      <c r="B991" s="1">
        <v>14</v>
      </c>
      <c r="C991" s="20">
        <v>18500</v>
      </c>
      <c r="D991" s="1">
        <v>10</v>
      </c>
      <c r="E991" s="1">
        <v>4</v>
      </c>
      <c r="F991" s="20">
        <f t="shared" si="159"/>
        <v>259000</v>
      </c>
      <c r="G991" s="20">
        <f t="shared" si="160"/>
        <v>185000</v>
      </c>
      <c r="H991" s="20">
        <f t="shared" si="161"/>
        <v>74000</v>
      </c>
      <c r="I991" s="20" t="b">
        <f t="shared" si="162"/>
        <v>1</v>
      </c>
      <c r="J991" s="20"/>
      <c r="K991" s="20"/>
    </row>
    <row r="992" spans="1:11" ht="15.5" x14ac:dyDescent="0.35">
      <c r="A992" s="19" t="s">
        <v>89</v>
      </c>
      <c r="B992" s="1"/>
      <c r="C992" s="20"/>
      <c r="D992" s="1"/>
      <c r="E992" s="1"/>
      <c r="F992" s="20"/>
      <c r="G992" s="20"/>
      <c r="H992" s="20">
        <f t="shared" si="161"/>
        <v>0</v>
      </c>
      <c r="I992" s="20" t="b">
        <f t="shared" si="162"/>
        <v>1</v>
      </c>
      <c r="J992" s="20"/>
      <c r="K992" s="20"/>
    </row>
    <row r="993" spans="1:11" ht="15.5" x14ac:dyDescent="0.35">
      <c r="A993" s="3" t="s">
        <v>92</v>
      </c>
      <c r="B993" s="1">
        <v>40</v>
      </c>
      <c r="C993" s="20">
        <v>21500</v>
      </c>
      <c r="D993" s="1">
        <v>18</v>
      </c>
      <c r="E993" s="1">
        <v>22</v>
      </c>
      <c r="F993" s="20">
        <f t="shared" ref="F993:F995" si="163">C993*B993</f>
        <v>860000</v>
      </c>
      <c r="G993" s="20">
        <f t="shared" ref="G993:G995" si="164">D993*C993</f>
        <v>387000</v>
      </c>
      <c r="H993" s="20">
        <f t="shared" si="161"/>
        <v>473000</v>
      </c>
      <c r="I993" s="20" t="b">
        <f t="shared" si="162"/>
        <v>1</v>
      </c>
      <c r="J993" s="20"/>
      <c r="K993" s="20"/>
    </row>
    <row r="994" spans="1:11" ht="15.5" x14ac:dyDescent="0.35">
      <c r="A994" s="3" t="s">
        <v>93</v>
      </c>
      <c r="B994" s="1"/>
      <c r="C994" s="20">
        <v>21500</v>
      </c>
      <c r="D994" s="1"/>
      <c r="E994" s="1"/>
      <c r="F994" s="20">
        <f t="shared" si="163"/>
        <v>0</v>
      </c>
      <c r="G994" s="20">
        <f t="shared" si="164"/>
        <v>0</v>
      </c>
      <c r="H994" s="20">
        <f t="shared" si="161"/>
        <v>0</v>
      </c>
      <c r="I994" s="20" t="b">
        <f t="shared" si="162"/>
        <v>1</v>
      </c>
      <c r="J994" s="20"/>
      <c r="K994" s="20"/>
    </row>
    <row r="995" spans="1:11" ht="15.5" x14ac:dyDescent="0.35">
      <c r="A995" s="3" t="s">
        <v>94</v>
      </c>
      <c r="B995" s="1">
        <v>47</v>
      </c>
      <c r="C995" s="20">
        <v>21500</v>
      </c>
      <c r="D995" s="1">
        <v>36</v>
      </c>
      <c r="E995" s="1">
        <v>11</v>
      </c>
      <c r="F995" s="20">
        <f t="shared" si="163"/>
        <v>1010500</v>
      </c>
      <c r="G995" s="20">
        <f t="shared" si="164"/>
        <v>774000</v>
      </c>
      <c r="H995" s="20">
        <f t="shared" si="161"/>
        <v>236500</v>
      </c>
      <c r="I995" s="20" t="b">
        <f t="shared" si="162"/>
        <v>1</v>
      </c>
      <c r="J995" s="20"/>
      <c r="K995" s="20"/>
    </row>
    <row r="996" spans="1:11" ht="15.5" x14ac:dyDescent="0.35">
      <c r="A996" s="19"/>
      <c r="B996" s="22">
        <f>SUM(B979:B995)</f>
        <v>362</v>
      </c>
      <c r="C996" s="20"/>
      <c r="D996" s="1"/>
      <c r="E996" s="1"/>
      <c r="F996" s="23">
        <f>SUM(F979:F995)</f>
        <v>6723500</v>
      </c>
      <c r="G996" s="23">
        <f>SUM(G979:G995)</f>
        <v>3035000</v>
      </c>
      <c r="H996" s="23">
        <f>SUM(H979:H995)</f>
        <v>3688500</v>
      </c>
      <c r="I996" s="23"/>
      <c r="J996" s="23">
        <f>SUM(J979:J995)</f>
        <v>927500</v>
      </c>
      <c r="K996" s="23">
        <f>H996-J996</f>
        <v>2761000</v>
      </c>
    </row>
    <row r="997" spans="1:11" ht="15.5" x14ac:dyDescent="0.35">
      <c r="A997" s="19" t="s">
        <v>95</v>
      </c>
      <c r="B997" s="1"/>
      <c r="C997" s="20"/>
      <c r="D997" s="1"/>
      <c r="E997" s="1"/>
      <c r="F997" s="20"/>
      <c r="G997" s="20"/>
      <c r="H997" s="20" t="s">
        <v>192</v>
      </c>
      <c r="I997" s="20"/>
      <c r="J997" s="20"/>
      <c r="K997" s="20"/>
    </row>
    <row r="998" spans="1:11" ht="15.5" x14ac:dyDescent="0.35">
      <c r="A998" s="3" t="s">
        <v>96</v>
      </c>
      <c r="B998" s="1"/>
      <c r="C998" s="20">
        <v>3000</v>
      </c>
      <c r="D998" s="1"/>
      <c r="E998" s="20"/>
      <c r="F998" s="20">
        <f t="shared" ref="F998:F1001" si="165">C998*B998</f>
        <v>0</v>
      </c>
      <c r="G998" s="20"/>
      <c r="H998" s="20"/>
      <c r="I998" s="20"/>
      <c r="J998" s="20"/>
      <c r="K998" s="20"/>
    </row>
    <row r="999" spans="1:11" ht="15.5" x14ac:dyDescent="0.35">
      <c r="A999" s="3" t="s">
        <v>97</v>
      </c>
      <c r="B999" s="1"/>
      <c r="C999" s="20">
        <v>2500</v>
      </c>
      <c r="D999" s="1"/>
      <c r="E999" s="1"/>
      <c r="F999" s="20">
        <f t="shared" si="165"/>
        <v>0</v>
      </c>
      <c r="G999" s="20"/>
      <c r="H999" s="20"/>
      <c r="I999" s="20"/>
      <c r="J999" s="20"/>
      <c r="K999" s="20"/>
    </row>
    <row r="1000" spans="1:11" ht="15.5" x14ac:dyDescent="0.35">
      <c r="A1000" s="3" t="s">
        <v>98</v>
      </c>
      <c r="B1000" s="1"/>
      <c r="C1000" s="20">
        <v>1800</v>
      </c>
      <c r="D1000" s="1"/>
      <c r="E1000" s="1"/>
      <c r="F1000" s="20">
        <f t="shared" si="165"/>
        <v>0</v>
      </c>
      <c r="G1000" s="20"/>
      <c r="H1000" s="20"/>
      <c r="I1000" s="20"/>
      <c r="J1000" s="20"/>
      <c r="K1000" s="20"/>
    </row>
    <row r="1001" spans="1:11" ht="15.5" x14ac:dyDescent="0.35">
      <c r="A1001" s="3" t="s">
        <v>99</v>
      </c>
      <c r="B1001" s="1"/>
      <c r="C1001" s="20">
        <v>3500</v>
      </c>
      <c r="D1001" s="1"/>
      <c r="E1001" s="1"/>
      <c r="F1001" s="20">
        <f t="shared" si="165"/>
        <v>0</v>
      </c>
      <c r="G1001" s="20"/>
      <c r="H1001" s="20"/>
      <c r="I1001" s="20"/>
      <c r="J1001" s="20"/>
      <c r="K1001" s="20"/>
    </row>
    <row r="1002" spans="1:11" ht="15.5" x14ac:dyDescent="0.35">
      <c r="A1002" s="18"/>
      <c r="F1002" s="21"/>
    </row>
    <row r="1003" spans="1:11" ht="15.5" x14ac:dyDescent="0.35">
      <c r="A1003" s="24" t="s">
        <v>108</v>
      </c>
      <c r="K1003" s="21"/>
    </row>
    <row r="1004" spans="1:11" ht="15.5" x14ac:dyDescent="0.35">
      <c r="A1004" s="18" t="s">
        <v>114</v>
      </c>
      <c r="B1004" s="67">
        <v>40000</v>
      </c>
    </row>
    <row r="1005" spans="1:11" ht="15.5" x14ac:dyDescent="0.35">
      <c r="A1005" s="18" t="s">
        <v>112</v>
      </c>
      <c r="B1005" s="67">
        <v>40000</v>
      </c>
    </row>
    <row r="1006" spans="1:11" ht="15.5" x14ac:dyDescent="0.35">
      <c r="A1006" s="18" t="s">
        <v>309</v>
      </c>
      <c r="B1006" s="67">
        <v>60000</v>
      </c>
    </row>
    <row r="1007" spans="1:11" ht="15.5" x14ac:dyDescent="0.35">
      <c r="A1007" s="18" t="s">
        <v>110</v>
      </c>
      <c r="B1007" s="67">
        <v>40000</v>
      </c>
    </row>
    <row r="1008" spans="1:11" ht="15.5" x14ac:dyDescent="0.35">
      <c r="A1008" s="18" t="s">
        <v>111</v>
      </c>
      <c r="B1008" s="67">
        <v>40000</v>
      </c>
    </row>
    <row r="1009" spans="1:11" ht="15.5" x14ac:dyDescent="0.35">
      <c r="A1009" s="18" t="s">
        <v>196</v>
      </c>
      <c r="B1009" s="67">
        <v>40000</v>
      </c>
    </row>
    <row r="1010" spans="1:11" ht="15.5" x14ac:dyDescent="0.35">
      <c r="A1010" s="18" t="s">
        <v>113</v>
      </c>
      <c r="B1010" s="67">
        <v>40000</v>
      </c>
    </row>
    <row r="1011" spans="1:11" ht="15.5" x14ac:dyDescent="0.35">
      <c r="A1011" s="18" t="s">
        <v>209</v>
      </c>
      <c r="B1011" s="67">
        <v>40000</v>
      </c>
    </row>
    <row r="1012" spans="1:11" ht="15.5" x14ac:dyDescent="0.35">
      <c r="A1012" s="18" t="s">
        <v>115</v>
      </c>
      <c r="B1012" s="67">
        <v>60000</v>
      </c>
    </row>
    <row r="1013" spans="1:11" ht="15.5" x14ac:dyDescent="0.35">
      <c r="A1013" s="18" t="s">
        <v>109</v>
      </c>
      <c r="B1013" s="67">
        <v>40000</v>
      </c>
    </row>
    <row r="1014" spans="1:11" ht="15.5" x14ac:dyDescent="0.35">
      <c r="A1014" s="24" t="s">
        <v>4</v>
      </c>
      <c r="B1014" s="75">
        <f>SUM(B1004:B1013)</f>
        <v>440000</v>
      </c>
    </row>
    <row r="1015" spans="1:11" ht="15.5" x14ac:dyDescent="0.35">
      <c r="A1015" s="18" t="s">
        <v>115</v>
      </c>
      <c r="B1015">
        <v>53500</v>
      </c>
    </row>
    <row r="1016" spans="1:11" ht="15.5" x14ac:dyDescent="0.35">
      <c r="A1016" s="24" t="s">
        <v>4</v>
      </c>
      <c r="B1016" s="17">
        <f>SUM(B1004:B1015)</f>
        <v>933500</v>
      </c>
    </row>
    <row r="1019" spans="1:11" ht="18.5" x14ac:dyDescent="0.45">
      <c r="A1019" s="151" t="s">
        <v>1</v>
      </c>
      <c r="B1019" s="151"/>
      <c r="C1019" s="151"/>
      <c r="D1019" s="151"/>
      <c r="E1019" s="151"/>
      <c r="F1019" s="151"/>
      <c r="G1019" s="151"/>
      <c r="H1019" s="151"/>
      <c r="I1019" s="151"/>
      <c r="J1019" s="151"/>
      <c r="K1019" s="151"/>
    </row>
    <row r="1020" spans="1:11" ht="18.5" x14ac:dyDescent="0.45">
      <c r="A1020" s="150" t="s">
        <v>74</v>
      </c>
      <c r="B1020" s="150"/>
      <c r="C1020" s="150"/>
      <c r="D1020" s="150"/>
      <c r="E1020" s="150"/>
      <c r="F1020" s="150"/>
      <c r="G1020" s="150"/>
      <c r="H1020" s="150"/>
      <c r="I1020" s="150"/>
      <c r="J1020" s="150"/>
      <c r="K1020" s="150"/>
    </row>
    <row r="1021" spans="1:11" ht="18.5" x14ac:dyDescent="0.45">
      <c r="A1021" s="149">
        <v>46112</v>
      </c>
      <c r="B1021" s="149"/>
      <c r="C1021" s="149"/>
      <c r="D1021" s="149"/>
      <c r="E1021" s="149"/>
      <c r="F1021" s="149"/>
      <c r="G1021" s="149"/>
      <c r="H1021" s="149"/>
      <c r="I1021" s="149"/>
      <c r="J1021" s="149"/>
      <c r="K1021" s="149"/>
    </row>
    <row r="1022" spans="1:11" ht="18.5" x14ac:dyDescent="0.45">
      <c r="A1022" s="150"/>
      <c r="B1022" s="150"/>
      <c r="C1022" s="150"/>
      <c r="D1022" s="150"/>
      <c r="E1022" s="150"/>
      <c r="F1022" s="150"/>
      <c r="G1022" s="150"/>
      <c r="H1022" s="150"/>
      <c r="I1022" s="150"/>
      <c r="J1022" s="150"/>
      <c r="K1022" s="150"/>
    </row>
    <row r="1023" spans="1:11" ht="18.5" x14ac:dyDescent="0.45">
      <c r="A1023" s="2" t="s">
        <v>75</v>
      </c>
      <c r="B1023" s="2" t="s">
        <v>3</v>
      </c>
      <c r="C1023" s="2" t="s">
        <v>100</v>
      </c>
      <c r="D1023" s="2" t="s">
        <v>90</v>
      </c>
      <c r="E1023" s="2" t="s">
        <v>91</v>
      </c>
      <c r="F1023" s="2" t="s">
        <v>4</v>
      </c>
      <c r="G1023" s="2" t="s">
        <v>101</v>
      </c>
      <c r="H1023" s="2" t="s">
        <v>104</v>
      </c>
      <c r="I1023" s="2"/>
      <c r="J1023" s="2" t="s">
        <v>105</v>
      </c>
      <c r="K1023" s="2" t="s">
        <v>106</v>
      </c>
    </row>
    <row r="1024" spans="1:11" ht="15.5" x14ac:dyDescent="0.35">
      <c r="A1024" s="3" t="s">
        <v>76</v>
      </c>
      <c r="B1024" s="1">
        <v>98</v>
      </c>
      <c r="C1024" s="20">
        <v>17500</v>
      </c>
      <c r="D1024" s="1">
        <v>48</v>
      </c>
      <c r="E1024" s="1">
        <v>50</v>
      </c>
      <c r="F1024" s="20">
        <f>C1024*B1024</f>
        <v>1715000</v>
      </c>
      <c r="G1024" s="20">
        <f>D1024*C1024</f>
        <v>840000</v>
      </c>
      <c r="H1024" s="20">
        <f>E1024*C1024</f>
        <v>875000</v>
      </c>
      <c r="I1024" s="20" t="b">
        <f>D1024+E1024=B1024</f>
        <v>1</v>
      </c>
      <c r="J1024" s="20">
        <f>B1059</f>
        <v>440000</v>
      </c>
      <c r="K1024" s="20" t="s">
        <v>117</v>
      </c>
    </row>
    <row r="1025" spans="1:11" ht="15.5" x14ac:dyDescent="0.35">
      <c r="A1025" s="3" t="s">
        <v>77</v>
      </c>
      <c r="B1025" s="1">
        <v>18</v>
      </c>
      <c r="C1025" s="20">
        <v>16000</v>
      </c>
      <c r="D1025" s="1">
        <v>9</v>
      </c>
      <c r="E1025" s="1">
        <v>9</v>
      </c>
      <c r="F1025" s="20">
        <f t="shared" ref="F1025:F1036" si="166">C1025*B1025</f>
        <v>288000</v>
      </c>
      <c r="G1025" s="20">
        <f t="shared" ref="G1025:G1036" si="167">D1025*C1025</f>
        <v>144000</v>
      </c>
      <c r="H1025" s="20">
        <f t="shared" ref="H1025:H1040" si="168">E1025*C1025</f>
        <v>144000</v>
      </c>
      <c r="I1025" s="20" t="b">
        <f t="shared" ref="I1025:I1040" si="169">D1025+E1025=B1025</f>
        <v>1</v>
      </c>
      <c r="J1025" s="20">
        <v>340000</v>
      </c>
      <c r="K1025" s="20" t="s">
        <v>107</v>
      </c>
    </row>
    <row r="1026" spans="1:11" ht="15.5" x14ac:dyDescent="0.35">
      <c r="A1026" s="3" t="s">
        <v>78</v>
      </c>
      <c r="B1026" s="1">
        <v>35</v>
      </c>
      <c r="C1026" s="20">
        <v>17500</v>
      </c>
      <c r="D1026" s="1">
        <v>18</v>
      </c>
      <c r="E1026" s="1">
        <v>17</v>
      </c>
      <c r="F1026" s="20">
        <f t="shared" si="166"/>
        <v>612500</v>
      </c>
      <c r="G1026" s="20">
        <f t="shared" si="167"/>
        <v>315000</v>
      </c>
      <c r="H1026" s="20">
        <f t="shared" si="168"/>
        <v>297500</v>
      </c>
      <c r="I1026" s="20" t="b">
        <f t="shared" si="169"/>
        <v>1</v>
      </c>
      <c r="J1026" s="20"/>
      <c r="K1026" s="20"/>
    </row>
    <row r="1027" spans="1:11" ht="15.5" x14ac:dyDescent="0.35">
      <c r="A1027" s="3" t="s">
        <v>79</v>
      </c>
      <c r="B1027" s="1">
        <v>30</v>
      </c>
      <c r="C1027" s="20">
        <v>18500</v>
      </c>
      <c r="D1027" s="1">
        <v>14</v>
      </c>
      <c r="E1027" s="1">
        <v>16</v>
      </c>
      <c r="F1027" s="20">
        <f t="shared" si="166"/>
        <v>555000</v>
      </c>
      <c r="G1027" s="20">
        <f t="shared" si="167"/>
        <v>259000</v>
      </c>
      <c r="H1027" s="20">
        <f t="shared" si="168"/>
        <v>296000</v>
      </c>
      <c r="I1027" s="20" t="b">
        <f t="shared" si="169"/>
        <v>1</v>
      </c>
      <c r="J1027" s="20"/>
      <c r="K1027" s="20"/>
    </row>
    <row r="1028" spans="1:11" ht="15.5" x14ac:dyDescent="0.35">
      <c r="A1028" s="3" t="s">
        <v>80</v>
      </c>
      <c r="B1028" s="1"/>
      <c r="C1028" s="20">
        <v>18500</v>
      </c>
      <c r="D1028" s="1"/>
      <c r="E1028" s="1"/>
      <c r="F1028" s="20">
        <f t="shared" si="166"/>
        <v>0</v>
      </c>
      <c r="G1028" s="20">
        <f t="shared" si="167"/>
        <v>0</v>
      </c>
      <c r="H1028" s="20">
        <f t="shared" si="168"/>
        <v>0</v>
      </c>
      <c r="I1028" s="20" t="b">
        <f t="shared" si="169"/>
        <v>1</v>
      </c>
      <c r="J1028" s="20"/>
      <c r="K1028" s="20"/>
    </row>
    <row r="1029" spans="1:11" ht="15.5" x14ac:dyDescent="0.35">
      <c r="A1029" s="3" t="s">
        <v>81</v>
      </c>
      <c r="B1029" s="1"/>
      <c r="C1029" s="20">
        <v>23000</v>
      </c>
      <c r="D1029" s="1"/>
      <c r="E1029" s="1"/>
      <c r="F1029" s="20">
        <f t="shared" si="166"/>
        <v>0</v>
      </c>
      <c r="G1029" s="20">
        <f t="shared" si="167"/>
        <v>0</v>
      </c>
      <c r="H1029" s="20">
        <f t="shared" si="168"/>
        <v>0</v>
      </c>
      <c r="I1029" s="20" t="b">
        <f t="shared" si="169"/>
        <v>1</v>
      </c>
      <c r="J1029" s="20"/>
      <c r="K1029" s="20"/>
    </row>
    <row r="1030" spans="1:11" ht="15.5" x14ac:dyDescent="0.35">
      <c r="A1030" s="3" t="s">
        <v>82</v>
      </c>
      <c r="B1030" s="1"/>
      <c r="C1030" s="20">
        <v>18000</v>
      </c>
      <c r="D1030" s="1"/>
      <c r="E1030" s="1"/>
      <c r="F1030" s="20">
        <f t="shared" si="166"/>
        <v>0</v>
      </c>
      <c r="G1030" s="20">
        <f t="shared" si="167"/>
        <v>0</v>
      </c>
      <c r="H1030" s="20">
        <f t="shared" si="168"/>
        <v>0</v>
      </c>
      <c r="I1030" s="20" t="b">
        <f t="shared" si="169"/>
        <v>1</v>
      </c>
      <c r="J1030" s="20"/>
      <c r="K1030" s="20"/>
    </row>
    <row r="1031" spans="1:11" ht="15.5" x14ac:dyDescent="0.35">
      <c r="A1031" s="3" t="s">
        <v>83</v>
      </c>
      <c r="B1031" s="1"/>
      <c r="C1031" s="20">
        <v>18000</v>
      </c>
      <c r="D1031" s="1"/>
      <c r="E1031" s="1"/>
      <c r="F1031" s="20">
        <f t="shared" si="166"/>
        <v>0</v>
      </c>
      <c r="G1031" s="20">
        <f t="shared" si="167"/>
        <v>0</v>
      </c>
      <c r="H1031" s="20">
        <f t="shared" si="168"/>
        <v>0</v>
      </c>
      <c r="I1031" s="20" t="b">
        <f t="shared" si="169"/>
        <v>1</v>
      </c>
      <c r="J1031" s="20"/>
      <c r="K1031" s="20"/>
    </row>
    <row r="1032" spans="1:11" ht="15.5" x14ac:dyDescent="0.35">
      <c r="A1032" s="3" t="s">
        <v>84</v>
      </c>
      <c r="B1032" s="1"/>
      <c r="C1032" s="20">
        <v>18500</v>
      </c>
      <c r="D1032" s="1"/>
      <c r="E1032" s="1"/>
      <c r="F1032" s="20">
        <f t="shared" si="166"/>
        <v>0</v>
      </c>
      <c r="G1032" s="20">
        <f t="shared" si="167"/>
        <v>0</v>
      </c>
      <c r="H1032" s="20">
        <f t="shared" si="168"/>
        <v>0</v>
      </c>
      <c r="I1032" s="20" t="b">
        <f t="shared" si="169"/>
        <v>1</v>
      </c>
      <c r="J1032" s="20"/>
      <c r="K1032" s="20"/>
    </row>
    <row r="1033" spans="1:11" ht="15.5" x14ac:dyDescent="0.35">
      <c r="A1033" s="3" t="s">
        <v>85</v>
      </c>
      <c r="B1033" s="1">
        <v>37</v>
      </c>
      <c r="C1033" s="20">
        <v>18500</v>
      </c>
      <c r="D1033" s="1">
        <v>18</v>
      </c>
      <c r="E1033" s="1">
        <v>19</v>
      </c>
      <c r="F1033" s="20">
        <f t="shared" si="166"/>
        <v>684500</v>
      </c>
      <c r="G1033" s="20">
        <f t="shared" si="167"/>
        <v>333000</v>
      </c>
      <c r="H1033" s="20">
        <f t="shared" si="168"/>
        <v>351500</v>
      </c>
      <c r="I1033" s="20" t="b">
        <f t="shared" si="169"/>
        <v>1</v>
      </c>
      <c r="J1033" s="20"/>
      <c r="K1033" s="20"/>
    </row>
    <row r="1034" spans="1:11" ht="15.5" x14ac:dyDescent="0.35">
      <c r="A1034" s="3" t="s">
        <v>86</v>
      </c>
      <c r="B1034" s="1"/>
      <c r="C1034" s="20">
        <v>18500</v>
      </c>
      <c r="D1034" s="1"/>
      <c r="E1034" s="1"/>
      <c r="F1034" s="20">
        <f t="shared" si="166"/>
        <v>0</v>
      </c>
      <c r="G1034" s="20">
        <f t="shared" si="167"/>
        <v>0</v>
      </c>
      <c r="H1034" s="20">
        <f t="shared" si="168"/>
        <v>0</v>
      </c>
      <c r="I1034" s="20" t="b">
        <f t="shared" si="169"/>
        <v>1</v>
      </c>
      <c r="J1034" s="20"/>
      <c r="K1034" s="20"/>
    </row>
    <row r="1035" spans="1:11" ht="15.5" x14ac:dyDescent="0.35">
      <c r="A1035" s="3" t="s">
        <v>87</v>
      </c>
      <c r="B1035" s="1">
        <v>10</v>
      </c>
      <c r="C1035" s="20">
        <v>18500</v>
      </c>
      <c r="D1035" s="1">
        <v>5</v>
      </c>
      <c r="E1035" s="1">
        <v>5</v>
      </c>
      <c r="F1035" s="20">
        <f t="shared" si="166"/>
        <v>185000</v>
      </c>
      <c r="G1035" s="20">
        <f t="shared" si="167"/>
        <v>92500</v>
      </c>
      <c r="H1035" s="20">
        <f t="shared" si="168"/>
        <v>92500</v>
      </c>
      <c r="I1035" s="20" t="b">
        <f t="shared" si="169"/>
        <v>1</v>
      </c>
      <c r="J1035" s="20"/>
      <c r="K1035" s="20"/>
    </row>
    <row r="1036" spans="1:11" ht="15.5" x14ac:dyDescent="0.35">
      <c r="A1036" s="3" t="s">
        <v>88</v>
      </c>
      <c r="B1036" s="1">
        <v>12</v>
      </c>
      <c r="C1036" s="20">
        <v>18500</v>
      </c>
      <c r="D1036" s="1">
        <v>6</v>
      </c>
      <c r="E1036" s="1">
        <v>6</v>
      </c>
      <c r="F1036" s="20">
        <f t="shared" si="166"/>
        <v>222000</v>
      </c>
      <c r="G1036" s="20">
        <f t="shared" si="167"/>
        <v>111000</v>
      </c>
      <c r="H1036" s="20">
        <f t="shared" si="168"/>
        <v>111000</v>
      </c>
      <c r="I1036" s="20" t="b">
        <f t="shared" si="169"/>
        <v>1</v>
      </c>
      <c r="J1036" s="20"/>
      <c r="K1036" s="20"/>
    </row>
    <row r="1037" spans="1:11" ht="15.5" x14ac:dyDescent="0.35">
      <c r="A1037" s="19" t="s">
        <v>89</v>
      </c>
      <c r="B1037" s="1"/>
      <c r="C1037" s="20"/>
      <c r="D1037" s="1"/>
      <c r="E1037" s="1"/>
      <c r="F1037" s="20"/>
      <c r="G1037" s="20"/>
      <c r="H1037" s="20">
        <f t="shared" si="168"/>
        <v>0</v>
      </c>
      <c r="I1037" s="20" t="b">
        <f t="shared" si="169"/>
        <v>1</v>
      </c>
      <c r="J1037" s="20"/>
      <c r="K1037" s="20"/>
    </row>
    <row r="1038" spans="1:11" ht="15.5" x14ac:dyDescent="0.35">
      <c r="A1038" s="3" t="s">
        <v>92</v>
      </c>
      <c r="B1038" s="1"/>
      <c r="C1038" s="20">
        <v>21500</v>
      </c>
      <c r="D1038" s="1"/>
      <c r="E1038" s="1"/>
      <c r="F1038" s="20">
        <f t="shared" ref="F1038:F1040" si="170">C1038*B1038</f>
        <v>0</v>
      </c>
      <c r="G1038" s="20">
        <f t="shared" ref="G1038:G1040" si="171">D1038*C1038</f>
        <v>0</v>
      </c>
      <c r="H1038" s="20">
        <f t="shared" si="168"/>
        <v>0</v>
      </c>
      <c r="I1038" s="20" t="b">
        <f t="shared" si="169"/>
        <v>1</v>
      </c>
      <c r="J1038" s="20"/>
      <c r="K1038" s="20"/>
    </row>
    <row r="1039" spans="1:11" ht="15.5" x14ac:dyDescent="0.35">
      <c r="A1039" s="3" t="s">
        <v>93</v>
      </c>
      <c r="B1039" s="1">
        <v>38</v>
      </c>
      <c r="C1039" s="20">
        <v>21500</v>
      </c>
      <c r="D1039" s="1">
        <v>20</v>
      </c>
      <c r="E1039" s="1">
        <v>18</v>
      </c>
      <c r="F1039" s="20">
        <f t="shared" si="170"/>
        <v>817000</v>
      </c>
      <c r="G1039" s="20">
        <f t="shared" si="171"/>
        <v>430000</v>
      </c>
      <c r="H1039" s="20">
        <f t="shared" si="168"/>
        <v>387000</v>
      </c>
      <c r="I1039" s="20" t="b">
        <f t="shared" si="169"/>
        <v>1</v>
      </c>
      <c r="J1039" s="20"/>
      <c r="K1039" s="20"/>
    </row>
    <row r="1040" spans="1:11" ht="15.5" x14ac:dyDescent="0.35">
      <c r="A1040" s="3" t="s">
        <v>94</v>
      </c>
      <c r="B1040" s="1">
        <v>43</v>
      </c>
      <c r="C1040" s="20">
        <v>21500</v>
      </c>
      <c r="D1040" s="1">
        <v>22</v>
      </c>
      <c r="E1040" s="1">
        <v>21</v>
      </c>
      <c r="F1040" s="20">
        <f t="shared" si="170"/>
        <v>924500</v>
      </c>
      <c r="G1040" s="20">
        <f t="shared" si="171"/>
        <v>473000</v>
      </c>
      <c r="H1040" s="20">
        <f t="shared" si="168"/>
        <v>451500</v>
      </c>
      <c r="I1040" s="20" t="b">
        <f t="shared" si="169"/>
        <v>1</v>
      </c>
      <c r="J1040" s="20"/>
      <c r="K1040" s="20"/>
    </row>
    <row r="1041" spans="1:11" ht="15.5" x14ac:dyDescent="0.35">
      <c r="A1041" s="19"/>
      <c r="B1041" s="22">
        <f>SUM(B1024:B1040)</f>
        <v>321</v>
      </c>
      <c r="C1041" s="20"/>
      <c r="D1041" s="1"/>
      <c r="E1041" s="1"/>
      <c r="F1041" s="23">
        <f>SUM(F1024:F1040)</f>
        <v>6003500</v>
      </c>
      <c r="G1041" s="23">
        <f>SUM(G1024:G1040)</f>
        <v>2997500</v>
      </c>
      <c r="H1041" s="23">
        <f>SUM(H1024:H1040)</f>
        <v>3006000</v>
      </c>
      <c r="I1041" s="23"/>
      <c r="J1041" s="23">
        <f>SUM(J1024:J1040)</f>
        <v>780000</v>
      </c>
      <c r="K1041" s="23">
        <f>H1041-J1041</f>
        <v>2226000</v>
      </c>
    </row>
    <row r="1042" spans="1:11" ht="15.5" x14ac:dyDescent="0.35">
      <c r="A1042" s="19" t="s">
        <v>95</v>
      </c>
      <c r="B1042" s="1"/>
      <c r="C1042" s="20"/>
      <c r="D1042" s="1"/>
      <c r="E1042" s="1"/>
      <c r="F1042" s="20"/>
      <c r="G1042" s="20"/>
      <c r="H1042" s="20" t="s">
        <v>192</v>
      </c>
      <c r="I1042" s="20"/>
      <c r="J1042" s="20"/>
      <c r="K1042" s="20"/>
    </row>
    <row r="1043" spans="1:11" ht="15.5" x14ac:dyDescent="0.35">
      <c r="A1043" s="3" t="s">
        <v>96</v>
      </c>
      <c r="B1043" s="1"/>
      <c r="C1043" s="20">
        <v>3000</v>
      </c>
      <c r="D1043" s="1"/>
      <c r="E1043" s="20"/>
      <c r="F1043" s="20">
        <f t="shared" ref="F1043:F1046" si="172">C1043*B1043</f>
        <v>0</v>
      </c>
      <c r="G1043" s="20"/>
      <c r="H1043" s="20"/>
      <c r="I1043" s="20"/>
      <c r="J1043" s="20"/>
      <c r="K1043" s="20"/>
    </row>
    <row r="1044" spans="1:11" ht="15.5" x14ac:dyDescent="0.35">
      <c r="A1044" s="3" t="s">
        <v>97</v>
      </c>
      <c r="B1044" s="1"/>
      <c r="C1044" s="20">
        <v>2500</v>
      </c>
      <c r="D1044" s="1"/>
      <c r="E1044" s="1"/>
      <c r="F1044" s="20">
        <f t="shared" si="172"/>
        <v>0</v>
      </c>
      <c r="G1044" s="20"/>
      <c r="H1044" s="20"/>
      <c r="I1044" s="20"/>
      <c r="J1044" s="20"/>
      <c r="K1044" s="20"/>
    </row>
    <row r="1045" spans="1:11" ht="15.5" x14ac:dyDescent="0.35">
      <c r="A1045" s="3" t="s">
        <v>98</v>
      </c>
      <c r="B1045" s="1"/>
      <c r="C1045" s="20">
        <v>1800</v>
      </c>
      <c r="D1045" s="1"/>
      <c r="E1045" s="1"/>
      <c r="F1045" s="20">
        <f t="shared" si="172"/>
        <v>0</v>
      </c>
      <c r="G1045" s="20"/>
      <c r="H1045" s="20"/>
      <c r="I1045" s="20"/>
      <c r="J1045" s="20"/>
      <c r="K1045" s="20"/>
    </row>
    <row r="1046" spans="1:11" ht="15.5" x14ac:dyDescent="0.35">
      <c r="A1046" s="3" t="s">
        <v>99</v>
      </c>
      <c r="B1046" s="1"/>
      <c r="C1046" s="20">
        <v>3500</v>
      </c>
      <c r="D1046" s="1"/>
      <c r="E1046" s="1"/>
      <c r="F1046" s="20">
        <f t="shared" si="172"/>
        <v>0</v>
      </c>
      <c r="G1046" s="20"/>
      <c r="H1046" s="20"/>
      <c r="I1046" s="20"/>
      <c r="J1046" s="20"/>
      <c r="K1046" s="20"/>
    </row>
    <row r="1047" spans="1:11" ht="15.5" x14ac:dyDescent="0.35">
      <c r="A1047" s="18"/>
      <c r="F1047" s="21"/>
    </row>
    <row r="1048" spans="1:11" ht="15.5" x14ac:dyDescent="0.35">
      <c r="A1048" s="24" t="s">
        <v>108</v>
      </c>
      <c r="K1048" s="21"/>
    </row>
    <row r="1049" spans="1:11" ht="15.5" x14ac:dyDescent="0.35">
      <c r="A1049" s="18" t="s">
        <v>114</v>
      </c>
      <c r="B1049" s="67">
        <v>40000</v>
      </c>
    </row>
    <row r="1050" spans="1:11" ht="15.5" x14ac:dyDescent="0.35">
      <c r="A1050" s="18" t="s">
        <v>112</v>
      </c>
      <c r="B1050" s="67">
        <v>40000</v>
      </c>
    </row>
    <row r="1051" spans="1:11" ht="15.5" x14ac:dyDescent="0.35">
      <c r="A1051" s="18" t="s">
        <v>309</v>
      </c>
      <c r="B1051" s="67">
        <v>60000</v>
      </c>
    </row>
    <row r="1052" spans="1:11" ht="15.5" x14ac:dyDescent="0.35">
      <c r="A1052" s="18" t="s">
        <v>110</v>
      </c>
      <c r="B1052" s="67">
        <v>40000</v>
      </c>
    </row>
    <row r="1053" spans="1:11" ht="15.5" x14ac:dyDescent="0.35">
      <c r="A1053" s="18" t="s">
        <v>111</v>
      </c>
      <c r="B1053" s="67">
        <v>40000</v>
      </c>
    </row>
    <row r="1054" spans="1:11" ht="15.5" x14ac:dyDescent="0.35">
      <c r="A1054" s="18" t="s">
        <v>196</v>
      </c>
      <c r="B1054" s="67">
        <v>40000</v>
      </c>
    </row>
    <row r="1055" spans="1:11" ht="15.5" x14ac:dyDescent="0.35">
      <c r="A1055" s="18" t="s">
        <v>113</v>
      </c>
      <c r="B1055" s="67">
        <v>40000</v>
      </c>
    </row>
    <row r="1056" spans="1:11" ht="15.5" x14ac:dyDescent="0.35">
      <c r="A1056" s="18" t="s">
        <v>209</v>
      </c>
      <c r="B1056" s="67">
        <v>40000</v>
      </c>
    </row>
    <row r="1057" spans="1:11" ht="15.5" x14ac:dyDescent="0.35">
      <c r="A1057" s="18" t="s">
        <v>115</v>
      </c>
      <c r="B1057" s="67">
        <v>60000</v>
      </c>
    </row>
    <row r="1058" spans="1:11" ht="15.5" x14ac:dyDescent="0.35">
      <c r="A1058" s="18" t="s">
        <v>109</v>
      </c>
      <c r="B1058" s="67">
        <v>40000</v>
      </c>
    </row>
    <row r="1059" spans="1:11" ht="15.5" x14ac:dyDescent="0.35">
      <c r="A1059" s="24" t="s">
        <v>4</v>
      </c>
      <c r="B1059" s="75">
        <f>SUM(B1049:B1058)</f>
        <v>440000</v>
      </c>
    </row>
    <row r="1060" spans="1:11" ht="15.5" x14ac:dyDescent="0.35">
      <c r="A1060" s="24"/>
      <c r="B1060" s="75"/>
    </row>
    <row r="1061" spans="1:11" ht="15.5" x14ac:dyDescent="0.35">
      <c r="A1061" s="24"/>
      <c r="B1061" s="75"/>
    </row>
    <row r="1062" spans="1:11" ht="18.5" x14ac:dyDescent="0.45">
      <c r="A1062" s="151" t="s">
        <v>1</v>
      </c>
      <c r="B1062" s="151"/>
      <c r="C1062" s="151"/>
      <c r="D1062" s="151"/>
      <c r="E1062" s="151"/>
      <c r="F1062" s="151"/>
      <c r="G1062" s="151"/>
      <c r="H1062" s="151"/>
      <c r="I1062" s="151"/>
      <c r="J1062" s="151"/>
      <c r="K1062" s="151"/>
    </row>
    <row r="1063" spans="1:11" ht="18.5" x14ac:dyDescent="0.45">
      <c r="A1063" s="150" t="s">
        <v>74</v>
      </c>
      <c r="B1063" s="150"/>
      <c r="C1063" s="150"/>
      <c r="D1063" s="150"/>
      <c r="E1063" s="150"/>
      <c r="F1063" s="150"/>
      <c r="G1063" s="150"/>
      <c r="H1063" s="150"/>
      <c r="I1063" s="150"/>
      <c r="J1063" s="150"/>
      <c r="K1063" s="150"/>
    </row>
    <row r="1064" spans="1:11" ht="18.5" x14ac:dyDescent="0.45">
      <c r="A1064" s="149" t="s">
        <v>360</v>
      </c>
      <c r="B1064" s="149"/>
      <c r="C1064" s="149"/>
      <c r="D1064" s="149"/>
      <c r="E1064" s="149"/>
      <c r="F1064" s="149"/>
      <c r="G1064" s="149"/>
      <c r="H1064" s="149"/>
      <c r="I1064" s="149"/>
      <c r="J1064" s="149"/>
      <c r="K1064" s="149"/>
    </row>
    <row r="1065" spans="1:11" ht="18.5" x14ac:dyDescent="0.45">
      <c r="A1065" s="150"/>
      <c r="B1065" s="150"/>
      <c r="C1065" s="150"/>
      <c r="D1065" s="150"/>
      <c r="E1065" s="150"/>
      <c r="F1065" s="150"/>
      <c r="G1065" s="150"/>
      <c r="H1065" s="150"/>
      <c r="I1065" s="150"/>
      <c r="J1065" s="150"/>
      <c r="K1065" s="150"/>
    </row>
    <row r="1066" spans="1:11" ht="18.5" x14ac:dyDescent="0.45">
      <c r="A1066" s="2" t="s">
        <v>75</v>
      </c>
      <c r="B1066" s="2" t="s">
        <v>3</v>
      </c>
      <c r="C1066" s="2" t="s">
        <v>100</v>
      </c>
      <c r="D1066" s="2" t="s">
        <v>90</v>
      </c>
      <c r="E1066" s="2" t="s">
        <v>91</v>
      </c>
      <c r="F1066" s="2" t="s">
        <v>4</v>
      </c>
      <c r="G1066" s="2" t="s">
        <v>101</v>
      </c>
      <c r="H1066" s="2" t="s">
        <v>104</v>
      </c>
      <c r="I1066" s="2"/>
      <c r="J1066" s="2" t="s">
        <v>105</v>
      </c>
      <c r="K1066" s="2" t="s">
        <v>106</v>
      </c>
    </row>
    <row r="1067" spans="1:11" ht="15.5" x14ac:dyDescent="0.35">
      <c r="A1067" s="3" t="s">
        <v>76</v>
      </c>
      <c r="B1067" s="1"/>
      <c r="C1067" s="20">
        <v>17500</v>
      </c>
      <c r="D1067" s="1"/>
      <c r="E1067" s="1"/>
      <c r="F1067" s="20">
        <f>C1067*B1067</f>
        <v>0</v>
      </c>
      <c r="G1067" s="20">
        <f>D1067*C1067</f>
        <v>0</v>
      </c>
      <c r="H1067" s="20">
        <f>E1067*C1067</f>
        <v>0</v>
      </c>
      <c r="I1067" s="20" t="b">
        <f>D1067+E1067=B1067</f>
        <v>1</v>
      </c>
      <c r="J1067" s="20">
        <f>B1102</f>
        <v>440000</v>
      </c>
      <c r="K1067" s="20"/>
    </row>
    <row r="1068" spans="1:11" ht="15.5" x14ac:dyDescent="0.35">
      <c r="A1068" s="3" t="s">
        <v>77</v>
      </c>
      <c r="B1068" s="1"/>
      <c r="C1068" s="20">
        <v>16000</v>
      </c>
      <c r="D1068" s="1"/>
      <c r="E1068" s="1"/>
      <c r="F1068" s="20">
        <f t="shared" ref="F1068:F1079" si="173">C1068*B1068</f>
        <v>0</v>
      </c>
      <c r="G1068" s="20">
        <f t="shared" ref="G1068:G1079" si="174">D1068*C1068</f>
        <v>0</v>
      </c>
      <c r="H1068" s="20">
        <f t="shared" ref="H1068:H1083" si="175">E1068*C1068</f>
        <v>0</v>
      </c>
      <c r="I1068" s="20" t="b">
        <f t="shared" ref="I1068:I1083" si="176">D1068+E1068=B1068</f>
        <v>1</v>
      </c>
      <c r="J1068" s="20"/>
      <c r="K1068" s="20"/>
    </row>
    <row r="1069" spans="1:11" ht="15.5" x14ac:dyDescent="0.35">
      <c r="A1069" s="3" t="s">
        <v>78</v>
      </c>
      <c r="B1069" s="1"/>
      <c r="C1069" s="20">
        <v>17500</v>
      </c>
      <c r="D1069" s="1"/>
      <c r="E1069" s="1"/>
      <c r="F1069" s="20">
        <f t="shared" si="173"/>
        <v>0</v>
      </c>
      <c r="G1069" s="20">
        <f t="shared" si="174"/>
        <v>0</v>
      </c>
      <c r="H1069" s="20">
        <f t="shared" si="175"/>
        <v>0</v>
      </c>
      <c r="I1069" s="20" t="b">
        <f t="shared" si="176"/>
        <v>1</v>
      </c>
      <c r="J1069" s="20"/>
      <c r="K1069" s="20"/>
    </row>
    <row r="1070" spans="1:11" ht="15.5" x14ac:dyDescent="0.35">
      <c r="A1070" s="3" t="s">
        <v>79</v>
      </c>
      <c r="B1070" s="1"/>
      <c r="C1070" s="20">
        <v>18500</v>
      </c>
      <c r="D1070" s="1"/>
      <c r="E1070" s="1"/>
      <c r="F1070" s="20">
        <f t="shared" si="173"/>
        <v>0</v>
      </c>
      <c r="G1070" s="20">
        <f t="shared" si="174"/>
        <v>0</v>
      </c>
      <c r="H1070" s="20">
        <f t="shared" si="175"/>
        <v>0</v>
      </c>
      <c r="I1070" s="20" t="b">
        <f t="shared" si="176"/>
        <v>1</v>
      </c>
      <c r="J1070" s="20"/>
      <c r="K1070" s="20"/>
    </row>
    <row r="1071" spans="1:11" ht="15.5" x14ac:dyDescent="0.35">
      <c r="A1071" s="3" t="s">
        <v>80</v>
      </c>
      <c r="B1071" s="1"/>
      <c r="C1071" s="20">
        <v>18500</v>
      </c>
      <c r="D1071" s="1"/>
      <c r="E1071" s="1"/>
      <c r="F1071" s="20">
        <f t="shared" si="173"/>
        <v>0</v>
      </c>
      <c r="G1071" s="20">
        <f t="shared" si="174"/>
        <v>0</v>
      </c>
      <c r="H1071" s="20">
        <f t="shared" si="175"/>
        <v>0</v>
      </c>
      <c r="I1071" s="20" t="b">
        <f t="shared" si="176"/>
        <v>1</v>
      </c>
      <c r="J1071" s="20"/>
      <c r="K1071" s="20"/>
    </row>
    <row r="1072" spans="1:11" ht="15.5" x14ac:dyDescent="0.35">
      <c r="A1072" s="3" t="s">
        <v>81</v>
      </c>
      <c r="B1072" s="1"/>
      <c r="C1072" s="20">
        <v>23000</v>
      </c>
      <c r="D1072" s="1"/>
      <c r="E1072" s="1"/>
      <c r="F1072" s="20">
        <f t="shared" si="173"/>
        <v>0</v>
      </c>
      <c r="G1072" s="20">
        <f t="shared" si="174"/>
        <v>0</v>
      </c>
      <c r="H1072" s="20">
        <f t="shared" si="175"/>
        <v>0</v>
      </c>
      <c r="I1072" s="20" t="b">
        <f t="shared" si="176"/>
        <v>1</v>
      </c>
      <c r="J1072" s="20"/>
      <c r="K1072" s="20"/>
    </row>
    <row r="1073" spans="1:11" ht="15.5" x14ac:dyDescent="0.35">
      <c r="A1073" s="3" t="s">
        <v>82</v>
      </c>
      <c r="B1073" s="1"/>
      <c r="C1073" s="20">
        <v>18000</v>
      </c>
      <c r="D1073" s="1"/>
      <c r="E1073" s="1"/>
      <c r="F1073" s="20">
        <f t="shared" si="173"/>
        <v>0</v>
      </c>
      <c r="G1073" s="20">
        <f t="shared" si="174"/>
        <v>0</v>
      </c>
      <c r="H1073" s="20">
        <f t="shared" si="175"/>
        <v>0</v>
      </c>
      <c r="I1073" s="20" t="b">
        <f t="shared" si="176"/>
        <v>1</v>
      </c>
      <c r="J1073" s="20"/>
      <c r="K1073" s="20"/>
    </row>
    <row r="1074" spans="1:11" ht="15.5" x14ac:dyDescent="0.35">
      <c r="A1074" s="3" t="s">
        <v>83</v>
      </c>
      <c r="B1074" s="1"/>
      <c r="C1074" s="20">
        <v>18000</v>
      </c>
      <c r="D1074" s="1"/>
      <c r="E1074" s="1"/>
      <c r="F1074" s="20">
        <f t="shared" si="173"/>
        <v>0</v>
      </c>
      <c r="G1074" s="20">
        <f t="shared" si="174"/>
        <v>0</v>
      </c>
      <c r="H1074" s="20">
        <f t="shared" si="175"/>
        <v>0</v>
      </c>
      <c r="I1074" s="20" t="b">
        <f t="shared" si="176"/>
        <v>1</v>
      </c>
      <c r="J1074" s="20"/>
      <c r="K1074" s="20"/>
    </row>
    <row r="1075" spans="1:11" ht="15.5" x14ac:dyDescent="0.35">
      <c r="A1075" s="3" t="s">
        <v>84</v>
      </c>
      <c r="B1075" s="1"/>
      <c r="C1075" s="20">
        <v>18500</v>
      </c>
      <c r="D1075" s="1"/>
      <c r="E1075" s="1"/>
      <c r="F1075" s="20">
        <f t="shared" si="173"/>
        <v>0</v>
      </c>
      <c r="G1075" s="20">
        <f t="shared" si="174"/>
        <v>0</v>
      </c>
      <c r="H1075" s="20">
        <f t="shared" si="175"/>
        <v>0</v>
      </c>
      <c r="I1075" s="20" t="b">
        <f t="shared" si="176"/>
        <v>1</v>
      </c>
      <c r="J1075" s="20"/>
      <c r="K1075" s="20"/>
    </row>
    <row r="1076" spans="1:11" ht="15.5" x14ac:dyDescent="0.35">
      <c r="A1076" s="3" t="s">
        <v>85</v>
      </c>
      <c r="B1076" s="1"/>
      <c r="C1076" s="20">
        <v>18500</v>
      </c>
      <c r="D1076" s="1"/>
      <c r="E1076" s="1"/>
      <c r="F1076" s="20">
        <f t="shared" si="173"/>
        <v>0</v>
      </c>
      <c r="G1076" s="20">
        <f t="shared" si="174"/>
        <v>0</v>
      </c>
      <c r="H1076" s="20">
        <f t="shared" si="175"/>
        <v>0</v>
      </c>
      <c r="I1076" s="20" t="b">
        <f t="shared" si="176"/>
        <v>1</v>
      </c>
      <c r="J1076" s="20"/>
      <c r="K1076" s="20"/>
    </row>
    <row r="1077" spans="1:11" ht="15.5" x14ac:dyDescent="0.35">
      <c r="A1077" s="3" t="s">
        <v>86</v>
      </c>
      <c r="B1077" s="1"/>
      <c r="C1077" s="20">
        <v>18500</v>
      </c>
      <c r="D1077" s="1"/>
      <c r="E1077" s="1"/>
      <c r="F1077" s="20">
        <f t="shared" si="173"/>
        <v>0</v>
      </c>
      <c r="G1077" s="20">
        <f t="shared" si="174"/>
        <v>0</v>
      </c>
      <c r="H1077" s="20">
        <f t="shared" si="175"/>
        <v>0</v>
      </c>
      <c r="I1077" s="20" t="b">
        <f t="shared" si="176"/>
        <v>1</v>
      </c>
      <c r="J1077" s="20"/>
      <c r="K1077" s="20"/>
    </row>
    <row r="1078" spans="1:11" ht="15.5" x14ac:dyDescent="0.35">
      <c r="A1078" s="3" t="s">
        <v>87</v>
      </c>
      <c r="B1078" s="1"/>
      <c r="C1078" s="20">
        <v>18500</v>
      </c>
      <c r="D1078" s="1"/>
      <c r="E1078" s="1"/>
      <c r="F1078" s="20">
        <f t="shared" si="173"/>
        <v>0</v>
      </c>
      <c r="G1078" s="20">
        <f t="shared" si="174"/>
        <v>0</v>
      </c>
      <c r="H1078" s="20">
        <f t="shared" si="175"/>
        <v>0</v>
      </c>
      <c r="I1078" s="20" t="b">
        <f t="shared" si="176"/>
        <v>1</v>
      </c>
      <c r="J1078" s="20"/>
      <c r="K1078" s="20"/>
    </row>
    <row r="1079" spans="1:11" ht="15.5" x14ac:dyDescent="0.35">
      <c r="A1079" s="3" t="s">
        <v>88</v>
      </c>
      <c r="B1079" s="1"/>
      <c r="C1079" s="20">
        <v>18500</v>
      </c>
      <c r="D1079" s="1"/>
      <c r="E1079" s="1"/>
      <c r="F1079" s="20">
        <f t="shared" si="173"/>
        <v>0</v>
      </c>
      <c r="G1079" s="20">
        <f t="shared" si="174"/>
        <v>0</v>
      </c>
      <c r="H1079" s="20">
        <f t="shared" si="175"/>
        <v>0</v>
      </c>
      <c r="I1079" s="20" t="b">
        <f t="shared" si="176"/>
        <v>1</v>
      </c>
      <c r="J1079" s="20"/>
      <c r="K1079" s="20"/>
    </row>
    <row r="1080" spans="1:11" ht="15.5" x14ac:dyDescent="0.35">
      <c r="A1080" s="19" t="s">
        <v>89</v>
      </c>
      <c r="B1080" s="1"/>
      <c r="C1080" s="20"/>
      <c r="D1080" s="1"/>
      <c r="E1080" s="1"/>
      <c r="F1080" s="20"/>
      <c r="G1080" s="20"/>
      <c r="H1080" s="20">
        <f t="shared" si="175"/>
        <v>0</v>
      </c>
      <c r="I1080" s="20" t="b">
        <f t="shared" si="176"/>
        <v>1</v>
      </c>
      <c r="J1080" s="20"/>
      <c r="K1080" s="20"/>
    </row>
    <row r="1081" spans="1:11" ht="15.5" x14ac:dyDescent="0.35">
      <c r="A1081" s="3" t="s">
        <v>92</v>
      </c>
      <c r="B1081" s="1"/>
      <c r="C1081" s="20">
        <v>21500</v>
      </c>
      <c r="D1081" s="1"/>
      <c r="E1081" s="1"/>
      <c r="F1081" s="20">
        <f t="shared" ref="F1081:F1083" si="177">C1081*B1081</f>
        <v>0</v>
      </c>
      <c r="G1081" s="20">
        <f t="shared" ref="G1081:G1083" si="178">D1081*C1081</f>
        <v>0</v>
      </c>
      <c r="H1081" s="20">
        <f t="shared" si="175"/>
        <v>0</v>
      </c>
      <c r="I1081" s="20" t="b">
        <f t="shared" si="176"/>
        <v>1</v>
      </c>
      <c r="J1081" s="20"/>
      <c r="K1081" s="20"/>
    </row>
    <row r="1082" spans="1:11" ht="15.5" x14ac:dyDescent="0.35">
      <c r="A1082" s="3" t="s">
        <v>93</v>
      </c>
      <c r="B1082" s="1"/>
      <c r="C1082" s="20">
        <v>21500</v>
      </c>
      <c r="D1082" s="1"/>
      <c r="E1082" s="1"/>
      <c r="F1082" s="20">
        <f t="shared" si="177"/>
        <v>0</v>
      </c>
      <c r="G1082" s="20">
        <f t="shared" si="178"/>
        <v>0</v>
      </c>
      <c r="H1082" s="20">
        <f t="shared" si="175"/>
        <v>0</v>
      </c>
      <c r="I1082" s="20" t="b">
        <f t="shared" si="176"/>
        <v>1</v>
      </c>
      <c r="J1082" s="20"/>
      <c r="K1082" s="20"/>
    </row>
    <row r="1083" spans="1:11" ht="15.5" x14ac:dyDescent="0.35">
      <c r="A1083" s="3" t="s">
        <v>94</v>
      </c>
      <c r="B1083" s="1"/>
      <c r="C1083" s="20">
        <v>21500</v>
      </c>
      <c r="D1083" s="1"/>
      <c r="E1083" s="1"/>
      <c r="F1083" s="20">
        <f t="shared" si="177"/>
        <v>0</v>
      </c>
      <c r="G1083" s="20">
        <f t="shared" si="178"/>
        <v>0</v>
      </c>
      <c r="H1083" s="20">
        <f t="shared" si="175"/>
        <v>0</v>
      </c>
      <c r="I1083" s="20" t="b">
        <f t="shared" si="176"/>
        <v>1</v>
      </c>
      <c r="J1083" s="20"/>
      <c r="K1083" s="20"/>
    </row>
    <row r="1084" spans="1:11" ht="15.5" x14ac:dyDescent="0.35">
      <c r="A1084" s="19"/>
      <c r="B1084" s="22">
        <f>SUM(B1067:B1083)</f>
        <v>0</v>
      </c>
      <c r="C1084" s="20"/>
      <c r="D1084" s="1"/>
      <c r="E1084" s="1"/>
      <c r="F1084" s="23">
        <f>SUM(F1067:F1083)</f>
        <v>0</v>
      </c>
      <c r="G1084" s="23">
        <f>SUM(G1067:G1083)</f>
        <v>0</v>
      </c>
      <c r="H1084" s="23">
        <f>SUM(H1067:H1083)</f>
        <v>0</v>
      </c>
      <c r="I1084" s="23"/>
      <c r="J1084" s="23">
        <f>SUM(J1067:J1083)</f>
        <v>440000</v>
      </c>
      <c r="K1084" s="23">
        <f>H1084-J1084</f>
        <v>-440000</v>
      </c>
    </row>
    <row r="1085" spans="1:11" ht="15.5" x14ac:dyDescent="0.35">
      <c r="A1085" s="19" t="s">
        <v>95</v>
      </c>
      <c r="B1085" s="1"/>
      <c r="C1085" s="20"/>
      <c r="D1085" s="1"/>
      <c r="E1085" s="1"/>
      <c r="F1085" s="20"/>
      <c r="G1085" s="20"/>
      <c r="H1085" s="20" t="s">
        <v>192</v>
      </c>
      <c r="I1085" s="20"/>
      <c r="J1085" s="20"/>
      <c r="K1085" s="20"/>
    </row>
    <row r="1086" spans="1:11" ht="15.5" x14ac:dyDescent="0.35">
      <c r="A1086" s="3" t="s">
        <v>96</v>
      </c>
      <c r="B1086" s="1"/>
      <c r="C1086" s="20">
        <v>3000</v>
      </c>
      <c r="D1086" s="1"/>
      <c r="E1086" s="20"/>
      <c r="F1086" s="20">
        <f t="shared" ref="F1086:F1089" si="179">C1086*B1086</f>
        <v>0</v>
      </c>
      <c r="G1086" s="20"/>
      <c r="H1086" s="20"/>
      <c r="I1086" s="20"/>
      <c r="J1086" s="20"/>
      <c r="K1086" s="20"/>
    </row>
    <row r="1087" spans="1:11" ht="15.5" x14ac:dyDescent="0.35">
      <c r="A1087" s="3" t="s">
        <v>97</v>
      </c>
      <c r="B1087" s="1"/>
      <c r="C1087" s="20">
        <v>2500</v>
      </c>
      <c r="D1087" s="1"/>
      <c r="E1087" s="1"/>
      <c r="F1087" s="20">
        <f t="shared" si="179"/>
        <v>0</v>
      </c>
      <c r="G1087" s="20"/>
      <c r="H1087" s="20"/>
      <c r="I1087" s="20"/>
      <c r="J1087" s="20"/>
      <c r="K1087" s="20"/>
    </row>
    <row r="1088" spans="1:11" ht="15.5" x14ac:dyDescent="0.35">
      <c r="A1088" s="3" t="s">
        <v>98</v>
      </c>
      <c r="B1088" s="1"/>
      <c r="C1088" s="20">
        <v>1800</v>
      </c>
      <c r="D1088" s="1"/>
      <c r="E1088" s="1"/>
      <c r="F1088" s="20">
        <f t="shared" si="179"/>
        <v>0</v>
      </c>
      <c r="G1088" s="20"/>
      <c r="H1088" s="20"/>
      <c r="I1088" s="20"/>
      <c r="J1088" s="20"/>
      <c r="K1088" s="20"/>
    </row>
    <row r="1089" spans="1:11" ht="15.5" x14ac:dyDescent="0.35">
      <c r="A1089" s="3" t="s">
        <v>99</v>
      </c>
      <c r="B1089" s="1"/>
      <c r="C1089" s="20">
        <v>3500</v>
      </c>
      <c r="D1089" s="1"/>
      <c r="E1089" s="1"/>
      <c r="F1089" s="20">
        <f t="shared" si="179"/>
        <v>0</v>
      </c>
      <c r="G1089" s="20"/>
      <c r="H1089" s="20"/>
      <c r="I1089" s="20"/>
      <c r="J1089" s="20"/>
      <c r="K1089" s="20"/>
    </row>
    <row r="1090" spans="1:11" ht="15.5" x14ac:dyDescent="0.35">
      <c r="A1090" s="18"/>
      <c r="F1090" s="21"/>
    </row>
    <row r="1091" spans="1:11" ht="15.5" x14ac:dyDescent="0.35">
      <c r="A1091" s="24" t="s">
        <v>108</v>
      </c>
      <c r="K1091" s="21"/>
    </row>
    <row r="1092" spans="1:11" ht="15.5" x14ac:dyDescent="0.35">
      <c r="A1092" s="18" t="s">
        <v>114</v>
      </c>
      <c r="B1092" s="67">
        <v>40000</v>
      </c>
    </row>
    <row r="1093" spans="1:11" ht="15.5" x14ac:dyDescent="0.35">
      <c r="A1093" s="18" t="s">
        <v>112</v>
      </c>
      <c r="B1093" s="67">
        <v>40000</v>
      </c>
    </row>
    <row r="1094" spans="1:11" ht="15.5" x14ac:dyDescent="0.35">
      <c r="A1094" s="18" t="s">
        <v>309</v>
      </c>
      <c r="B1094" s="67">
        <v>60000</v>
      </c>
    </row>
    <row r="1095" spans="1:11" ht="15.5" x14ac:dyDescent="0.35">
      <c r="A1095" s="18" t="s">
        <v>110</v>
      </c>
      <c r="B1095" s="67">
        <v>40000</v>
      </c>
    </row>
    <row r="1096" spans="1:11" ht="15.5" x14ac:dyDescent="0.35">
      <c r="A1096" s="18" t="s">
        <v>111</v>
      </c>
      <c r="B1096" s="67">
        <v>40000</v>
      </c>
    </row>
    <row r="1097" spans="1:11" ht="15.5" x14ac:dyDescent="0.35">
      <c r="A1097" s="18" t="s">
        <v>196</v>
      </c>
      <c r="B1097" s="67">
        <v>40000</v>
      </c>
    </row>
    <row r="1098" spans="1:11" ht="15.5" x14ac:dyDescent="0.35">
      <c r="A1098" s="18" t="s">
        <v>113</v>
      </c>
      <c r="B1098" s="67">
        <v>40000</v>
      </c>
    </row>
    <row r="1099" spans="1:11" ht="15.5" x14ac:dyDescent="0.35">
      <c r="A1099" s="18" t="s">
        <v>209</v>
      </c>
      <c r="B1099" s="67">
        <v>40000</v>
      </c>
    </row>
    <row r="1100" spans="1:11" ht="15.5" x14ac:dyDescent="0.35">
      <c r="A1100" s="18" t="s">
        <v>115</v>
      </c>
      <c r="B1100" s="67">
        <v>60000</v>
      </c>
    </row>
    <row r="1101" spans="1:11" ht="15.5" x14ac:dyDescent="0.35">
      <c r="A1101" s="18" t="s">
        <v>109</v>
      </c>
      <c r="B1101" s="67">
        <v>40000</v>
      </c>
    </row>
    <row r="1102" spans="1:11" ht="15.5" x14ac:dyDescent="0.35">
      <c r="A1102" s="24" t="s">
        <v>4</v>
      </c>
      <c r="B1102" s="75">
        <f>SUM(B1092:B1101)</f>
        <v>440000</v>
      </c>
    </row>
  </sheetData>
  <mergeCells count="106">
    <mergeCell ref="A1:K1"/>
    <mergeCell ref="A2:K2"/>
    <mergeCell ref="A3:K3"/>
    <mergeCell ref="A4:K4"/>
    <mergeCell ref="A45:K45"/>
    <mergeCell ref="A388:K388"/>
    <mergeCell ref="A46:K46"/>
    <mergeCell ref="A47:K47"/>
    <mergeCell ref="A48:K48"/>
    <mergeCell ref="A88:K88"/>
    <mergeCell ref="A89:K89"/>
    <mergeCell ref="A90:K90"/>
    <mergeCell ref="A91:K91"/>
    <mergeCell ref="A131:K131"/>
    <mergeCell ref="A132:K132"/>
    <mergeCell ref="A133:K133"/>
    <mergeCell ref="A134:K134"/>
    <mergeCell ref="A345:K345"/>
    <mergeCell ref="A346:K346"/>
    <mergeCell ref="A347:K347"/>
    <mergeCell ref="A219:K219"/>
    <mergeCell ref="A220:K220"/>
    <mergeCell ref="A304:K304"/>
    <mergeCell ref="A389:K389"/>
    <mergeCell ref="A344:K344"/>
    <mergeCell ref="A390:K390"/>
    <mergeCell ref="A391:K391"/>
    <mergeCell ref="A432:K432"/>
    <mergeCell ref="A173:K173"/>
    <mergeCell ref="A301:K301"/>
    <mergeCell ref="A302:K302"/>
    <mergeCell ref="A303:K303"/>
    <mergeCell ref="A256:K256"/>
    <mergeCell ref="A257:K257"/>
    <mergeCell ref="A258:K258"/>
    <mergeCell ref="A259:K259"/>
    <mergeCell ref="A175:K175"/>
    <mergeCell ref="A176:K176"/>
    <mergeCell ref="A177:K177"/>
    <mergeCell ref="A178:K178"/>
    <mergeCell ref="A221:K221"/>
    <mergeCell ref="A222:K222"/>
    <mergeCell ref="A260:K260"/>
    <mergeCell ref="A558:K558"/>
    <mergeCell ref="A642:K642"/>
    <mergeCell ref="A730:K730"/>
    <mergeCell ref="A731:K731"/>
    <mergeCell ref="A688:K688"/>
    <mergeCell ref="A685:K685"/>
    <mergeCell ref="A686:K686"/>
    <mergeCell ref="A687:K687"/>
    <mergeCell ref="A599:K599"/>
    <mergeCell ref="A728:K728"/>
    <mergeCell ref="A729:K729"/>
    <mergeCell ref="A600:K600"/>
    <mergeCell ref="A601:K601"/>
    <mergeCell ref="A602:K602"/>
    <mergeCell ref="A643:K643"/>
    <mergeCell ref="A644:K644"/>
    <mergeCell ref="A645:K645"/>
    <mergeCell ref="A433:K433"/>
    <mergeCell ref="A434:K434"/>
    <mergeCell ref="A475:K475"/>
    <mergeCell ref="A556:K556"/>
    <mergeCell ref="A557:K557"/>
    <mergeCell ref="A476:K476"/>
    <mergeCell ref="A477:K477"/>
    <mergeCell ref="A515:K515"/>
    <mergeCell ref="A555:K555"/>
    <mergeCell ref="A478:K478"/>
    <mergeCell ref="A512:K512"/>
    <mergeCell ref="A513:K513"/>
    <mergeCell ref="A514:K514"/>
    <mergeCell ref="A435:K435"/>
    <mergeCell ref="A851:K851"/>
    <mergeCell ref="A852:K852"/>
    <mergeCell ref="A765:K765"/>
    <mergeCell ref="A853:K853"/>
    <mergeCell ref="A854:K854"/>
    <mergeCell ref="A766:K766"/>
    <mergeCell ref="A767:K767"/>
    <mergeCell ref="A768:K768"/>
    <mergeCell ref="A808:K808"/>
    <mergeCell ref="A809:K809"/>
    <mergeCell ref="A810:K810"/>
    <mergeCell ref="A811:K811"/>
    <mergeCell ref="A1063:K1063"/>
    <mergeCell ref="A1064:K1064"/>
    <mergeCell ref="A1065:K1065"/>
    <mergeCell ref="A977:K977"/>
    <mergeCell ref="A897:K897"/>
    <mergeCell ref="A894:K894"/>
    <mergeCell ref="A895:K895"/>
    <mergeCell ref="A896:K896"/>
    <mergeCell ref="A937:K937"/>
    <mergeCell ref="A938:K938"/>
    <mergeCell ref="A939:K939"/>
    <mergeCell ref="A940:K940"/>
    <mergeCell ref="A1019:K1019"/>
    <mergeCell ref="A1020:K1020"/>
    <mergeCell ref="A1021:K1021"/>
    <mergeCell ref="A1022:K1022"/>
    <mergeCell ref="A974:K974"/>
    <mergeCell ref="A975:K975"/>
    <mergeCell ref="A976:K976"/>
    <mergeCell ref="A1062:K106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F75B-FA83-47D0-A0B1-BFB814C5F351}">
  <dimension ref="A1:N1181"/>
  <sheetViews>
    <sheetView topLeftCell="A692" workbookViewId="0">
      <selection activeCell="E704" sqref="E704"/>
    </sheetView>
  </sheetViews>
  <sheetFormatPr baseColWidth="10" defaultRowHeight="14.5" x14ac:dyDescent="0.35"/>
  <cols>
    <col min="1" max="1" width="38.453125" bestFit="1" customWidth="1"/>
    <col min="2" max="2" width="12.26953125" bestFit="1" customWidth="1"/>
    <col min="4" max="4" width="14.7265625" bestFit="1" customWidth="1"/>
    <col min="5" max="5" width="18.1796875" bestFit="1" customWidth="1"/>
    <col min="9" max="9" width="11.1796875" bestFit="1" customWidth="1"/>
  </cols>
  <sheetData>
    <row r="1" spans="1:11" ht="18.5" x14ac:dyDescent="0.45">
      <c r="A1" s="150" t="s">
        <v>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8.5" x14ac:dyDescent="0.45">
      <c r="A2" s="150" t="s">
        <v>74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1" ht="18.5" x14ac:dyDescent="0.45">
      <c r="A3" s="149">
        <v>46113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ht="18.5" x14ac:dyDescent="0.45">
      <c r="A4" s="150"/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8.5" x14ac:dyDescent="0.45">
      <c r="A5" s="2" t="s">
        <v>75</v>
      </c>
      <c r="B5" s="2" t="s">
        <v>3</v>
      </c>
      <c r="C5" s="2" t="s">
        <v>100</v>
      </c>
      <c r="D5" s="2" t="s">
        <v>90</v>
      </c>
      <c r="E5" s="2" t="s">
        <v>91</v>
      </c>
      <c r="F5" s="2" t="s">
        <v>4</v>
      </c>
      <c r="G5" s="2" t="s">
        <v>101</v>
      </c>
      <c r="H5" s="2" t="s">
        <v>104</v>
      </c>
      <c r="I5" s="2"/>
      <c r="J5" s="2" t="s">
        <v>105</v>
      </c>
      <c r="K5" s="2" t="s">
        <v>106</v>
      </c>
    </row>
    <row r="6" spans="1:11" ht="15.5" x14ac:dyDescent="0.35">
      <c r="A6" s="3" t="s">
        <v>76</v>
      </c>
      <c r="B6" s="1">
        <v>75</v>
      </c>
      <c r="C6" s="20">
        <v>17500</v>
      </c>
      <c r="D6" s="1">
        <v>28</v>
      </c>
      <c r="E6" s="1">
        <v>47</v>
      </c>
      <c r="F6" s="20">
        <f>C6*B6</f>
        <v>1312500</v>
      </c>
      <c r="G6" s="20">
        <f>D6*C6</f>
        <v>490000</v>
      </c>
      <c r="H6" s="20">
        <f>E6*C6</f>
        <v>822500</v>
      </c>
      <c r="I6" s="20" t="b">
        <f>D6+E6=B6</f>
        <v>1</v>
      </c>
      <c r="J6" s="20">
        <f>B41</f>
        <v>400000</v>
      </c>
      <c r="K6" s="20" t="s">
        <v>117</v>
      </c>
    </row>
    <row r="7" spans="1:11" ht="15.5" x14ac:dyDescent="0.35">
      <c r="A7" s="3" t="s">
        <v>77</v>
      </c>
      <c r="B7" s="1">
        <v>9</v>
      </c>
      <c r="C7" s="20">
        <v>16000</v>
      </c>
      <c r="D7" s="1">
        <v>6</v>
      </c>
      <c r="E7" s="1">
        <v>3</v>
      </c>
      <c r="F7" s="20">
        <f t="shared" ref="F7:G18" si="0">C7*B7</f>
        <v>144000</v>
      </c>
      <c r="G7" s="20">
        <f t="shared" si="0"/>
        <v>96000</v>
      </c>
      <c r="H7" s="20">
        <f t="shared" ref="H7:H22" si="1">E7*C7</f>
        <v>48000</v>
      </c>
      <c r="I7" s="20" t="b">
        <f t="shared" ref="I7:I22" si="2">D7+E7=B7</f>
        <v>1</v>
      </c>
      <c r="J7" s="20">
        <v>320000</v>
      </c>
      <c r="K7" s="20" t="s">
        <v>107</v>
      </c>
    </row>
    <row r="8" spans="1:11" ht="15.5" x14ac:dyDescent="0.35">
      <c r="A8" s="3" t="s">
        <v>78</v>
      </c>
      <c r="B8" s="1">
        <v>52</v>
      </c>
      <c r="C8" s="20">
        <v>17500</v>
      </c>
      <c r="D8" s="1">
        <v>24</v>
      </c>
      <c r="E8" s="1">
        <v>28</v>
      </c>
      <c r="F8" s="20">
        <f t="shared" si="0"/>
        <v>910000</v>
      </c>
      <c r="G8" s="20">
        <f t="shared" si="0"/>
        <v>420000</v>
      </c>
      <c r="H8" s="20">
        <f t="shared" si="1"/>
        <v>490000</v>
      </c>
      <c r="I8" s="20" t="b">
        <f t="shared" si="2"/>
        <v>1</v>
      </c>
      <c r="J8" s="20">
        <v>185000</v>
      </c>
      <c r="K8" s="20" t="s">
        <v>410</v>
      </c>
    </row>
    <row r="9" spans="1:11" ht="15.5" x14ac:dyDescent="0.35">
      <c r="A9" s="3" t="s">
        <v>79</v>
      </c>
      <c r="B9" s="1">
        <v>19</v>
      </c>
      <c r="C9" s="20">
        <v>18500</v>
      </c>
      <c r="D9" s="1">
        <v>9</v>
      </c>
      <c r="E9" s="1">
        <v>10</v>
      </c>
      <c r="F9" s="20">
        <f t="shared" si="0"/>
        <v>351500</v>
      </c>
      <c r="G9" s="20">
        <f t="shared" si="0"/>
        <v>166500</v>
      </c>
      <c r="H9" s="20">
        <f t="shared" si="1"/>
        <v>185000</v>
      </c>
      <c r="I9" s="20" t="b">
        <f t="shared" si="2"/>
        <v>1</v>
      </c>
      <c r="J9" s="20">
        <v>64000</v>
      </c>
      <c r="K9" s="20" t="s">
        <v>411</v>
      </c>
    </row>
    <row r="10" spans="1:11" ht="15.5" x14ac:dyDescent="0.35">
      <c r="A10" s="3" t="s">
        <v>80</v>
      </c>
      <c r="B10" s="1">
        <v>18</v>
      </c>
      <c r="C10" s="20">
        <v>18500</v>
      </c>
      <c r="D10" s="1">
        <v>6</v>
      </c>
      <c r="E10" s="1">
        <v>12</v>
      </c>
      <c r="F10" s="20">
        <f t="shared" si="0"/>
        <v>333000</v>
      </c>
      <c r="G10" s="20">
        <f t="shared" si="0"/>
        <v>111000</v>
      </c>
      <c r="H10" s="20">
        <f t="shared" si="1"/>
        <v>222000</v>
      </c>
      <c r="I10" s="20" t="b">
        <f t="shared" si="2"/>
        <v>1</v>
      </c>
      <c r="J10" s="20"/>
      <c r="K10" s="20"/>
    </row>
    <row r="11" spans="1:11" ht="15.5" x14ac:dyDescent="0.35">
      <c r="A11" s="3" t="s">
        <v>81</v>
      </c>
      <c r="B11" s="1"/>
      <c r="C11" s="20">
        <v>23000</v>
      </c>
      <c r="D11" s="1"/>
      <c r="E11" s="1"/>
      <c r="F11" s="20">
        <f t="shared" si="0"/>
        <v>0</v>
      </c>
      <c r="G11" s="20">
        <f t="shared" si="0"/>
        <v>0</v>
      </c>
      <c r="H11" s="20">
        <f t="shared" si="1"/>
        <v>0</v>
      </c>
      <c r="I11" s="20" t="b">
        <f t="shared" si="2"/>
        <v>1</v>
      </c>
      <c r="J11" s="20"/>
      <c r="K11" s="20"/>
    </row>
    <row r="12" spans="1:11" ht="15.5" x14ac:dyDescent="0.35">
      <c r="A12" s="3" t="s">
        <v>82</v>
      </c>
      <c r="B12" s="1"/>
      <c r="C12" s="20">
        <v>18000</v>
      </c>
      <c r="D12" s="1"/>
      <c r="E12" s="1"/>
      <c r="F12" s="20">
        <f t="shared" si="0"/>
        <v>0</v>
      </c>
      <c r="G12" s="20">
        <f t="shared" si="0"/>
        <v>0</v>
      </c>
      <c r="H12" s="20">
        <f t="shared" si="1"/>
        <v>0</v>
      </c>
      <c r="I12" s="20" t="b">
        <f t="shared" si="2"/>
        <v>1</v>
      </c>
      <c r="J12" s="20"/>
      <c r="K12" s="20"/>
    </row>
    <row r="13" spans="1:11" ht="15.5" x14ac:dyDescent="0.35">
      <c r="A13" s="3" t="s">
        <v>83</v>
      </c>
      <c r="B13" s="1"/>
      <c r="C13" s="20">
        <v>18000</v>
      </c>
      <c r="D13" s="1"/>
      <c r="E13" s="1"/>
      <c r="F13" s="20">
        <f t="shared" si="0"/>
        <v>0</v>
      </c>
      <c r="G13" s="20">
        <f t="shared" si="0"/>
        <v>0</v>
      </c>
      <c r="H13" s="20">
        <f t="shared" si="1"/>
        <v>0</v>
      </c>
      <c r="I13" s="20" t="b">
        <f t="shared" si="2"/>
        <v>1</v>
      </c>
      <c r="J13" s="20"/>
      <c r="K13" s="20"/>
    </row>
    <row r="14" spans="1:11" ht="15.5" x14ac:dyDescent="0.35">
      <c r="A14" s="3" t="s">
        <v>84</v>
      </c>
      <c r="B14" s="1"/>
      <c r="C14" s="20">
        <v>18500</v>
      </c>
      <c r="D14" s="1"/>
      <c r="E14" s="1"/>
      <c r="F14" s="20">
        <f t="shared" si="0"/>
        <v>0</v>
      </c>
      <c r="G14" s="20">
        <f t="shared" si="0"/>
        <v>0</v>
      </c>
      <c r="H14" s="20">
        <f t="shared" si="1"/>
        <v>0</v>
      </c>
      <c r="I14" s="20" t="b">
        <f t="shared" si="2"/>
        <v>1</v>
      </c>
      <c r="J14" s="20"/>
      <c r="K14" s="20"/>
    </row>
    <row r="15" spans="1:11" ht="15.5" x14ac:dyDescent="0.35">
      <c r="A15" s="3" t="s">
        <v>85</v>
      </c>
      <c r="B15" s="1"/>
      <c r="C15" s="20">
        <v>18500</v>
      </c>
      <c r="D15" s="1"/>
      <c r="E15" s="1"/>
      <c r="F15" s="20">
        <f t="shared" si="0"/>
        <v>0</v>
      </c>
      <c r="G15" s="20">
        <f t="shared" si="0"/>
        <v>0</v>
      </c>
      <c r="H15" s="20">
        <f t="shared" si="1"/>
        <v>0</v>
      </c>
      <c r="I15" s="20" t="b">
        <f t="shared" si="2"/>
        <v>1</v>
      </c>
      <c r="J15" s="20"/>
      <c r="K15" s="20"/>
    </row>
    <row r="16" spans="1:11" ht="15.5" x14ac:dyDescent="0.35">
      <c r="A16" s="3" t="s">
        <v>86</v>
      </c>
      <c r="B16" s="1">
        <v>5</v>
      </c>
      <c r="C16" s="20">
        <v>18500</v>
      </c>
      <c r="D16" s="1">
        <v>3</v>
      </c>
      <c r="E16" s="1">
        <v>2</v>
      </c>
      <c r="F16" s="20">
        <f t="shared" si="0"/>
        <v>92500</v>
      </c>
      <c r="G16" s="20">
        <f t="shared" si="0"/>
        <v>55500</v>
      </c>
      <c r="H16" s="20">
        <f t="shared" si="1"/>
        <v>37000</v>
      </c>
      <c r="I16" s="20" t="b">
        <f t="shared" si="2"/>
        <v>1</v>
      </c>
      <c r="J16" s="20"/>
      <c r="K16" s="20"/>
    </row>
    <row r="17" spans="1:11" ht="15.5" x14ac:dyDescent="0.35">
      <c r="A17" s="3" t="s">
        <v>87</v>
      </c>
      <c r="B17" s="1"/>
      <c r="C17" s="20">
        <v>18500</v>
      </c>
      <c r="D17" s="1"/>
      <c r="E17" s="1"/>
      <c r="F17" s="20">
        <f t="shared" si="0"/>
        <v>0</v>
      </c>
      <c r="G17" s="20">
        <f t="shared" si="0"/>
        <v>0</v>
      </c>
      <c r="H17" s="20">
        <f t="shared" si="1"/>
        <v>0</v>
      </c>
      <c r="I17" s="20" t="b">
        <f t="shared" si="2"/>
        <v>1</v>
      </c>
      <c r="J17" s="20"/>
      <c r="K17" s="20"/>
    </row>
    <row r="18" spans="1:11" ht="15.5" x14ac:dyDescent="0.35">
      <c r="A18" s="3" t="s">
        <v>88</v>
      </c>
      <c r="B18" s="1"/>
      <c r="C18" s="20">
        <v>18500</v>
      </c>
      <c r="D18" s="1"/>
      <c r="E18" s="1"/>
      <c r="F18" s="20">
        <f t="shared" si="0"/>
        <v>0</v>
      </c>
      <c r="G18" s="20">
        <f t="shared" si="0"/>
        <v>0</v>
      </c>
      <c r="H18" s="20">
        <f t="shared" si="1"/>
        <v>0</v>
      </c>
      <c r="I18" s="20" t="b">
        <f t="shared" si="2"/>
        <v>1</v>
      </c>
      <c r="J18" s="20"/>
      <c r="K18" s="20"/>
    </row>
    <row r="19" spans="1:11" ht="15.5" x14ac:dyDescent="0.35">
      <c r="A19" s="19" t="s">
        <v>89</v>
      </c>
      <c r="B19" s="1"/>
      <c r="C19" s="20"/>
      <c r="D19" s="1"/>
      <c r="E19" s="1"/>
      <c r="F19" s="20"/>
      <c r="G19" s="20"/>
      <c r="H19" s="20">
        <f t="shared" si="1"/>
        <v>0</v>
      </c>
      <c r="I19" s="20" t="b">
        <f t="shared" si="2"/>
        <v>1</v>
      </c>
      <c r="J19" s="20"/>
      <c r="K19" s="20"/>
    </row>
    <row r="20" spans="1:11" ht="15.5" x14ac:dyDescent="0.35">
      <c r="A20" s="3" t="s">
        <v>92</v>
      </c>
      <c r="B20" s="1">
        <v>32</v>
      </c>
      <c r="C20" s="20">
        <v>21500</v>
      </c>
      <c r="D20" s="1">
        <v>13</v>
      </c>
      <c r="E20" s="1">
        <v>19</v>
      </c>
      <c r="F20" s="20">
        <f t="shared" ref="F20:G22" si="3">C20*B20</f>
        <v>688000</v>
      </c>
      <c r="G20" s="20">
        <f t="shared" si="3"/>
        <v>279500</v>
      </c>
      <c r="H20" s="20">
        <f t="shared" si="1"/>
        <v>408500</v>
      </c>
      <c r="I20" s="20" t="b">
        <f t="shared" si="2"/>
        <v>1</v>
      </c>
      <c r="J20" s="20"/>
      <c r="K20" s="20"/>
    </row>
    <row r="21" spans="1:11" ht="15.5" x14ac:dyDescent="0.35">
      <c r="A21" s="3" t="s">
        <v>93</v>
      </c>
      <c r="B21" s="1">
        <v>13</v>
      </c>
      <c r="C21" s="20">
        <v>21500</v>
      </c>
      <c r="D21" s="1">
        <v>4</v>
      </c>
      <c r="E21" s="1">
        <v>9</v>
      </c>
      <c r="F21" s="20">
        <f t="shared" si="3"/>
        <v>279500</v>
      </c>
      <c r="G21" s="20">
        <f t="shared" si="3"/>
        <v>86000</v>
      </c>
      <c r="H21" s="20">
        <f t="shared" si="1"/>
        <v>193500</v>
      </c>
      <c r="I21" s="20" t="b">
        <f t="shared" si="2"/>
        <v>1</v>
      </c>
      <c r="J21" s="20"/>
      <c r="K21" s="20"/>
    </row>
    <row r="22" spans="1:11" ht="15.5" x14ac:dyDescent="0.35">
      <c r="A22" s="3" t="s">
        <v>94</v>
      </c>
      <c r="B22" s="1"/>
      <c r="C22" s="20">
        <v>21500</v>
      </c>
      <c r="D22" s="1"/>
      <c r="E22" s="1"/>
      <c r="F22" s="20">
        <f t="shared" si="3"/>
        <v>0</v>
      </c>
      <c r="G22" s="20">
        <f t="shared" si="3"/>
        <v>0</v>
      </c>
      <c r="H22" s="20">
        <f t="shared" si="1"/>
        <v>0</v>
      </c>
      <c r="I22" s="20" t="b">
        <f t="shared" si="2"/>
        <v>1</v>
      </c>
      <c r="J22" s="20"/>
      <c r="K22" s="20"/>
    </row>
    <row r="23" spans="1:11" ht="15.5" x14ac:dyDescent="0.35">
      <c r="A23" s="19"/>
      <c r="B23" s="22">
        <f>SUM(B6:B22)</f>
        <v>223</v>
      </c>
      <c r="C23" s="20"/>
      <c r="D23" s="1"/>
      <c r="E23" s="1"/>
      <c r="F23" s="23">
        <f>SUM(F6:F22)</f>
        <v>4111000</v>
      </c>
      <c r="G23" s="23">
        <f>SUM(G6:G22)</f>
        <v>1704500</v>
      </c>
      <c r="H23" s="23">
        <f>SUM(H6:H22)</f>
        <v>2406500</v>
      </c>
      <c r="I23" s="23"/>
      <c r="J23" s="23">
        <f>SUM(J6:J22)</f>
        <v>969000</v>
      </c>
      <c r="K23" s="23">
        <f>H23-J23</f>
        <v>1437500</v>
      </c>
    </row>
    <row r="24" spans="1:11" ht="15.5" x14ac:dyDescent="0.35">
      <c r="A24" s="19" t="s">
        <v>95</v>
      </c>
      <c r="B24" s="1"/>
      <c r="C24" s="20"/>
      <c r="D24" s="1"/>
      <c r="E24" s="1"/>
      <c r="F24" s="20"/>
      <c r="G24" s="20"/>
      <c r="H24" s="20" t="s">
        <v>192</v>
      </c>
      <c r="I24" s="20"/>
      <c r="J24" s="20"/>
      <c r="K24" s="20"/>
    </row>
    <row r="25" spans="1:11" ht="15.5" x14ac:dyDescent="0.35">
      <c r="A25" s="3" t="s">
        <v>96</v>
      </c>
      <c r="B25" s="1"/>
      <c r="C25" s="20">
        <v>3000</v>
      </c>
      <c r="D25" s="1"/>
      <c r="E25" s="20"/>
      <c r="F25" s="20">
        <f t="shared" ref="F25:F28" si="4">C25*B25</f>
        <v>0</v>
      </c>
      <c r="G25" s="20"/>
      <c r="H25" s="20"/>
      <c r="I25" s="20"/>
      <c r="J25" s="20"/>
      <c r="K25" s="20"/>
    </row>
    <row r="26" spans="1:11" ht="15.5" x14ac:dyDescent="0.35">
      <c r="A26" s="3" t="s">
        <v>97</v>
      </c>
      <c r="B26" s="1"/>
      <c r="C26" s="20">
        <v>2500</v>
      </c>
      <c r="D26" s="1"/>
      <c r="E26" s="1"/>
      <c r="F26" s="20">
        <f t="shared" si="4"/>
        <v>0</v>
      </c>
      <c r="G26" s="20"/>
      <c r="H26" s="20"/>
      <c r="I26" s="20"/>
      <c r="J26" s="20"/>
      <c r="K26" s="20"/>
    </row>
    <row r="27" spans="1:11" ht="15.5" x14ac:dyDescent="0.35">
      <c r="A27" s="3" t="s">
        <v>98</v>
      </c>
      <c r="B27" s="1"/>
      <c r="C27" s="20">
        <v>1800</v>
      </c>
      <c r="D27" s="1"/>
      <c r="E27" s="1"/>
      <c r="F27" s="20">
        <f t="shared" si="4"/>
        <v>0</v>
      </c>
      <c r="G27" s="20"/>
      <c r="H27" s="20"/>
      <c r="I27" s="20"/>
      <c r="J27" s="20"/>
      <c r="K27" s="20"/>
    </row>
    <row r="28" spans="1:11" ht="15.5" x14ac:dyDescent="0.35">
      <c r="A28" s="3" t="s">
        <v>99</v>
      </c>
      <c r="B28" s="1"/>
      <c r="C28" s="20">
        <v>3500</v>
      </c>
      <c r="D28" s="1"/>
      <c r="E28" s="1"/>
      <c r="F28" s="20">
        <f t="shared" si="4"/>
        <v>0</v>
      </c>
      <c r="G28" s="20"/>
      <c r="H28" s="20"/>
      <c r="I28" s="20"/>
      <c r="J28" s="20"/>
      <c r="K28" s="20"/>
    </row>
    <row r="29" spans="1:11" ht="15.5" x14ac:dyDescent="0.35">
      <c r="A29" s="18"/>
      <c r="F29" s="21"/>
    </row>
    <row r="30" spans="1:11" ht="15.5" x14ac:dyDescent="0.35">
      <c r="A30" s="24" t="s">
        <v>108</v>
      </c>
      <c r="K30" s="21"/>
    </row>
    <row r="31" spans="1:11" ht="15.5" x14ac:dyDescent="0.35">
      <c r="A31" s="18" t="s">
        <v>114</v>
      </c>
      <c r="B31" s="67">
        <v>40000</v>
      </c>
    </row>
    <row r="32" spans="1:11" ht="15.5" x14ac:dyDescent="0.35">
      <c r="A32" s="18" t="s">
        <v>112</v>
      </c>
      <c r="B32" s="67">
        <v>40000</v>
      </c>
    </row>
    <row r="33" spans="1:11" ht="15.5" x14ac:dyDescent="0.35">
      <c r="A33" s="18" t="s">
        <v>309</v>
      </c>
      <c r="B33" s="67">
        <v>60000</v>
      </c>
    </row>
    <row r="34" spans="1:11" ht="15.5" x14ac:dyDescent="0.35">
      <c r="A34" s="18" t="s">
        <v>110</v>
      </c>
      <c r="B34" s="67">
        <v>40000</v>
      </c>
    </row>
    <row r="35" spans="1:11" ht="15.5" x14ac:dyDescent="0.35">
      <c r="A35" s="18" t="s">
        <v>111</v>
      </c>
      <c r="B35" s="67">
        <v>40000</v>
      </c>
    </row>
    <row r="36" spans="1:11" ht="15.5" x14ac:dyDescent="0.35">
      <c r="A36" s="18" t="s">
        <v>196</v>
      </c>
      <c r="B36" s="67">
        <v>40000</v>
      </c>
    </row>
    <row r="37" spans="1:11" ht="15.5" x14ac:dyDescent="0.35">
      <c r="A37" s="18" t="s">
        <v>113</v>
      </c>
      <c r="B37" s="67" t="s">
        <v>409</v>
      </c>
    </row>
    <row r="38" spans="1:11" ht="15.5" x14ac:dyDescent="0.35">
      <c r="A38" s="18" t="s">
        <v>209</v>
      </c>
      <c r="B38" s="67">
        <v>40000</v>
      </c>
    </row>
    <row r="39" spans="1:11" ht="15.5" x14ac:dyDescent="0.35">
      <c r="A39" s="18" t="s">
        <v>115</v>
      </c>
      <c r="B39" s="67">
        <v>60000</v>
      </c>
    </row>
    <row r="40" spans="1:11" ht="15.5" x14ac:dyDescent="0.35">
      <c r="A40" s="18" t="s">
        <v>109</v>
      </c>
      <c r="B40" s="67">
        <v>40000</v>
      </c>
    </row>
    <row r="41" spans="1:11" ht="15.5" x14ac:dyDescent="0.35">
      <c r="A41" s="24" t="s">
        <v>4</v>
      </c>
      <c r="B41" s="75">
        <f>SUM(B31:B40)</f>
        <v>400000</v>
      </c>
    </row>
    <row r="42" spans="1:11" ht="15.5" x14ac:dyDescent="0.35">
      <c r="A42" s="24"/>
      <c r="B42" s="17"/>
    </row>
    <row r="43" spans="1:11" ht="15.5" x14ac:dyDescent="0.35">
      <c r="A43" s="24"/>
      <c r="B43" s="17"/>
    </row>
    <row r="45" spans="1:11" ht="18.5" x14ac:dyDescent="0.45">
      <c r="A45" s="150" t="s">
        <v>1</v>
      </c>
      <c r="B45" s="150"/>
      <c r="C45" s="150"/>
      <c r="D45" s="150"/>
      <c r="E45" s="150"/>
      <c r="F45" s="150"/>
      <c r="G45" s="150"/>
      <c r="H45" s="150"/>
      <c r="I45" s="150"/>
      <c r="J45" s="150"/>
      <c r="K45" s="150"/>
    </row>
    <row r="46" spans="1:11" ht="18.5" x14ac:dyDescent="0.45">
      <c r="A46" s="150" t="s">
        <v>74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</row>
    <row r="47" spans="1:11" ht="18.5" x14ac:dyDescent="0.45">
      <c r="A47" s="149">
        <v>46118</v>
      </c>
      <c r="B47" s="149"/>
      <c r="C47" s="149"/>
      <c r="D47" s="149"/>
      <c r="E47" s="149"/>
      <c r="F47" s="149"/>
      <c r="G47" s="149"/>
      <c r="H47" s="149"/>
      <c r="I47" s="149"/>
      <c r="J47" s="149"/>
      <c r="K47" s="149"/>
    </row>
    <row r="48" spans="1:11" ht="18.5" x14ac:dyDescent="0.45">
      <c r="A48" s="150"/>
      <c r="B48" s="150"/>
      <c r="C48" s="150"/>
      <c r="D48" s="150"/>
      <c r="E48" s="150"/>
      <c r="F48" s="150"/>
      <c r="G48" s="150"/>
      <c r="H48" s="150"/>
      <c r="I48" s="150"/>
      <c r="J48" s="150"/>
      <c r="K48" s="150"/>
    </row>
    <row r="49" spans="1:11" ht="18.5" x14ac:dyDescent="0.45">
      <c r="A49" s="2" t="s">
        <v>75</v>
      </c>
      <c r="B49" s="2" t="s">
        <v>3</v>
      </c>
      <c r="C49" s="2" t="s">
        <v>100</v>
      </c>
      <c r="D49" s="2" t="s">
        <v>90</v>
      </c>
      <c r="E49" s="2" t="s">
        <v>91</v>
      </c>
      <c r="F49" s="2" t="s">
        <v>4</v>
      </c>
      <c r="G49" s="2" t="s">
        <v>101</v>
      </c>
      <c r="H49" s="2" t="s">
        <v>104</v>
      </c>
      <c r="I49" s="2"/>
      <c r="J49" s="2" t="s">
        <v>105</v>
      </c>
      <c r="K49" s="2" t="s">
        <v>106</v>
      </c>
    </row>
    <row r="50" spans="1:11" ht="15.5" x14ac:dyDescent="0.35">
      <c r="A50" s="3" t="s">
        <v>76</v>
      </c>
      <c r="B50" s="1">
        <v>145</v>
      </c>
      <c r="C50" s="20">
        <v>17500</v>
      </c>
      <c r="D50" s="1">
        <v>52</v>
      </c>
      <c r="E50" s="1">
        <v>93</v>
      </c>
      <c r="F50" s="20">
        <f>C50*B50</f>
        <v>2537500</v>
      </c>
      <c r="G50" s="20">
        <f>D50*C50</f>
        <v>910000</v>
      </c>
      <c r="H50" s="20">
        <f>E50*C50</f>
        <v>1627500</v>
      </c>
      <c r="I50" s="20" t="b">
        <f>D50+E50=B50</f>
        <v>1</v>
      </c>
      <c r="J50" s="20">
        <f>B85</f>
        <v>400000</v>
      </c>
      <c r="K50" s="20" t="s">
        <v>117</v>
      </c>
    </row>
    <row r="51" spans="1:11" ht="15.5" x14ac:dyDescent="0.35">
      <c r="A51" s="3" t="s">
        <v>77</v>
      </c>
      <c r="B51" s="1">
        <v>23</v>
      </c>
      <c r="C51" s="20">
        <v>16000</v>
      </c>
      <c r="D51" s="1">
        <v>9</v>
      </c>
      <c r="E51" s="1">
        <v>14</v>
      </c>
      <c r="F51" s="20">
        <f t="shared" ref="F51:G62" si="5">C51*B51</f>
        <v>368000</v>
      </c>
      <c r="G51" s="20">
        <f t="shared" si="5"/>
        <v>144000</v>
      </c>
      <c r="H51" s="20">
        <f t="shared" ref="H51:H66" si="6">E51*C51</f>
        <v>224000</v>
      </c>
      <c r="I51" s="20" t="b">
        <f t="shared" ref="I51:I66" si="7">D51+E51=B51</f>
        <v>1</v>
      </c>
      <c r="J51" s="20">
        <v>30000</v>
      </c>
      <c r="K51" s="20" t="s">
        <v>417</v>
      </c>
    </row>
    <row r="52" spans="1:11" ht="15.5" x14ac:dyDescent="0.35">
      <c r="A52" s="3" t="s">
        <v>78</v>
      </c>
      <c r="B52" s="1">
        <v>60</v>
      </c>
      <c r="C52" s="20">
        <v>17500</v>
      </c>
      <c r="D52" s="1">
        <v>28</v>
      </c>
      <c r="E52" s="1">
        <v>32</v>
      </c>
      <c r="F52" s="20">
        <f t="shared" si="5"/>
        <v>1050000</v>
      </c>
      <c r="G52" s="20">
        <f t="shared" si="5"/>
        <v>490000</v>
      </c>
      <c r="H52" s="20">
        <f t="shared" si="6"/>
        <v>560000</v>
      </c>
      <c r="I52" s="20" t="b">
        <f t="shared" si="7"/>
        <v>1</v>
      </c>
      <c r="J52" s="20">
        <v>7600</v>
      </c>
      <c r="K52" s="20" t="s">
        <v>418</v>
      </c>
    </row>
    <row r="53" spans="1:11" ht="15.5" x14ac:dyDescent="0.35">
      <c r="A53" s="3" t="s">
        <v>79</v>
      </c>
      <c r="B53" s="1">
        <v>35</v>
      </c>
      <c r="C53" s="20">
        <v>18500</v>
      </c>
      <c r="D53" s="1">
        <v>16</v>
      </c>
      <c r="E53" s="1">
        <v>19</v>
      </c>
      <c r="F53" s="20">
        <f t="shared" si="5"/>
        <v>647500</v>
      </c>
      <c r="G53" s="20">
        <f t="shared" si="5"/>
        <v>296000</v>
      </c>
      <c r="H53" s="20">
        <f t="shared" si="6"/>
        <v>351500</v>
      </c>
      <c r="I53" s="20" t="b">
        <f t="shared" si="7"/>
        <v>1</v>
      </c>
      <c r="J53" s="20">
        <v>13000</v>
      </c>
      <c r="K53" s="20" t="s">
        <v>419</v>
      </c>
    </row>
    <row r="54" spans="1:11" ht="15.5" x14ac:dyDescent="0.35">
      <c r="A54" s="3" t="s">
        <v>80</v>
      </c>
      <c r="B54" s="1"/>
      <c r="C54" s="20">
        <v>18500</v>
      </c>
      <c r="D54" s="1"/>
      <c r="E54" s="1"/>
      <c r="F54" s="20">
        <f t="shared" si="5"/>
        <v>0</v>
      </c>
      <c r="G54" s="20">
        <f t="shared" si="5"/>
        <v>0</v>
      </c>
      <c r="H54" s="20">
        <f t="shared" si="6"/>
        <v>0</v>
      </c>
      <c r="I54" s="20" t="b">
        <f t="shared" si="7"/>
        <v>1</v>
      </c>
      <c r="J54" s="20">
        <v>315000</v>
      </c>
      <c r="K54" s="20" t="s">
        <v>199</v>
      </c>
    </row>
    <row r="55" spans="1:11" ht="15.5" x14ac:dyDescent="0.35">
      <c r="A55" s="3" t="s">
        <v>81</v>
      </c>
      <c r="B55" s="1"/>
      <c r="C55" s="20">
        <v>23000</v>
      </c>
      <c r="D55" s="1"/>
      <c r="E55" s="1"/>
      <c r="F55" s="20">
        <f t="shared" si="5"/>
        <v>0</v>
      </c>
      <c r="G55" s="20">
        <f t="shared" si="5"/>
        <v>0</v>
      </c>
      <c r="H55" s="20">
        <f t="shared" si="6"/>
        <v>0</v>
      </c>
      <c r="I55" s="20" t="b">
        <f t="shared" si="7"/>
        <v>1</v>
      </c>
      <c r="J55" s="20">
        <v>81950</v>
      </c>
      <c r="K55" s="20" t="s">
        <v>155</v>
      </c>
    </row>
    <row r="56" spans="1:11" ht="15.5" x14ac:dyDescent="0.35">
      <c r="A56" s="3" t="s">
        <v>82</v>
      </c>
      <c r="B56" s="1">
        <v>30</v>
      </c>
      <c r="C56" s="20">
        <v>18000</v>
      </c>
      <c r="D56" s="1">
        <v>13</v>
      </c>
      <c r="E56" s="1">
        <v>17</v>
      </c>
      <c r="F56" s="20">
        <f t="shared" si="5"/>
        <v>540000</v>
      </c>
      <c r="G56" s="20">
        <f t="shared" si="5"/>
        <v>234000</v>
      </c>
      <c r="H56" s="20">
        <f t="shared" si="6"/>
        <v>306000</v>
      </c>
      <c r="I56" s="20" t="b">
        <f t="shared" si="7"/>
        <v>1</v>
      </c>
      <c r="J56" s="20">
        <v>115000</v>
      </c>
      <c r="K56" s="20" t="s">
        <v>420</v>
      </c>
    </row>
    <row r="57" spans="1:11" ht="15.5" x14ac:dyDescent="0.35">
      <c r="A57" s="3" t="s">
        <v>83</v>
      </c>
      <c r="B57" s="1"/>
      <c r="C57" s="20">
        <v>18000</v>
      </c>
      <c r="D57" s="1"/>
      <c r="E57" s="1"/>
      <c r="F57" s="20">
        <f t="shared" si="5"/>
        <v>0</v>
      </c>
      <c r="G57" s="20">
        <f t="shared" si="5"/>
        <v>0</v>
      </c>
      <c r="H57" s="20">
        <f t="shared" si="6"/>
        <v>0</v>
      </c>
      <c r="I57" s="20" t="b">
        <f t="shared" si="7"/>
        <v>1</v>
      </c>
      <c r="J57" s="20">
        <v>420000</v>
      </c>
      <c r="K57" s="20" t="s">
        <v>107</v>
      </c>
    </row>
    <row r="58" spans="1:11" ht="15.5" x14ac:dyDescent="0.35">
      <c r="A58" s="3" t="s">
        <v>84</v>
      </c>
      <c r="B58" s="1"/>
      <c r="C58" s="20">
        <v>18500</v>
      </c>
      <c r="D58" s="1"/>
      <c r="E58" s="1"/>
      <c r="F58" s="20">
        <f t="shared" si="5"/>
        <v>0</v>
      </c>
      <c r="G58" s="20">
        <f t="shared" si="5"/>
        <v>0</v>
      </c>
      <c r="H58" s="20">
        <f t="shared" si="6"/>
        <v>0</v>
      </c>
      <c r="I58" s="20" t="b">
        <f t="shared" si="7"/>
        <v>1</v>
      </c>
      <c r="J58" s="20">
        <v>126000</v>
      </c>
      <c r="K58" s="20" t="s">
        <v>421</v>
      </c>
    </row>
    <row r="59" spans="1:11" ht="15.5" x14ac:dyDescent="0.35">
      <c r="A59" s="3" t="s">
        <v>85</v>
      </c>
      <c r="B59" s="1"/>
      <c r="C59" s="20">
        <v>18500</v>
      </c>
      <c r="D59" s="1"/>
      <c r="E59" s="1"/>
      <c r="F59" s="20">
        <f t="shared" si="5"/>
        <v>0</v>
      </c>
      <c r="G59" s="20">
        <f t="shared" si="5"/>
        <v>0</v>
      </c>
      <c r="H59" s="20">
        <f t="shared" si="6"/>
        <v>0</v>
      </c>
      <c r="I59" s="20" t="b">
        <f t="shared" si="7"/>
        <v>1</v>
      </c>
      <c r="J59" s="20"/>
      <c r="K59" s="20"/>
    </row>
    <row r="60" spans="1:11" ht="15.5" x14ac:dyDescent="0.35">
      <c r="A60" s="3" t="s">
        <v>86</v>
      </c>
      <c r="B60" s="1">
        <v>13</v>
      </c>
      <c r="C60" s="20">
        <v>18500</v>
      </c>
      <c r="D60" s="1">
        <v>8</v>
      </c>
      <c r="E60" s="1">
        <v>5</v>
      </c>
      <c r="F60" s="20">
        <f t="shared" si="5"/>
        <v>240500</v>
      </c>
      <c r="G60" s="20">
        <f t="shared" si="5"/>
        <v>148000</v>
      </c>
      <c r="H60" s="20">
        <f t="shared" si="6"/>
        <v>92500</v>
      </c>
      <c r="I60" s="20" t="b">
        <f t="shared" si="7"/>
        <v>1</v>
      </c>
      <c r="J60" s="20"/>
      <c r="K60" s="20"/>
    </row>
    <row r="61" spans="1:11" ht="15.5" x14ac:dyDescent="0.35">
      <c r="A61" s="3" t="s">
        <v>87</v>
      </c>
      <c r="B61" s="1"/>
      <c r="C61" s="20">
        <v>18500</v>
      </c>
      <c r="D61" s="1"/>
      <c r="E61" s="1"/>
      <c r="F61" s="20">
        <f t="shared" si="5"/>
        <v>0</v>
      </c>
      <c r="G61" s="20">
        <f t="shared" si="5"/>
        <v>0</v>
      </c>
      <c r="H61" s="20">
        <f t="shared" si="6"/>
        <v>0</v>
      </c>
      <c r="I61" s="20" t="b">
        <f t="shared" si="7"/>
        <v>1</v>
      </c>
      <c r="J61" s="20"/>
      <c r="K61" s="20"/>
    </row>
    <row r="62" spans="1:11" ht="15.5" x14ac:dyDescent="0.35">
      <c r="A62" s="3" t="s">
        <v>88</v>
      </c>
      <c r="B62" s="1">
        <v>17</v>
      </c>
      <c r="C62" s="20">
        <v>18500</v>
      </c>
      <c r="D62" s="1">
        <v>9</v>
      </c>
      <c r="E62" s="1">
        <v>8</v>
      </c>
      <c r="F62" s="20">
        <f t="shared" si="5"/>
        <v>314500</v>
      </c>
      <c r="G62" s="20">
        <f t="shared" si="5"/>
        <v>166500</v>
      </c>
      <c r="H62" s="20">
        <f t="shared" si="6"/>
        <v>148000</v>
      </c>
      <c r="I62" s="20" t="b">
        <f t="shared" si="7"/>
        <v>1</v>
      </c>
      <c r="J62" s="20"/>
      <c r="K62" s="20"/>
    </row>
    <row r="63" spans="1:11" ht="15.5" x14ac:dyDescent="0.35">
      <c r="A63" s="19" t="s">
        <v>89</v>
      </c>
      <c r="B63" s="1"/>
      <c r="C63" s="20"/>
      <c r="D63" s="1"/>
      <c r="E63" s="1"/>
      <c r="F63" s="20"/>
      <c r="G63" s="20"/>
      <c r="H63" s="20">
        <f t="shared" si="6"/>
        <v>0</v>
      </c>
      <c r="I63" s="20" t="b">
        <f t="shared" si="7"/>
        <v>1</v>
      </c>
      <c r="J63" s="20"/>
      <c r="K63" s="20"/>
    </row>
    <row r="64" spans="1:11" ht="15.5" x14ac:dyDescent="0.35">
      <c r="A64" s="3" t="s">
        <v>92</v>
      </c>
      <c r="B64" s="1">
        <v>43</v>
      </c>
      <c r="C64" s="20">
        <v>21500</v>
      </c>
      <c r="D64" s="1">
        <v>24</v>
      </c>
      <c r="E64" s="1">
        <v>19</v>
      </c>
      <c r="F64" s="20">
        <f t="shared" ref="F64:G66" si="8">C64*B64</f>
        <v>924500</v>
      </c>
      <c r="G64" s="20">
        <f t="shared" si="8"/>
        <v>516000</v>
      </c>
      <c r="H64" s="20">
        <f t="shared" si="6"/>
        <v>408500</v>
      </c>
      <c r="I64" s="20" t="b">
        <f t="shared" si="7"/>
        <v>1</v>
      </c>
      <c r="J64" s="20"/>
      <c r="K64" s="20"/>
    </row>
    <row r="65" spans="1:11" ht="15.5" x14ac:dyDescent="0.35">
      <c r="A65" s="3" t="s">
        <v>93</v>
      </c>
      <c r="B65" s="1"/>
      <c r="C65" s="20">
        <v>21500</v>
      </c>
      <c r="D65" s="1"/>
      <c r="E65" s="1"/>
      <c r="F65" s="20">
        <f t="shared" si="8"/>
        <v>0</v>
      </c>
      <c r="G65" s="20">
        <f t="shared" si="8"/>
        <v>0</v>
      </c>
      <c r="H65" s="20">
        <f t="shared" si="6"/>
        <v>0</v>
      </c>
      <c r="I65" s="20" t="b">
        <f t="shared" si="7"/>
        <v>1</v>
      </c>
      <c r="J65" s="20"/>
      <c r="K65" s="20"/>
    </row>
    <row r="66" spans="1:11" ht="15.5" x14ac:dyDescent="0.35">
      <c r="A66" s="3" t="s">
        <v>94</v>
      </c>
      <c r="B66" s="1">
        <v>43</v>
      </c>
      <c r="C66" s="20">
        <v>21500</v>
      </c>
      <c r="D66" s="1">
        <v>23</v>
      </c>
      <c r="E66" s="1">
        <v>20</v>
      </c>
      <c r="F66" s="20">
        <f t="shared" si="8"/>
        <v>924500</v>
      </c>
      <c r="G66" s="20">
        <f t="shared" si="8"/>
        <v>494500</v>
      </c>
      <c r="H66" s="20">
        <f t="shared" si="6"/>
        <v>430000</v>
      </c>
      <c r="I66" s="20" t="b">
        <f t="shared" si="7"/>
        <v>1</v>
      </c>
      <c r="J66" s="20"/>
      <c r="K66" s="20"/>
    </row>
    <row r="67" spans="1:11" ht="15.5" x14ac:dyDescent="0.35">
      <c r="A67" s="19"/>
      <c r="B67" s="22">
        <f>SUM(B50:B66)</f>
        <v>409</v>
      </c>
      <c r="C67" s="20"/>
      <c r="D67" s="1"/>
      <c r="E67" s="1"/>
      <c r="F67" s="23">
        <f>SUM(F50:F66)</f>
        <v>7547000</v>
      </c>
      <c r="G67" s="23">
        <f>SUM(G50:G66)</f>
        <v>3399000</v>
      </c>
      <c r="H67" s="23">
        <f>SUM(H50:H66)</f>
        <v>4148000</v>
      </c>
      <c r="I67" s="23"/>
      <c r="J67" s="23">
        <f>SUM(J50:J66)</f>
        <v>1508550</v>
      </c>
      <c r="K67" s="23">
        <f>H67-J67</f>
        <v>2639450</v>
      </c>
    </row>
    <row r="68" spans="1:11" ht="15.5" x14ac:dyDescent="0.35">
      <c r="A68" s="19" t="s">
        <v>95</v>
      </c>
      <c r="B68" s="1"/>
      <c r="C68" s="20"/>
      <c r="D68" s="1"/>
      <c r="E68" s="1"/>
      <c r="F68" s="20"/>
      <c r="G68" s="20"/>
      <c r="H68" s="20" t="s">
        <v>192</v>
      </c>
      <c r="I68" s="20"/>
      <c r="J68" s="20"/>
      <c r="K68" s="20"/>
    </row>
    <row r="69" spans="1:11" ht="15.5" x14ac:dyDescent="0.35">
      <c r="A69" s="3" t="s">
        <v>96</v>
      </c>
      <c r="B69" s="1"/>
      <c r="C69" s="20">
        <v>3000</v>
      </c>
      <c r="D69" s="1"/>
      <c r="E69" s="20"/>
      <c r="F69" s="20">
        <f t="shared" ref="F69:F72" si="9">C69*B69</f>
        <v>0</v>
      </c>
      <c r="G69" s="20"/>
      <c r="H69" s="20"/>
      <c r="I69" s="20"/>
      <c r="J69" s="20"/>
      <c r="K69" s="20"/>
    </row>
    <row r="70" spans="1:11" ht="15.5" x14ac:dyDescent="0.35">
      <c r="A70" s="3" t="s">
        <v>97</v>
      </c>
      <c r="B70" s="1"/>
      <c r="C70" s="20">
        <v>2500</v>
      </c>
      <c r="D70" s="1"/>
      <c r="E70" s="1"/>
      <c r="F70" s="20">
        <f t="shared" si="9"/>
        <v>0</v>
      </c>
      <c r="G70" s="20"/>
      <c r="H70" s="20"/>
      <c r="I70" s="20"/>
      <c r="J70" s="20"/>
      <c r="K70" s="20"/>
    </row>
    <row r="71" spans="1:11" ht="15.5" x14ac:dyDescent="0.35">
      <c r="A71" s="3" t="s">
        <v>98</v>
      </c>
      <c r="B71" s="1"/>
      <c r="C71" s="20">
        <v>1800</v>
      </c>
      <c r="D71" s="1"/>
      <c r="E71" s="1"/>
      <c r="F71" s="20">
        <f t="shared" si="9"/>
        <v>0</v>
      </c>
      <c r="G71" s="20"/>
      <c r="H71" s="20"/>
      <c r="I71" s="20"/>
      <c r="J71" s="20"/>
      <c r="K71" s="20"/>
    </row>
    <row r="72" spans="1:11" ht="15.5" x14ac:dyDescent="0.35">
      <c r="A72" s="3" t="s">
        <v>99</v>
      </c>
      <c r="B72" s="1"/>
      <c r="C72" s="20">
        <v>3500</v>
      </c>
      <c r="D72" s="1"/>
      <c r="E72" s="1"/>
      <c r="F72" s="20">
        <f t="shared" si="9"/>
        <v>0</v>
      </c>
      <c r="G72" s="20"/>
      <c r="H72" s="20"/>
      <c r="I72" s="20"/>
      <c r="J72" s="20"/>
      <c r="K72" s="20"/>
    </row>
    <row r="73" spans="1:11" ht="15.5" x14ac:dyDescent="0.35">
      <c r="A73" s="18"/>
      <c r="F73" s="21"/>
    </row>
    <row r="74" spans="1:11" ht="15.5" x14ac:dyDescent="0.35">
      <c r="A74" s="24" t="s">
        <v>108</v>
      </c>
      <c r="K74" s="21"/>
    </row>
    <row r="75" spans="1:11" ht="15.5" x14ac:dyDescent="0.35">
      <c r="A75" s="18" t="s">
        <v>114</v>
      </c>
      <c r="B75" s="67">
        <v>40000</v>
      </c>
    </row>
    <row r="76" spans="1:11" ht="15.5" x14ac:dyDescent="0.35">
      <c r="A76" s="18" t="s">
        <v>112</v>
      </c>
      <c r="B76" s="67">
        <v>40000</v>
      </c>
    </row>
    <row r="77" spans="1:11" ht="15.5" x14ac:dyDescent="0.35">
      <c r="A77" s="18" t="s">
        <v>309</v>
      </c>
      <c r="B77" s="67">
        <v>60000</v>
      </c>
    </row>
    <row r="78" spans="1:11" ht="15.5" x14ac:dyDescent="0.35">
      <c r="A78" s="18" t="s">
        <v>110</v>
      </c>
      <c r="B78" s="67">
        <v>40000</v>
      </c>
    </row>
    <row r="79" spans="1:11" ht="15.5" x14ac:dyDescent="0.35">
      <c r="A79" s="18" t="s">
        <v>111</v>
      </c>
      <c r="B79" s="67">
        <v>40000</v>
      </c>
    </row>
    <row r="80" spans="1:11" ht="15.5" x14ac:dyDescent="0.35">
      <c r="A80" s="18" t="s">
        <v>196</v>
      </c>
      <c r="B80" s="67">
        <v>40000</v>
      </c>
    </row>
    <row r="81" spans="1:11" ht="15.5" x14ac:dyDescent="0.35">
      <c r="A81" s="18" t="s">
        <v>113</v>
      </c>
      <c r="B81" s="67" t="s">
        <v>422</v>
      </c>
    </row>
    <row r="82" spans="1:11" ht="15.5" x14ac:dyDescent="0.35">
      <c r="A82" s="18" t="s">
        <v>209</v>
      </c>
      <c r="B82" s="67">
        <v>40000</v>
      </c>
    </row>
    <row r="83" spans="1:11" ht="15.5" x14ac:dyDescent="0.35">
      <c r="A83" s="18" t="s">
        <v>115</v>
      </c>
      <c r="B83" s="67">
        <v>60000</v>
      </c>
    </row>
    <row r="84" spans="1:11" ht="15.5" x14ac:dyDescent="0.35">
      <c r="A84" s="18" t="s">
        <v>109</v>
      </c>
      <c r="B84" s="67">
        <v>40000</v>
      </c>
    </row>
    <row r="85" spans="1:11" ht="15.5" x14ac:dyDescent="0.35">
      <c r="A85" s="24" t="s">
        <v>4</v>
      </c>
      <c r="B85" s="75">
        <f>SUM(B75:B84)</f>
        <v>400000</v>
      </c>
    </row>
    <row r="88" spans="1:11" ht="18.5" x14ac:dyDescent="0.45">
      <c r="A88" s="150" t="s">
        <v>1</v>
      </c>
      <c r="B88" s="150"/>
      <c r="C88" s="150"/>
      <c r="D88" s="150"/>
      <c r="E88" s="150"/>
      <c r="F88" s="150"/>
      <c r="G88" s="150"/>
      <c r="H88" s="150"/>
      <c r="I88" s="150"/>
      <c r="J88" s="150"/>
      <c r="K88" s="150"/>
    </row>
    <row r="89" spans="1:11" ht="18.5" x14ac:dyDescent="0.45">
      <c r="A89" s="150" t="s">
        <v>74</v>
      </c>
      <c r="B89" s="150"/>
      <c r="C89" s="150"/>
      <c r="D89" s="150"/>
      <c r="E89" s="150"/>
      <c r="F89" s="150"/>
      <c r="G89" s="150"/>
      <c r="H89" s="150"/>
      <c r="I89" s="150"/>
      <c r="J89" s="150"/>
      <c r="K89" s="150"/>
    </row>
    <row r="90" spans="1:11" ht="18.5" x14ac:dyDescent="0.45">
      <c r="A90" s="149">
        <v>46119</v>
      </c>
      <c r="B90" s="149"/>
      <c r="C90" s="149"/>
      <c r="D90" s="149"/>
      <c r="E90" s="149"/>
      <c r="F90" s="149"/>
      <c r="G90" s="149"/>
      <c r="H90" s="149"/>
      <c r="I90" s="149"/>
      <c r="J90" s="149"/>
      <c r="K90" s="149"/>
    </row>
    <row r="91" spans="1:11" ht="18.5" x14ac:dyDescent="0.45">
      <c r="A91" s="150"/>
      <c r="B91" s="150"/>
      <c r="C91" s="150"/>
      <c r="D91" s="150"/>
      <c r="E91" s="150"/>
      <c r="F91" s="150"/>
      <c r="G91" s="150"/>
      <c r="H91" s="150"/>
      <c r="I91" s="150"/>
      <c r="J91" s="150"/>
      <c r="K91" s="150"/>
    </row>
    <row r="92" spans="1:11" ht="18.5" x14ac:dyDescent="0.45">
      <c r="A92" s="2" t="s">
        <v>75</v>
      </c>
      <c r="B92" s="2" t="s">
        <v>3</v>
      </c>
      <c r="C92" s="2" t="s">
        <v>100</v>
      </c>
      <c r="D92" s="2" t="s">
        <v>90</v>
      </c>
      <c r="E92" s="2" t="s">
        <v>91</v>
      </c>
      <c r="F92" s="2" t="s">
        <v>4</v>
      </c>
      <c r="G92" s="2" t="s">
        <v>101</v>
      </c>
      <c r="H92" s="2" t="s">
        <v>104</v>
      </c>
      <c r="I92" s="2"/>
      <c r="J92" s="2" t="s">
        <v>105</v>
      </c>
      <c r="K92" s="2" t="s">
        <v>106</v>
      </c>
    </row>
    <row r="93" spans="1:11" ht="15.5" x14ac:dyDescent="0.35">
      <c r="A93" s="3" t="s">
        <v>76</v>
      </c>
      <c r="B93" s="1">
        <v>90</v>
      </c>
      <c r="C93" s="20">
        <v>17500</v>
      </c>
      <c r="D93" s="1">
        <v>52</v>
      </c>
      <c r="E93" s="1">
        <v>38</v>
      </c>
      <c r="F93" s="20">
        <f>C93*B93</f>
        <v>1575000</v>
      </c>
      <c r="G93" s="20">
        <f>D93*C93</f>
        <v>910000</v>
      </c>
      <c r="H93" s="20">
        <f>E93*C93</f>
        <v>665000</v>
      </c>
      <c r="I93" s="20" t="b">
        <f>D93+E93=B93</f>
        <v>1</v>
      </c>
      <c r="J93" s="20">
        <f>B128</f>
        <v>400000</v>
      </c>
      <c r="K93" s="20" t="s">
        <v>117</v>
      </c>
    </row>
    <row r="94" spans="1:11" ht="15.5" x14ac:dyDescent="0.35">
      <c r="A94" s="3" t="s">
        <v>77</v>
      </c>
      <c r="B94" s="1">
        <v>23</v>
      </c>
      <c r="C94" s="20">
        <v>16000</v>
      </c>
      <c r="D94" s="1">
        <v>4</v>
      </c>
      <c r="E94" s="1">
        <v>19</v>
      </c>
      <c r="F94" s="20">
        <f t="shared" ref="F94:G105" si="10">C94*B94</f>
        <v>368000</v>
      </c>
      <c r="G94" s="20">
        <f t="shared" si="10"/>
        <v>64000</v>
      </c>
      <c r="H94" s="20">
        <f t="shared" ref="H94:H109" si="11">E94*C94</f>
        <v>304000</v>
      </c>
      <c r="I94" s="20" t="b">
        <f t="shared" ref="I94:I109" si="12">D94+E94=B94</f>
        <v>1</v>
      </c>
      <c r="J94" s="20">
        <v>422000</v>
      </c>
      <c r="K94" s="20" t="s">
        <v>107</v>
      </c>
    </row>
    <row r="95" spans="1:11" ht="15.5" x14ac:dyDescent="0.35">
      <c r="A95" s="3" t="s">
        <v>78</v>
      </c>
      <c r="B95" s="1">
        <v>63</v>
      </c>
      <c r="C95" s="20">
        <v>17500</v>
      </c>
      <c r="D95" s="1">
        <v>25</v>
      </c>
      <c r="E95" s="1">
        <v>38</v>
      </c>
      <c r="F95" s="20">
        <f t="shared" si="10"/>
        <v>1102500</v>
      </c>
      <c r="G95" s="20">
        <f t="shared" si="10"/>
        <v>437500</v>
      </c>
      <c r="H95" s="20">
        <f t="shared" si="11"/>
        <v>665000</v>
      </c>
      <c r="I95" s="20" t="b">
        <f t="shared" si="12"/>
        <v>1</v>
      </c>
      <c r="J95" s="20"/>
      <c r="K95" s="20"/>
    </row>
    <row r="96" spans="1:11" ht="15.5" x14ac:dyDescent="0.35">
      <c r="A96" s="3" t="s">
        <v>79</v>
      </c>
      <c r="B96" s="1">
        <v>29</v>
      </c>
      <c r="C96" s="20">
        <v>18500</v>
      </c>
      <c r="D96" s="1">
        <v>5</v>
      </c>
      <c r="E96" s="1">
        <v>24</v>
      </c>
      <c r="F96" s="20">
        <f t="shared" si="10"/>
        <v>536500</v>
      </c>
      <c r="G96" s="20">
        <f t="shared" si="10"/>
        <v>92500</v>
      </c>
      <c r="H96" s="20">
        <f t="shared" si="11"/>
        <v>444000</v>
      </c>
      <c r="I96" s="20" t="b">
        <f t="shared" si="12"/>
        <v>1</v>
      </c>
      <c r="J96" s="20"/>
      <c r="K96" s="20"/>
    </row>
    <row r="97" spans="1:11" ht="15.5" x14ac:dyDescent="0.35">
      <c r="A97" s="3" t="s">
        <v>80</v>
      </c>
      <c r="B97" s="1"/>
      <c r="C97" s="20">
        <v>18500</v>
      </c>
      <c r="D97" s="1"/>
      <c r="E97" s="1"/>
      <c r="F97" s="20">
        <f t="shared" si="10"/>
        <v>0</v>
      </c>
      <c r="G97" s="20">
        <f t="shared" si="10"/>
        <v>0</v>
      </c>
      <c r="H97" s="20">
        <f t="shared" si="11"/>
        <v>0</v>
      </c>
      <c r="I97" s="20" t="b">
        <f t="shared" si="12"/>
        <v>1</v>
      </c>
      <c r="J97" s="20"/>
      <c r="K97" s="20"/>
    </row>
    <row r="98" spans="1:11" ht="15.5" x14ac:dyDescent="0.35">
      <c r="A98" s="3" t="s">
        <v>81</v>
      </c>
      <c r="B98" s="1"/>
      <c r="C98" s="20">
        <v>23000</v>
      </c>
      <c r="D98" s="1"/>
      <c r="E98" s="1"/>
      <c r="F98" s="20">
        <f t="shared" si="10"/>
        <v>0</v>
      </c>
      <c r="G98" s="20">
        <f t="shared" si="10"/>
        <v>0</v>
      </c>
      <c r="H98" s="20">
        <f t="shared" si="11"/>
        <v>0</v>
      </c>
      <c r="I98" s="20" t="b">
        <f t="shared" si="12"/>
        <v>1</v>
      </c>
      <c r="J98" s="20"/>
      <c r="K98" s="20"/>
    </row>
    <row r="99" spans="1:11" ht="15.5" x14ac:dyDescent="0.35">
      <c r="A99" s="3" t="s">
        <v>82</v>
      </c>
      <c r="B99" s="1"/>
      <c r="C99" s="20">
        <v>18000</v>
      </c>
      <c r="D99" s="1"/>
      <c r="E99" s="1"/>
      <c r="F99" s="20">
        <f t="shared" si="10"/>
        <v>0</v>
      </c>
      <c r="G99" s="20">
        <f t="shared" si="10"/>
        <v>0</v>
      </c>
      <c r="H99" s="20">
        <f t="shared" si="11"/>
        <v>0</v>
      </c>
      <c r="I99" s="20" t="b">
        <f t="shared" si="12"/>
        <v>1</v>
      </c>
      <c r="J99" s="20"/>
      <c r="K99" s="20"/>
    </row>
    <row r="100" spans="1:11" ht="15.5" x14ac:dyDescent="0.35">
      <c r="A100" s="3" t="s">
        <v>83</v>
      </c>
      <c r="B100" s="1"/>
      <c r="C100" s="20">
        <v>18000</v>
      </c>
      <c r="D100" s="1"/>
      <c r="E100" s="1"/>
      <c r="F100" s="20">
        <f t="shared" si="10"/>
        <v>0</v>
      </c>
      <c r="G100" s="20">
        <f t="shared" si="10"/>
        <v>0</v>
      </c>
      <c r="H100" s="20">
        <f t="shared" si="11"/>
        <v>0</v>
      </c>
      <c r="I100" s="20" t="b">
        <f t="shared" si="12"/>
        <v>1</v>
      </c>
      <c r="J100" s="20"/>
      <c r="K100" s="20"/>
    </row>
    <row r="101" spans="1:11" ht="15.5" x14ac:dyDescent="0.35">
      <c r="A101" s="3" t="s">
        <v>84</v>
      </c>
      <c r="B101" s="1"/>
      <c r="C101" s="20">
        <v>18500</v>
      </c>
      <c r="D101" s="1"/>
      <c r="E101" s="1"/>
      <c r="F101" s="20">
        <f t="shared" si="10"/>
        <v>0</v>
      </c>
      <c r="G101" s="20">
        <f t="shared" si="10"/>
        <v>0</v>
      </c>
      <c r="H101" s="20">
        <f t="shared" si="11"/>
        <v>0</v>
      </c>
      <c r="I101" s="20" t="b">
        <f t="shared" si="12"/>
        <v>1</v>
      </c>
      <c r="J101" s="20"/>
      <c r="K101" s="20"/>
    </row>
    <row r="102" spans="1:11" ht="15.5" x14ac:dyDescent="0.35">
      <c r="A102" s="3" t="s">
        <v>85</v>
      </c>
      <c r="B102" s="1">
        <v>60</v>
      </c>
      <c r="C102" s="20">
        <v>18500</v>
      </c>
      <c r="D102" s="1">
        <v>18</v>
      </c>
      <c r="E102" s="1">
        <v>42</v>
      </c>
      <c r="F102" s="20">
        <f t="shared" si="10"/>
        <v>1110000</v>
      </c>
      <c r="G102" s="20">
        <f t="shared" si="10"/>
        <v>333000</v>
      </c>
      <c r="H102" s="20">
        <f t="shared" si="11"/>
        <v>777000</v>
      </c>
      <c r="I102" s="20" t="b">
        <f t="shared" si="12"/>
        <v>1</v>
      </c>
      <c r="J102" s="20"/>
      <c r="K102" s="20"/>
    </row>
    <row r="103" spans="1:11" ht="15.5" x14ac:dyDescent="0.35">
      <c r="A103" s="3" t="s">
        <v>86</v>
      </c>
      <c r="B103" s="1"/>
      <c r="C103" s="20">
        <v>18500</v>
      </c>
      <c r="D103" s="1"/>
      <c r="E103" s="1"/>
      <c r="F103" s="20">
        <f t="shared" si="10"/>
        <v>0</v>
      </c>
      <c r="G103" s="20">
        <f t="shared" si="10"/>
        <v>0</v>
      </c>
      <c r="H103" s="20">
        <f t="shared" si="11"/>
        <v>0</v>
      </c>
      <c r="I103" s="20" t="b">
        <f t="shared" si="12"/>
        <v>1</v>
      </c>
      <c r="J103" s="20"/>
      <c r="K103" s="20"/>
    </row>
    <row r="104" spans="1:11" ht="15.5" x14ac:dyDescent="0.35">
      <c r="A104" s="3" t="s">
        <v>87</v>
      </c>
      <c r="B104" s="1">
        <v>9</v>
      </c>
      <c r="C104" s="20">
        <v>18500</v>
      </c>
      <c r="D104" s="1">
        <v>1</v>
      </c>
      <c r="E104" s="1">
        <v>8</v>
      </c>
      <c r="F104" s="20">
        <f t="shared" si="10"/>
        <v>166500</v>
      </c>
      <c r="G104" s="20">
        <f t="shared" si="10"/>
        <v>18500</v>
      </c>
      <c r="H104" s="20">
        <f t="shared" si="11"/>
        <v>148000</v>
      </c>
      <c r="I104" s="20" t="b">
        <f t="shared" si="12"/>
        <v>1</v>
      </c>
      <c r="J104" s="20"/>
      <c r="K104" s="20"/>
    </row>
    <row r="105" spans="1:11" ht="15.5" x14ac:dyDescent="0.35">
      <c r="A105" s="3" t="s">
        <v>88</v>
      </c>
      <c r="B105" s="1">
        <v>10</v>
      </c>
      <c r="C105" s="20">
        <v>18500</v>
      </c>
      <c r="D105" s="1">
        <v>5</v>
      </c>
      <c r="E105" s="1">
        <v>5</v>
      </c>
      <c r="F105" s="20">
        <f t="shared" si="10"/>
        <v>185000</v>
      </c>
      <c r="G105" s="20">
        <f t="shared" si="10"/>
        <v>92500</v>
      </c>
      <c r="H105" s="20">
        <f t="shared" si="11"/>
        <v>92500</v>
      </c>
      <c r="I105" s="20" t="b">
        <f t="shared" si="12"/>
        <v>1</v>
      </c>
      <c r="J105" s="20"/>
      <c r="K105" s="20"/>
    </row>
    <row r="106" spans="1:11" ht="15.5" x14ac:dyDescent="0.35">
      <c r="A106" s="19" t="s">
        <v>89</v>
      </c>
      <c r="B106" s="1"/>
      <c r="C106" s="20"/>
      <c r="D106" s="1"/>
      <c r="E106" s="1"/>
      <c r="F106" s="20"/>
      <c r="G106" s="20"/>
      <c r="H106" s="20">
        <f t="shared" si="11"/>
        <v>0</v>
      </c>
      <c r="I106" s="20" t="b">
        <f t="shared" si="12"/>
        <v>1</v>
      </c>
      <c r="J106" s="20"/>
      <c r="K106" s="20"/>
    </row>
    <row r="107" spans="1:11" ht="15.5" x14ac:dyDescent="0.35">
      <c r="A107" s="3" t="s">
        <v>92</v>
      </c>
      <c r="B107" s="1"/>
      <c r="C107" s="20">
        <v>21500</v>
      </c>
      <c r="D107" s="1"/>
      <c r="E107" s="1"/>
      <c r="F107" s="20">
        <f t="shared" ref="F107:G109" si="13">C107*B107</f>
        <v>0</v>
      </c>
      <c r="G107" s="20">
        <f t="shared" si="13"/>
        <v>0</v>
      </c>
      <c r="H107" s="20">
        <f t="shared" si="11"/>
        <v>0</v>
      </c>
      <c r="I107" s="20" t="b">
        <f t="shared" si="12"/>
        <v>1</v>
      </c>
      <c r="J107" s="20"/>
      <c r="K107" s="20"/>
    </row>
    <row r="108" spans="1:11" ht="15.5" x14ac:dyDescent="0.35">
      <c r="A108" s="3" t="s">
        <v>93</v>
      </c>
      <c r="B108" s="1">
        <v>27</v>
      </c>
      <c r="C108" s="20">
        <v>21500</v>
      </c>
      <c r="D108" s="1">
        <v>11</v>
      </c>
      <c r="E108" s="1">
        <v>16</v>
      </c>
      <c r="F108" s="20">
        <f t="shared" si="13"/>
        <v>580500</v>
      </c>
      <c r="G108" s="20">
        <f t="shared" si="13"/>
        <v>236500</v>
      </c>
      <c r="H108" s="20">
        <f t="shared" si="11"/>
        <v>344000</v>
      </c>
      <c r="I108" s="20" t="b">
        <f t="shared" si="12"/>
        <v>1</v>
      </c>
      <c r="J108" s="20"/>
      <c r="K108" s="20"/>
    </row>
    <row r="109" spans="1:11" ht="15.5" x14ac:dyDescent="0.35">
      <c r="A109" s="3" t="s">
        <v>94</v>
      </c>
      <c r="B109" s="1">
        <v>33</v>
      </c>
      <c r="C109" s="20">
        <v>21500</v>
      </c>
      <c r="D109" s="1">
        <v>19</v>
      </c>
      <c r="E109" s="1">
        <v>14</v>
      </c>
      <c r="F109" s="20">
        <f t="shared" si="13"/>
        <v>709500</v>
      </c>
      <c r="G109" s="20">
        <f t="shared" si="13"/>
        <v>408500</v>
      </c>
      <c r="H109" s="20">
        <f t="shared" si="11"/>
        <v>301000</v>
      </c>
      <c r="I109" s="20" t="b">
        <f t="shared" si="12"/>
        <v>1</v>
      </c>
      <c r="J109" s="20"/>
      <c r="K109" s="20"/>
    </row>
    <row r="110" spans="1:11" ht="15.5" x14ac:dyDescent="0.35">
      <c r="A110" s="19"/>
      <c r="B110" s="22">
        <f>SUM(B93:B109)</f>
        <v>344</v>
      </c>
      <c r="C110" s="20"/>
      <c r="D110" s="1"/>
      <c r="E110" s="1"/>
      <c r="F110" s="23">
        <f>SUM(F93:F109)</f>
        <v>6333500</v>
      </c>
      <c r="G110" s="23">
        <f>SUM(G93:G109)</f>
        <v>2593000</v>
      </c>
      <c r="H110" s="23">
        <f>SUM(H93:H109)</f>
        <v>3740500</v>
      </c>
      <c r="I110" s="23"/>
      <c r="J110" s="23">
        <f>SUM(J93:J109)</f>
        <v>822000</v>
      </c>
      <c r="K110" s="23">
        <f>H110-J110</f>
        <v>2918500</v>
      </c>
    </row>
    <row r="111" spans="1:11" ht="15.5" x14ac:dyDescent="0.35">
      <c r="A111" s="19" t="s">
        <v>95</v>
      </c>
      <c r="B111" s="1"/>
      <c r="C111" s="20"/>
      <c r="D111" s="1"/>
      <c r="E111" s="1"/>
      <c r="F111" s="20"/>
      <c r="G111" s="20"/>
      <c r="H111" s="20" t="s">
        <v>192</v>
      </c>
      <c r="I111" s="20"/>
      <c r="J111" s="20"/>
      <c r="K111" s="20"/>
    </row>
    <row r="112" spans="1:11" ht="15.5" x14ac:dyDescent="0.35">
      <c r="A112" s="3" t="s">
        <v>96</v>
      </c>
      <c r="B112" s="1"/>
      <c r="C112" s="20">
        <v>3000</v>
      </c>
      <c r="D112" s="1"/>
      <c r="E112" s="20"/>
      <c r="F112" s="20">
        <f t="shared" ref="F112:F115" si="14">C112*B112</f>
        <v>0</v>
      </c>
      <c r="G112" s="20"/>
      <c r="H112" s="20"/>
      <c r="I112" s="20"/>
      <c r="J112" s="20"/>
      <c r="K112" s="20"/>
    </row>
    <row r="113" spans="1:11" ht="15.5" x14ac:dyDescent="0.35">
      <c r="A113" s="3" t="s">
        <v>97</v>
      </c>
      <c r="B113" s="1"/>
      <c r="C113" s="20">
        <v>2500</v>
      </c>
      <c r="D113" s="1"/>
      <c r="E113" s="1"/>
      <c r="F113" s="20">
        <f t="shared" si="14"/>
        <v>0</v>
      </c>
      <c r="G113" s="20"/>
      <c r="H113" s="20"/>
      <c r="I113" s="20"/>
      <c r="J113" s="20"/>
      <c r="K113" s="20"/>
    </row>
    <row r="114" spans="1:11" ht="15.5" x14ac:dyDescent="0.35">
      <c r="A114" s="3" t="s">
        <v>98</v>
      </c>
      <c r="B114" s="1"/>
      <c r="C114" s="20">
        <v>1800</v>
      </c>
      <c r="D114" s="1"/>
      <c r="E114" s="1"/>
      <c r="F114" s="20">
        <f t="shared" si="14"/>
        <v>0</v>
      </c>
      <c r="G114" s="20"/>
      <c r="H114" s="20"/>
      <c r="I114" s="20"/>
      <c r="J114" s="20"/>
      <c r="K114" s="20"/>
    </row>
    <row r="115" spans="1:11" ht="15.5" x14ac:dyDescent="0.35">
      <c r="A115" s="3" t="s">
        <v>99</v>
      </c>
      <c r="B115" s="1"/>
      <c r="C115" s="20">
        <v>3500</v>
      </c>
      <c r="D115" s="1"/>
      <c r="E115" s="1"/>
      <c r="F115" s="20">
        <f t="shared" si="14"/>
        <v>0</v>
      </c>
      <c r="G115" s="20"/>
      <c r="H115" s="20"/>
      <c r="I115" s="20"/>
      <c r="J115" s="20"/>
      <c r="K115" s="20"/>
    </row>
    <row r="116" spans="1:11" ht="15.5" x14ac:dyDescent="0.35">
      <c r="A116" s="18"/>
      <c r="F116" s="21"/>
    </row>
    <row r="117" spans="1:11" ht="15.5" x14ac:dyDescent="0.35">
      <c r="A117" s="24" t="s">
        <v>108</v>
      </c>
      <c r="K117" s="21"/>
    </row>
    <row r="118" spans="1:11" ht="15.5" x14ac:dyDescent="0.35">
      <c r="A118" s="18" t="s">
        <v>114</v>
      </c>
      <c r="B118" s="67">
        <v>40000</v>
      </c>
    </row>
    <row r="119" spans="1:11" ht="15.5" x14ac:dyDescent="0.35">
      <c r="A119" s="18" t="s">
        <v>112</v>
      </c>
      <c r="B119" s="67">
        <v>40000</v>
      </c>
    </row>
    <row r="120" spans="1:11" ht="15.5" x14ac:dyDescent="0.35">
      <c r="A120" s="18" t="s">
        <v>309</v>
      </c>
      <c r="B120" s="67">
        <v>60000</v>
      </c>
    </row>
    <row r="121" spans="1:11" ht="15.5" x14ac:dyDescent="0.35">
      <c r="A121" s="18" t="s">
        <v>110</v>
      </c>
      <c r="B121" s="67">
        <v>40000</v>
      </c>
    </row>
    <row r="122" spans="1:11" ht="15.5" x14ac:dyDescent="0.35">
      <c r="A122" s="18" t="s">
        <v>111</v>
      </c>
      <c r="B122" s="67">
        <v>40000</v>
      </c>
    </row>
    <row r="123" spans="1:11" ht="15.5" x14ac:dyDescent="0.35">
      <c r="A123" s="18" t="s">
        <v>196</v>
      </c>
      <c r="B123" s="67">
        <v>40000</v>
      </c>
    </row>
    <row r="124" spans="1:11" ht="15.5" x14ac:dyDescent="0.35">
      <c r="A124" s="18" t="s">
        <v>113</v>
      </c>
      <c r="B124" s="67" t="s">
        <v>422</v>
      </c>
    </row>
    <row r="125" spans="1:11" ht="15.5" x14ac:dyDescent="0.35">
      <c r="A125" s="18" t="s">
        <v>209</v>
      </c>
      <c r="B125" s="67">
        <v>40000</v>
      </c>
    </row>
    <row r="126" spans="1:11" ht="15.5" x14ac:dyDescent="0.35">
      <c r="A126" s="18" t="s">
        <v>115</v>
      </c>
      <c r="B126" s="67">
        <v>60000</v>
      </c>
    </row>
    <row r="127" spans="1:11" ht="15.5" x14ac:dyDescent="0.35">
      <c r="A127" s="18" t="s">
        <v>109</v>
      </c>
      <c r="B127" s="67">
        <v>40000</v>
      </c>
    </row>
    <row r="128" spans="1:11" ht="15.5" x14ac:dyDescent="0.35">
      <c r="A128" s="24" t="s">
        <v>4</v>
      </c>
      <c r="B128" s="75">
        <f>SUM(B118:B127)</f>
        <v>400000</v>
      </c>
    </row>
    <row r="129" spans="1:11" ht="15.5" x14ac:dyDescent="0.35">
      <c r="A129" s="24"/>
      <c r="B129" s="17"/>
    </row>
    <row r="131" spans="1:11" ht="18.5" x14ac:dyDescent="0.45">
      <c r="A131" s="150" t="s">
        <v>1</v>
      </c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</row>
    <row r="132" spans="1:11" ht="18.5" x14ac:dyDescent="0.45">
      <c r="A132" s="150" t="s">
        <v>74</v>
      </c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</row>
    <row r="133" spans="1:11" ht="18.5" x14ac:dyDescent="0.45">
      <c r="A133" s="149">
        <v>46120</v>
      </c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</row>
    <row r="134" spans="1:11" ht="18.5" x14ac:dyDescent="0.45">
      <c r="A134" s="150"/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</row>
    <row r="135" spans="1:11" ht="18.5" x14ac:dyDescent="0.45">
      <c r="A135" s="2" t="s">
        <v>75</v>
      </c>
      <c r="B135" s="2" t="s">
        <v>3</v>
      </c>
      <c r="C135" s="2" t="s">
        <v>100</v>
      </c>
      <c r="D135" s="2" t="s">
        <v>90</v>
      </c>
      <c r="E135" s="2" t="s">
        <v>91</v>
      </c>
      <c r="F135" s="2" t="s">
        <v>4</v>
      </c>
      <c r="G135" s="2" t="s">
        <v>101</v>
      </c>
      <c r="H135" s="2" t="s">
        <v>104</v>
      </c>
      <c r="I135" s="2"/>
      <c r="J135" s="2" t="s">
        <v>105</v>
      </c>
      <c r="K135" s="2" t="s">
        <v>106</v>
      </c>
    </row>
    <row r="136" spans="1:11" ht="15.5" x14ac:dyDescent="0.35">
      <c r="A136" s="3" t="s">
        <v>76</v>
      </c>
      <c r="B136" s="1">
        <v>102</v>
      </c>
      <c r="C136" s="20">
        <v>17500</v>
      </c>
      <c r="D136" s="1">
        <v>41</v>
      </c>
      <c r="E136" s="1">
        <v>61</v>
      </c>
      <c r="F136" s="20">
        <f>C136*B136</f>
        <v>1785000</v>
      </c>
      <c r="G136" s="20">
        <f>D136*C136</f>
        <v>717500</v>
      </c>
      <c r="H136" s="20">
        <f>E136*C136</f>
        <v>1067500</v>
      </c>
      <c r="I136" s="20" t="b">
        <f>D136+E136=B136</f>
        <v>1</v>
      </c>
      <c r="J136" s="20">
        <f>B171</f>
        <v>400000</v>
      </c>
      <c r="K136" s="20" t="s">
        <v>117</v>
      </c>
    </row>
    <row r="137" spans="1:11" ht="15.5" x14ac:dyDescent="0.35">
      <c r="A137" s="3" t="s">
        <v>77</v>
      </c>
      <c r="B137" s="1">
        <v>11</v>
      </c>
      <c r="C137" s="20">
        <v>16000</v>
      </c>
      <c r="D137" s="1">
        <v>4</v>
      </c>
      <c r="E137" s="1">
        <v>7</v>
      </c>
      <c r="F137" s="20">
        <f t="shared" ref="F137:G148" si="15">C137*B137</f>
        <v>176000</v>
      </c>
      <c r="G137" s="20">
        <f t="shared" si="15"/>
        <v>64000</v>
      </c>
      <c r="H137" s="20">
        <f t="shared" ref="H137:H152" si="16">E137*C137</f>
        <v>112000</v>
      </c>
      <c r="I137" s="20" t="b">
        <f t="shared" ref="I137:I152" si="17">D137+E137=B137</f>
        <v>1</v>
      </c>
      <c r="J137" s="20">
        <v>63000</v>
      </c>
      <c r="K137" s="20" t="s">
        <v>139</v>
      </c>
    </row>
    <row r="138" spans="1:11" ht="15.5" x14ac:dyDescent="0.35">
      <c r="A138" s="3" t="s">
        <v>78</v>
      </c>
      <c r="B138" s="1">
        <v>52</v>
      </c>
      <c r="C138" s="20">
        <v>17500</v>
      </c>
      <c r="D138" s="1">
        <v>18</v>
      </c>
      <c r="E138" s="1">
        <v>34</v>
      </c>
      <c r="F138" s="20">
        <f t="shared" si="15"/>
        <v>910000</v>
      </c>
      <c r="G138" s="20">
        <f t="shared" si="15"/>
        <v>315000</v>
      </c>
      <c r="H138" s="20">
        <f t="shared" si="16"/>
        <v>595000</v>
      </c>
      <c r="I138" s="20" t="b">
        <f t="shared" si="17"/>
        <v>1</v>
      </c>
      <c r="J138" s="20">
        <v>405000</v>
      </c>
      <c r="K138" s="20" t="s">
        <v>107</v>
      </c>
    </row>
    <row r="139" spans="1:11" ht="15.5" x14ac:dyDescent="0.35">
      <c r="A139" s="3" t="s">
        <v>79</v>
      </c>
      <c r="B139" s="1"/>
      <c r="C139" s="20">
        <v>18500</v>
      </c>
      <c r="D139" s="1"/>
      <c r="E139" s="1"/>
      <c r="F139" s="20">
        <f t="shared" si="15"/>
        <v>0</v>
      </c>
      <c r="G139" s="20">
        <f t="shared" si="15"/>
        <v>0</v>
      </c>
      <c r="H139" s="20">
        <f t="shared" si="16"/>
        <v>0</v>
      </c>
      <c r="I139" s="20" t="b">
        <f t="shared" si="17"/>
        <v>1</v>
      </c>
      <c r="J139" s="20"/>
      <c r="K139" s="20"/>
    </row>
    <row r="140" spans="1:11" ht="15.5" x14ac:dyDescent="0.35">
      <c r="A140" s="3" t="s">
        <v>80</v>
      </c>
      <c r="B140" s="1">
        <v>31</v>
      </c>
      <c r="C140" s="20">
        <v>18500</v>
      </c>
      <c r="D140" s="1">
        <v>5</v>
      </c>
      <c r="E140" s="1">
        <v>26</v>
      </c>
      <c r="F140" s="20">
        <f t="shared" si="15"/>
        <v>573500</v>
      </c>
      <c r="G140" s="20">
        <f t="shared" si="15"/>
        <v>92500</v>
      </c>
      <c r="H140" s="20">
        <f t="shared" si="16"/>
        <v>481000</v>
      </c>
      <c r="I140" s="20" t="b">
        <f t="shared" si="17"/>
        <v>1</v>
      </c>
      <c r="J140" s="20"/>
      <c r="K140" s="20"/>
    </row>
    <row r="141" spans="1:11" ht="15.5" x14ac:dyDescent="0.35">
      <c r="A141" s="3" t="s">
        <v>81</v>
      </c>
      <c r="B141" s="1"/>
      <c r="C141" s="20">
        <v>23000</v>
      </c>
      <c r="D141" s="1"/>
      <c r="E141" s="1"/>
      <c r="F141" s="20">
        <f t="shared" si="15"/>
        <v>0</v>
      </c>
      <c r="G141" s="20">
        <f t="shared" si="15"/>
        <v>0</v>
      </c>
      <c r="H141" s="20">
        <f t="shared" si="16"/>
        <v>0</v>
      </c>
      <c r="I141" s="20" t="b">
        <f t="shared" si="17"/>
        <v>1</v>
      </c>
      <c r="J141" s="20"/>
      <c r="K141" s="20"/>
    </row>
    <row r="142" spans="1:11" ht="15.5" x14ac:dyDescent="0.35">
      <c r="A142" s="3" t="s">
        <v>82</v>
      </c>
      <c r="B142" s="1"/>
      <c r="C142" s="20">
        <v>18000</v>
      </c>
      <c r="D142" s="1"/>
      <c r="E142" s="1"/>
      <c r="F142" s="20">
        <f t="shared" si="15"/>
        <v>0</v>
      </c>
      <c r="G142" s="20">
        <f t="shared" si="15"/>
        <v>0</v>
      </c>
      <c r="H142" s="20">
        <f t="shared" si="16"/>
        <v>0</v>
      </c>
      <c r="I142" s="20" t="b">
        <f t="shared" si="17"/>
        <v>1</v>
      </c>
      <c r="J142" s="20"/>
      <c r="K142" s="20"/>
    </row>
    <row r="143" spans="1:11" ht="15.5" x14ac:dyDescent="0.35">
      <c r="A143" s="3" t="s">
        <v>83</v>
      </c>
      <c r="B143" s="1">
        <v>38</v>
      </c>
      <c r="C143" s="20">
        <v>18000</v>
      </c>
      <c r="D143" s="1">
        <v>7</v>
      </c>
      <c r="E143" s="1">
        <v>31</v>
      </c>
      <c r="F143" s="20">
        <f t="shared" si="15"/>
        <v>684000</v>
      </c>
      <c r="G143" s="20">
        <f t="shared" si="15"/>
        <v>126000</v>
      </c>
      <c r="H143" s="20">
        <f t="shared" si="16"/>
        <v>558000</v>
      </c>
      <c r="I143" s="20" t="b">
        <f t="shared" si="17"/>
        <v>1</v>
      </c>
      <c r="J143" s="20"/>
      <c r="K143" s="20"/>
    </row>
    <row r="144" spans="1:11" ht="15.5" x14ac:dyDescent="0.35">
      <c r="A144" s="3" t="s">
        <v>84</v>
      </c>
      <c r="B144" s="1"/>
      <c r="C144" s="20">
        <v>18500</v>
      </c>
      <c r="D144" s="1"/>
      <c r="E144" s="1"/>
      <c r="F144" s="20">
        <f t="shared" si="15"/>
        <v>0</v>
      </c>
      <c r="G144" s="20">
        <f t="shared" si="15"/>
        <v>0</v>
      </c>
      <c r="H144" s="20">
        <f t="shared" si="16"/>
        <v>0</v>
      </c>
      <c r="I144" s="20" t="b">
        <f t="shared" si="17"/>
        <v>1</v>
      </c>
      <c r="J144" s="20"/>
      <c r="K144" s="20"/>
    </row>
    <row r="145" spans="1:11" ht="15.5" x14ac:dyDescent="0.35">
      <c r="A145" s="3" t="s">
        <v>85</v>
      </c>
      <c r="B145" s="1"/>
      <c r="C145" s="20">
        <v>18500</v>
      </c>
      <c r="D145" s="1"/>
      <c r="E145" s="1"/>
      <c r="F145" s="20">
        <f t="shared" si="15"/>
        <v>0</v>
      </c>
      <c r="G145" s="20">
        <f t="shared" si="15"/>
        <v>0</v>
      </c>
      <c r="H145" s="20">
        <f t="shared" si="16"/>
        <v>0</v>
      </c>
      <c r="I145" s="20" t="b">
        <f t="shared" si="17"/>
        <v>1</v>
      </c>
      <c r="J145" s="20"/>
      <c r="K145" s="20"/>
    </row>
    <row r="146" spans="1:11" ht="15.5" x14ac:dyDescent="0.35">
      <c r="A146" s="3" t="s">
        <v>86</v>
      </c>
      <c r="B146" s="1">
        <v>10</v>
      </c>
      <c r="C146" s="20">
        <v>18500</v>
      </c>
      <c r="D146" s="1">
        <v>5</v>
      </c>
      <c r="E146" s="1">
        <v>5</v>
      </c>
      <c r="F146" s="20">
        <f t="shared" si="15"/>
        <v>185000</v>
      </c>
      <c r="G146" s="20">
        <f t="shared" si="15"/>
        <v>92500</v>
      </c>
      <c r="H146" s="20">
        <f t="shared" si="16"/>
        <v>92500</v>
      </c>
      <c r="I146" s="20" t="b">
        <f t="shared" si="17"/>
        <v>1</v>
      </c>
      <c r="J146" s="20"/>
      <c r="K146" s="20"/>
    </row>
    <row r="147" spans="1:11" ht="15.5" x14ac:dyDescent="0.35">
      <c r="A147" s="3" t="s">
        <v>87</v>
      </c>
      <c r="B147" s="1"/>
      <c r="C147" s="20">
        <v>18500</v>
      </c>
      <c r="D147" s="1"/>
      <c r="E147" s="1"/>
      <c r="F147" s="20">
        <f t="shared" si="15"/>
        <v>0</v>
      </c>
      <c r="G147" s="20">
        <f t="shared" si="15"/>
        <v>0</v>
      </c>
      <c r="H147" s="20">
        <f t="shared" si="16"/>
        <v>0</v>
      </c>
      <c r="I147" s="20" t="b">
        <f t="shared" si="17"/>
        <v>1</v>
      </c>
      <c r="J147" s="20"/>
      <c r="K147" s="20"/>
    </row>
    <row r="148" spans="1:11" ht="15.5" x14ac:dyDescent="0.35">
      <c r="A148" s="3" t="s">
        <v>88</v>
      </c>
      <c r="B148" s="1">
        <v>10</v>
      </c>
      <c r="C148" s="20">
        <v>18500</v>
      </c>
      <c r="D148" s="1">
        <v>5</v>
      </c>
      <c r="E148" s="1">
        <v>5</v>
      </c>
      <c r="F148" s="20">
        <f t="shared" si="15"/>
        <v>185000</v>
      </c>
      <c r="G148" s="20">
        <f t="shared" si="15"/>
        <v>92500</v>
      </c>
      <c r="H148" s="20">
        <f t="shared" si="16"/>
        <v>92500</v>
      </c>
      <c r="I148" s="20" t="b">
        <f t="shared" si="17"/>
        <v>1</v>
      </c>
      <c r="J148" s="20"/>
      <c r="K148" s="20"/>
    </row>
    <row r="149" spans="1:11" ht="15.5" x14ac:dyDescent="0.35">
      <c r="A149" s="19" t="s">
        <v>89</v>
      </c>
      <c r="B149" s="1"/>
      <c r="C149" s="20"/>
      <c r="D149" s="1"/>
      <c r="E149" s="1"/>
      <c r="F149" s="20"/>
      <c r="G149" s="20"/>
      <c r="H149" s="20">
        <f t="shared" si="16"/>
        <v>0</v>
      </c>
      <c r="I149" s="20" t="b">
        <f t="shared" si="17"/>
        <v>1</v>
      </c>
      <c r="J149" s="20"/>
      <c r="K149" s="20"/>
    </row>
    <row r="150" spans="1:11" ht="15.5" x14ac:dyDescent="0.35">
      <c r="A150" s="3" t="s">
        <v>92</v>
      </c>
      <c r="B150" s="1">
        <v>40</v>
      </c>
      <c r="C150" s="20">
        <v>21500</v>
      </c>
      <c r="D150" s="1">
        <v>19</v>
      </c>
      <c r="E150" s="1">
        <v>21</v>
      </c>
      <c r="F150" s="20">
        <f t="shared" ref="F150:G152" si="18">C150*B150</f>
        <v>860000</v>
      </c>
      <c r="G150" s="20">
        <f t="shared" si="18"/>
        <v>408500</v>
      </c>
      <c r="H150" s="20">
        <f t="shared" si="16"/>
        <v>451500</v>
      </c>
      <c r="I150" s="20" t="b">
        <f t="shared" si="17"/>
        <v>1</v>
      </c>
      <c r="J150" s="20"/>
      <c r="K150" s="20"/>
    </row>
    <row r="151" spans="1:11" ht="15.5" x14ac:dyDescent="0.35">
      <c r="A151" s="3" t="s">
        <v>93</v>
      </c>
      <c r="B151" s="1">
        <v>7</v>
      </c>
      <c r="C151" s="20">
        <v>21500</v>
      </c>
      <c r="D151" s="1">
        <v>4</v>
      </c>
      <c r="E151" s="1">
        <v>3</v>
      </c>
      <c r="F151" s="20">
        <f t="shared" si="18"/>
        <v>150500</v>
      </c>
      <c r="G151" s="20">
        <f t="shared" si="18"/>
        <v>86000</v>
      </c>
      <c r="H151" s="20">
        <f t="shared" si="16"/>
        <v>64500</v>
      </c>
      <c r="I151" s="20" t="b">
        <f t="shared" si="17"/>
        <v>1</v>
      </c>
      <c r="J151" s="20"/>
      <c r="K151" s="20"/>
    </row>
    <row r="152" spans="1:11" ht="15.5" x14ac:dyDescent="0.35">
      <c r="A152" s="3" t="s">
        <v>94</v>
      </c>
      <c r="B152" s="1">
        <v>34</v>
      </c>
      <c r="C152" s="20">
        <v>21500</v>
      </c>
      <c r="D152" s="1">
        <v>20</v>
      </c>
      <c r="E152" s="1">
        <v>14</v>
      </c>
      <c r="F152" s="20">
        <f t="shared" si="18"/>
        <v>731000</v>
      </c>
      <c r="G152" s="20">
        <f t="shared" si="18"/>
        <v>430000</v>
      </c>
      <c r="H152" s="20">
        <f t="shared" si="16"/>
        <v>301000</v>
      </c>
      <c r="I152" s="20" t="b">
        <f t="shared" si="17"/>
        <v>1</v>
      </c>
      <c r="J152" s="20"/>
      <c r="K152" s="20"/>
    </row>
    <row r="153" spans="1:11" ht="15.5" x14ac:dyDescent="0.35">
      <c r="A153" s="19"/>
      <c r="B153" s="22">
        <f>SUM(B136:B152)</f>
        <v>335</v>
      </c>
      <c r="C153" s="20"/>
      <c r="D153" s="1"/>
      <c r="E153" s="1"/>
      <c r="F153" s="23">
        <f>SUM(F136:F152)</f>
        <v>6240000</v>
      </c>
      <c r="G153" s="23">
        <f>SUM(G136:G152)</f>
        <v>2424500</v>
      </c>
      <c r="H153" s="23">
        <f>SUM(H136:H152)</f>
        <v>3815500</v>
      </c>
      <c r="I153" s="23"/>
      <c r="J153" s="23">
        <f>SUM(J136:J152)</f>
        <v>868000</v>
      </c>
      <c r="K153" s="23">
        <f>H153-J153</f>
        <v>2947500</v>
      </c>
    </row>
    <row r="154" spans="1:11" ht="15.5" x14ac:dyDescent="0.35">
      <c r="A154" s="19" t="s">
        <v>95</v>
      </c>
      <c r="B154" s="1"/>
      <c r="C154" s="20"/>
      <c r="D154" s="1"/>
      <c r="E154" s="1"/>
      <c r="F154" s="20"/>
      <c r="G154" s="20"/>
      <c r="H154" s="20" t="s">
        <v>192</v>
      </c>
      <c r="I154" s="20"/>
      <c r="J154" s="20"/>
      <c r="K154" s="20"/>
    </row>
    <row r="155" spans="1:11" ht="15.5" x14ac:dyDescent="0.35">
      <c r="A155" s="3" t="s">
        <v>96</v>
      </c>
      <c r="B155" s="1"/>
      <c r="C155" s="20">
        <v>3000</v>
      </c>
      <c r="D155" s="1"/>
      <c r="E155" s="20"/>
      <c r="F155" s="20">
        <f t="shared" ref="F155:F158" si="19">C155*B155</f>
        <v>0</v>
      </c>
      <c r="G155" s="20"/>
      <c r="H155" s="20"/>
      <c r="I155" s="20"/>
      <c r="J155" s="20"/>
      <c r="K155" s="20"/>
    </row>
    <row r="156" spans="1:11" ht="15.5" x14ac:dyDescent="0.35">
      <c r="A156" s="3" t="s">
        <v>97</v>
      </c>
      <c r="B156" s="1"/>
      <c r="C156" s="20">
        <v>2500</v>
      </c>
      <c r="D156" s="1"/>
      <c r="E156" s="1"/>
      <c r="F156" s="20">
        <f t="shared" si="19"/>
        <v>0</v>
      </c>
      <c r="G156" s="20"/>
      <c r="H156" s="20"/>
      <c r="I156" s="20"/>
      <c r="J156" s="20"/>
      <c r="K156" s="20"/>
    </row>
    <row r="157" spans="1:11" ht="15.5" x14ac:dyDescent="0.35">
      <c r="A157" s="3" t="s">
        <v>98</v>
      </c>
      <c r="B157" s="1"/>
      <c r="C157" s="20">
        <v>1800</v>
      </c>
      <c r="D157" s="1"/>
      <c r="E157" s="1"/>
      <c r="F157" s="20">
        <f t="shared" si="19"/>
        <v>0</v>
      </c>
      <c r="G157" s="20"/>
      <c r="H157" s="20"/>
      <c r="I157" s="20"/>
      <c r="J157" s="20"/>
      <c r="K157" s="20"/>
    </row>
    <row r="158" spans="1:11" ht="15.5" x14ac:dyDescent="0.35">
      <c r="A158" s="3" t="s">
        <v>99</v>
      </c>
      <c r="B158" s="1"/>
      <c r="C158" s="20">
        <v>3500</v>
      </c>
      <c r="D158" s="1"/>
      <c r="E158" s="1"/>
      <c r="F158" s="20">
        <f t="shared" si="19"/>
        <v>0</v>
      </c>
      <c r="G158" s="20"/>
      <c r="H158" s="20"/>
      <c r="I158" s="20"/>
      <c r="J158" s="20"/>
      <c r="K158" s="20"/>
    </row>
    <row r="159" spans="1:11" ht="15.5" x14ac:dyDescent="0.35">
      <c r="A159" s="18"/>
      <c r="F159" s="21"/>
    </row>
    <row r="160" spans="1:11" ht="15.5" x14ac:dyDescent="0.35">
      <c r="A160" s="24" t="s">
        <v>108</v>
      </c>
      <c r="K160" s="21"/>
    </row>
    <row r="161" spans="1:11" ht="15.5" x14ac:dyDescent="0.35">
      <c r="A161" s="18" t="s">
        <v>114</v>
      </c>
      <c r="B161" s="67">
        <v>40000</v>
      </c>
    </row>
    <row r="162" spans="1:11" ht="15.5" x14ac:dyDescent="0.35">
      <c r="A162" s="18" t="s">
        <v>112</v>
      </c>
      <c r="B162" s="67">
        <v>40000</v>
      </c>
    </row>
    <row r="163" spans="1:11" ht="15.5" x14ac:dyDescent="0.35">
      <c r="A163" s="18" t="s">
        <v>309</v>
      </c>
      <c r="B163" s="67">
        <v>60000</v>
      </c>
    </row>
    <row r="164" spans="1:11" ht="15.5" x14ac:dyDescent="0.35">
      <c r="A164" s="18" t="s">
        <v>110</v>
      </c>
      <c r="B164" s="67">
        <v>40000</v>
      </c>
    </row>
    <row r="165" spans="1:11" ht="15.5" x14ac:dyDescent="0.35">
      <c r="A165" s="18" t="s">
        <v>111</v>
      </c>
      <c r="B165" s="67">
        <v>40000</v>
      </c>
    </row>
    <row r="166" spans="1:11" ht="15.5" x14ac:dyDescent="0.35">
      <c r="A166" s="18" t="s">
        <v>196</v>
      </c>
      <c r="B166" s="67">
        <v>40000</v>
      </c>
    </row>
    <row r="167" spans="1:11" ht="15.5" x14ac:dyDescent="0.35">
      <c r="A167" s="18" t="s">
        <v>113</v>
      </c>
      <c r="B167" s="67" t="s">
        <v>422</v>
      </c>
    </row>
    <row r="168" spans="1:11" ht="15.5" x14ac:dyDescent="0.35">
      <c r="A168" s="18" t="s">
        <v>209</v>
      </c>
      <c r="B168" s="67">
        <v>40000</v>
      </c>
    </row>
    <row r="169" spans="1:11" ht="15.5" x14ac:dyDescent="0.35">
      <c r="A169" s="18" t="s">
        <v>115</v>
      </c>
      <c r="B169" s="67">
        <v>60000</v>
      </c>
    </row>
    <row r="170" spans="1:11" ht="15.5" x14ac:dyDescent="0.35">
      <c r="A170" s="18" t="s">
        <v>109</v>
      </c>
      <c r="B170" s="67">
        <v>40000</v>
      </c>
    </row>
    <row r="171" spans="1:11" ht="15.5" x14ac:dyDescent="0.35">
      <c r="A171" s="24" t="s">
        <v>4</v>
      </c>
      <c r="B171" s="75">
        <f>SUM(B161:B170)</f>
        <v>400000</v>
      </c>
    </row>
    <row r="172" spans="1:11" ht="18.5" x14ac:dyDescent="0.45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</row>
    <row r="173" spans="1:11" ht="18.5" x14ac:dyDescent="0.45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</row>
    <row r="174" spans="1:11" ht="18.5" x14ac:dyDescent="0.45">
      <c r="A174" s="151" t="s">
        <v>1</v>
      </c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</row>
    <row r="175" spans="1:11" ht="18.5" x14ac:dyDescent="0.45">
      <c r="A175" s="150" t="s">
        <v>74</v>
      </c>
      <c r="B175" s="150"/>
      <c r="C175" s="150"/>
      <c r="D175" s="150"/>
      <c r="E175" s="150"/>
      <c r="F175" s="150"/>
      <c r="G175" s="150"/>
      <c r="H175" s="150"/>
      <c r="I175" s="150"/>
      <c r="J175" s="150"/>
      <c r="K175" s="150"/>
    </row>
    <row r="176" spans="1:11" ht="18.5" x14ac:dyDescent="0.45">
      <c r="A176" s="149">
        <v>46121</v>
      </c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</row>
    <row r="177" spans="1:11" ht="18.5" x14ac:dyDescent="0.45">
      <c r="A177" s="150"/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</row>
    <row r="178" spans="1:11" ht="18.5" x14ac:dyDescent="0.45">
      <c r="A178" s="2" t="s">
        <v>75</v>
      </c>
      <c r="B178" s="2" t="s">
        <v>3</v>
      </c>
      <c r="C178" s="2" t="s">
        <v>100</v>
      </c>
      <c r="D178" s="2" t="s">
        <v>90</v>
      </c>
      <c r="E178" s="2" t="s">
        <v>91</v>
      </c>
      <c r="F178" s="2" t="s">
        <v>4</v>
      </c>
      <c r="G178" s="2" t="s">
        <v>101</v>
      </c>
      <c r="H178" s="2" t="s">
        <v>104</v>
      </c>
      <c r="I178" s="2"/>
      <c r="J178" s="2" t="s">
        <v>105</v>
      </c>
      <c r="K178" s="2" t="s">
        <v>106</v>
      </c>
    </row>
    <row r="179" spans="1:11" ht="15.5" x14ac:dyDescent="0.35">
      <c r="A179" s="3" t="s">
        <v>76</v>
      </c>
      <c r="B179" s="1">
        <v>90</v>
      </c>
      <c r="C179" s="20">
        <v>17500</v>
      </c>
      <c r="D179" s="1">
        <v>61</v>
      </c>
      <c r="E179" s="1">
        <v>29</v>
      </c>
      <c r="F179" s="20">
        <f>C179*B179</f>
        <v>1575000</v>
      </c>
      <c r="G179" s="20">
        <f>D179*C179</f>
        <v>1067500</v>
      </c>
      <c r="H179" s="20">
        <f>E179*C179</f>
        <v>507500</v>
      </c>
      <c r="I179" s="20" t="b">
        <f>D179+E179=B179</f>
        <v>1</v>
      </c>
      <c r="J179" s="20">
        <f>B214</f>
        <v>400000</v>
      </c>
      <c r="K179" s="20" t="s">
        <v>117</v>
      </c>
    </row>
    <row r="180" spans="1:11" ht="15.5" x14ac:dyDescent="0.35">
      <c r="A180" s="3" t="s">
        <v>77</v>
      </c>
      <c r="B180" s="1">
        <v>22</v>
      </c>
      <c r="C180" s="20">
        <v>16000</v>
      </c>
      <c r="D180" s="1">
        <v>14</v>
      </c>
      <c r="E180" s="1">
        <v>8</v>
      </c>
      <c r="F180" s="20">
        <f t="shared" ref="F180:G191" si="20">C180*B180</f>
        <v>352000</v>
      </c>
      <c r="G180" s="20">
        <f t="shared" si="20"/>
        <v>224000</v>
      </c>
      <c r="H180" s="20">
        <f t="shared" ref="H180:H195" si="21">E180*C180</f>
        <v>128000</v>
      </c>
      <c r="I180" s="20" t="b">
        <f t="shared" ref="I180:I195" si="22">D180+E180=B180</f>
        <v>1</v>
      </c>
      <c r="J180" s="20">
        <v>242000</v>
      </c>
      <c r="K180" s="20" t="s">
        <v>107</v>
      </c>
    </row>
    <row r="181" spans="1:11" ht="15.5" x14ac:dyDescent="0.35">
      <c r="A181" s="3" t="s">
        <v>78</v>
      </c>
      <c r="B181" s="1">
        <v>51</v>
      </c>
      <c r="C181" s="20">
        <v>17500</v>
      </c>
      <c r="D181" s="1">
        <v>35</v>
      </c>
      <c r="E181" s="1">
        <v>16</v>
      </c>
      <c r="F181" s="20">
        <f t="shared" si="20"/>
        <v>892500</v>
      </c>
      <c r="G181" s="20">
        <f t="shared" si="20"/>
        <v>612500</v>
      </c>
      <c r="H181" s="20">
        <f t="shared" si="21"/>
        <v>280000</v>
      </c>
      <c r="I181" s="20" t="b">
        <f t="shared" si="22"/>
        <v>1</v>
      </c>
      <c r="J181" s="20"/>
      <c r="K181" s="20"/>
    </row>
    <row r="182" spans="1:11" ht="15.5" x14ac:dyDescent="0.35">
      <c r="A182" s="3" t="s">
        <v>79</v>
      </c>
      <c r="B182" s="1">
        <v>27</v>
      </c>
      <c r="C182" s="20">
        <v>18500</v>
      </c>
      <c r="D182" s="1">
        <v>24</v>
      </c>
      <c r="E182" s="1">
        <v>3</v>
      </c>
      <c r="F182" s="20">
        <f t="shared" si="20"/>
        <v>499500</v>
      </c>
      <c r="G182" s="20">
        <f t="shared" si="20"/>
        <v>444000</v>
      </c>
      <c r="H182" s="20">
        <f t="shared" si="21"/>
        <v>55500</v>
      </c>
      <c r="I182" s="20" t="b">
        <f t="shared" si="22"/>
        <v>1</v>
      </c>
      <c r="J182" s="20"/>
      <c r="K182" s="20"/>
    </row>
    <row r="183" spans="1:11" ht="15.5" x14ac:dyDescent="0.35">
      <c r="A183" s="3" t="s">
        <v>80</v>
      </c>
      <c r="B183" s="1"/>
      <c r="C183" s="20">
        <v>18500</v>
      </c>
      <c r="D183" s="1"/>
      <c r="E183" s="1"/>
      <c r="F183" s="20">
        <f t="shared" si="20"/>
        <v>0</v>
      </c>
      <c r="G183" s="20">
        <f t="shared" si="20"/>
        <v>0</v>
      </c>
      <c r="H183" s="20">
        <f t="shared" si="21"/>
        <v>0</v>
      </c>
      <c r="I183" s="20" t="b">
        <f t="shared" si="22"/>
        <v>1</v>
      </c>
      <c r="J183" s="20"/>
      <c r="K183" s="20"/>
    </row>
    <row r="184" spans="1:11" ht="15.5" x14ac:dyDescent="0.35">
      <c r="A184" s="3" t="s">
        <v>81</v>
      </c>
      <c r="B184" s="1"/>
      <c r="C184" s="20">
        <v>23000</v>
      </c>
      <c r="D184" s="1"/>
      <c r="E184" s="1"/>
      <c r="F184" s="20">
        <f t="shared" si="20"/>
        <v>0</v>
      </c>
      <c r="G184" s="20">
        <f t="shared" si="20"/>
        <v>0</v>
      </c>
      <c r="H184" s="20">
        <f t="shared" si="21"/>
        <v>0</v>
      </c>
      <c r="I184" s="20" t="b">
        <f t="shared" si="22"/>
        <v>1</v>
      </c>
      <c r="J184" s="20"/>
      <c r="K184" s="20"/>
    </row>
    <row r="185" spans="1:11" ht="15.5" x14ac:dyDescent="0.35">
      <c r="A185" s="3" t="s">
        <v>82</v>
      </c>
      <c r="B185" s="1"/>
      <c r="C185" s="20">
        <v>18000</v>
      </c>
      <c r="D185" s="1"/>
      <c r="E185" s="1"/>
      <c r="F185" s="20">
        <f t="shared" si="20"/>
        <v>0</v>
      </c>
      <c r="G185" s="20">
        <f t="shared" si="20"/>
        <v>0</v>
      </c>
      <c r="H185" s="20">
        <f t="shared" si="21"/>
        <v>0</v>
      </c>
      <c r="I185" s="20" t="b">
        <f t="shared" si="22"/>
        <v>1</v>
      </c>
      <c r="J185" s="20"/>
      <c r="K185" s="20"/>
    </row>
    <row r="186" spans="1:11" ht="15.5" x14ac:dyDescent="0.35">
      <c r="A186" s="3" t="s">
        <v>83</v>
      </c>
      <c r="B186" s="1"/>
      <c r="C186" s="20">
        <v>18000</v>
      </c>
      <c r="D186" s="1"/>
      <c r="E186" s="1"/>
      <c r="F186" s="20">
        <f t="shared" si="20"/>
        <v>0</v>
      </c>
      <c r="G186" s="20">
        <f t="shared" si="20"/>
        <v>0</v>
      </c>
      <c r="H186" s="20">
        <f t="shared" si="21"/>
        <v>0</v>
      </c>
      <c r="I186" s="20" t="b">
        <f t="shared" si="22"/>
        <v>1</v>
      </c>
      <c r="J186" s="20"/>
      <c r="K186" s="20"/>
    </row>
    <row r="187" spans="1:11" ht="15.5" x14ac:dyDescent="0.35">
      <c r="A187" s="3" t="s">
        <v>84</v>
      </c>
      <c r="B187" s="1">
        <v>50</v>
      </c>
      <c r="C187" s="20">
        <v>18500</v>
      </c>
      <c r="D187" s="1">
        <v>34</v>
      </c>
      <c r="E187" s="1">
        <v>16</v>
      </c>
      <c r="F187" s="20">
        <f t="shared" si="20"/>
        <v>925000</v>
      </c>
      <c r="G187" s="20">
        <f t="shared" si="20"/>
        <v>629000</v>
      </c>
      <c r="H187" s="20">
        <f t="shared" si="21"/>
        <v>296000</v>
      </c>
      <c r="I187" s="20" t="b">
        <f t="shared" si="22"/>
        <v>1</v>
      </c>
      <c r="J187" s="20"/>
      <c r="K187" s="20"/>
    </row>
    <row r="188" spans="1:11" ht="15.5" x14ac:dyDescent="0.35">
      <c r="A188" s="3" t="s">
        <v>85</v>
      </c>
      <c r="B188" s="1"/>
      <c r="C188" s="20">
        <v>18500</v>
      </c>
      <c r="D188" s="1"/>
      <c r="E188" s="1"/>
      <c r="F188" s="20">
        <f t="shared" si="20"/>
        <v>0</v>
      </c>
      <c r="G188" s="20">
        <f t="shared" si="20"/>
        <v>0</v>
      </c>
      <c r="H188" s="20">
        <f t="shared" si="21"/>
        <v>0</v>
      </c>
      <c r="I188" s="20" t="b">
        <f t="shared" si="22"/>
        <v>1</v>
      </c>
      <c r="J188" s="20"/>
      <c r="K188" s="20"/>
    </row>
    <row r="189" spans="1:11" ht="15.5" x14ac:dyDescent="0.35">
      <c r="A189" s="3" t="s">
        <v>86</v>
      </c>
      <c r="B189" s="1"/>
      <c r="C189" s="20">
        <v>18500</v>
      </c>
      <c r="D189" s="1"/>
      <c r="E189" s="1"/>
      <c r="F189" s="20">
        <f t="shared" si="20"/>
        <v>0</v>
      </c>
      <c r="G189" s="20">
        <f t="shared" si="20"/>
        <v>0</v>
      </c>
      <c r="H189" s="20">
        <f t="shared" si="21"/>
        <v>0</v>
      </c>
      <c r="I189" s="20" t="b">
        <f t="shared" si="22"/>
        <v>1</v>
      </c>
      <c r="J189" s="20"/>
      <c r="K189" s="20"/>
    </row>
    <row r="190" spans="1:11" ht="15.5" x14ac:dyDescent="0.35">
      <c r="A190" s="3" t="s">
        <v>87</v>
      </c>
      <c r="B190" s="1">
        <v>5</v>
      </c>
      <c r="C190" s="20">
        <v>18500</v>
      </c>
      <c r="D190" s="1">
        <v>2</v>
      </c>
      <c r="E190" s="1">
        <v>3</v>
      </c>
      <c r="F190" s="20">
        <f t="shared" si="20"/>
        <v>92500</v>
      </c>
      <c r="G190" s="20">
        <f t="shared" si="20"/>
        <v>37000</v>
      </c>
      <c r="H190" s="20">
        <f t="shared" si="21"/>
        <v>55500</v>
      </c>
      <c r="I190" s="20" t="b">
        <f t="shared" si="22"/>
        <v>1</v>
      </c>
      <c r="J190" s="20"/>
      <c r="K190" s="20"/>
    </row>
    <row r="191" spans="1:11" ht="15.5" x14ac:dyDescent="0.35">
      <c r="A191" s="3" t="s">
        <v>88</v>
      </c>
      <c r="B191" s="1">
        <v>14</v>
      </c>
      <c r="C191" s="20">
        <v>18500</v>
      </c>
      <c r="D191" s="1">
        <v>8</v>
      </c>
      <c r="E191" s="1">
        <v>6</v>
      </c>
      <c r="F191" s="20">
        <f t="shared" si="20"/>
        <v>259000</v>
      </c>
      <c r="G191" s="20">
        <f t="shared" si="20"/>
        <v>148000</v>
      </c>
      <c r="H191" s="20">
        <f t="shared" si="21"/>
        <v>111000</v>
      </c>
      <c r="I191" s="20" t="b">
        <f t="shared" si="22"/>
        <v>1</v>
      </c>
      <c r="J191" s="20"/>
      <c r="K191" s="20"/>
    </row>
    <row r="192" spans="1:11" ht="15.5" x14ac:dyDescent="0.35">
      <c r="A192" s="19" t="s">
        <v>89</v>
      </c>
      <c r="B192" s="1"/>
      <c r="C192" s="20"/>
      <c r="D192" s="1"/>
      <c r="E192" s="1"/>
      <c r="F192" s="20"/>
      <c r="G192" s="20"/>
      <c r="H192" s="20">
        <f t="shared" si="21"/>
        <v>0</v>
      </c>
      <c r="I192" s="20" t="b">
        <f t="shared" si="22"/>
        <v>1</v>
      </c>
      <c r="J192" s="20"/>
      <c r="K192" s="20"/>
    </row>
    <row r="193" spans="1:11" ht="15.5" x14ac:dyDescent="0.35">
      <c r="A193" s="3" t="s">
        <v>92</v>
      </c>
      <c r="B193" s="1"/>
      <c r="C193" s="20">
        <v>21500</v>
      </c>
      <c r="D193" s="1"/>
      <c r="E193" s="1"/>
      <c r="F193" s="20">
        <f t="shared" ref="F193:G195" si="23">C193*B193</f>
        <v>0</v>
      </c>
      <c r="G193" s="20">
        <f t="shared" si="23"/>
        <v>0</v>
      </c>
      <c r="H193" s="20">
        <f t="shared" si="21"/>
        <v>0</v>
      </c>
      <c r="I193" s="20" t="b">
        <f t="shared" si="22"/>
        <v>1</v>
      </c>
      <c r="J193" s="20"/>
      <c r="K193" s="20"/>
    </row>
    <row r="194" spans="1:11" ht="15.5" x14ac:dyDescent="0.35">
      <c r="A194" s="3" t="s">
        <v>93</v>
      </c>
      <c r="B194" s="1">
        <v>41</v>
      </c>
      <c r="C194" s="20">
        <v>21500</v>
      </c>
      <c r="D194" s="1">
        <v>28</v>
      </c>
      <c r="E194" s="1">
        <v>13</v>
      </c>
      <c r="F194" s="20">
        <f t="shared" si="23"/>
        <v>881500</v>
      </c>
      <c r="G194" s="20">
        <f t="shared" si="23"/>
        <v>602000</v>
      </c>
      <c r="H194" s="20">
        <f t="shared" si="21"/>
        <v>279500</v>
      </c>
      <c r="I194" s="20" t="b">
        <f t="shared" si="22"/>
        <v>1</v>
      </c>
      <c r="J194" s="20"/>
      <c r="K194" s="20"/>
    </row>
    <row r="195" spans="1:11" ht="15.5" x14ac:dyDescent="0.35">
      <c r="A195" s="3" t="s">
        <v>94</v>
      </c>
      <c r="B195" s="1">
        <v>29</v>
      </c>
      <c r="C195" s="20">
        <v>21500</v>
      </c>
      <c r="D195" s="1">
        <v>17</v>
      </c>
      <c r="E195" s="1">
        <v>12</v>
      </c>
      <c r="F195" s="20">
        <f t="shared" si="23"/>
        <v>623500</v>
      </c>
      <c r="G195" s="20">
        <f t="shared" si="23"/>
        <v>365500</v>
      </c>
      <c r="H195" s="20">
        <f t="shared" si="21"/>
        <v>258000</v>
      </c>
      <c r="I195" s="20" t="b">
        <f t="shared" si="22"/>
        <v>1</v>
      </c>
      <c r="J195" s="20"/>
      <c r="K195" s="20"/>
    </row>
    <row r="196" spans="1:11" ht="15.5" x14ac:dyDescent="0.35">
      <c r="A196" s="19"/>
      <c r="B196" s="22">
        <f>SUM(B179:B195)</f>
        <v>329</v>
      </c>
      <c r="C196" s="20"/>
      <c r="D196" s="1"/>
      <c r="E196" s="1"/>
      <c r="F196" s="23">
        <f>SUM(F179:F195)</f>
        <v>6100500</v>
      </c>
      <c r="G196" s="23">
        <f>SUM(G179:G195)</f>
        <v>4129500</v>
      </c>
      <c r="H196" s="23">
        <f>SUM(H179:H195)</f>
        <v>1971000</v>
      </c>
      <c r="I196" s="23"/>
      <c r="J196" s="23">
        <f>SUM(J179:J195)</f>
        <v>642000</v>
      </c>
      <c r="K196" s="23">
        <f>H196-J196</f>
        <v>1329000</v>
      </c>
    </row>
    <row r="197" spans="1:11" ht="15.5" x14ac:dyDescent="0.35">
      <c r="A197" s="19" t="s">
        <v>95</v>
      </c>
      <c r="B197" s="1"/>
      <c r="C197" s="20"/>
      <c r="D197" s="1"/>
      <c r="E197" s="1"/>
      <c r="F197" s="20"/>
      <c r="G197" s="20"/>
      <c r="H197" s="20" t="s">
        <v>192</v>
      </c>
      <c r="I197" s="20"/>
      <c r="J197" s="20"/>
      <c r="K197" s="20"/>
    </row>
    <row r="198" spans="1:11" ht="15.5" x14ac:dyDescent="0.35">
      <c r="A198" s="3" t="s">
        <v>96</v>
      </c>
      <c r="B198" s="1"/>
      <c r="C198" s="20">
        <v>3000</v>
      </c>
      <c r="D198" s="1"/>
      <c r="E198" s="20"/>
      <c r="F198" s="20">
        <f t="shared" ref="F198:F201" si="24">C198*B198</f>
        <v>0</v>
      </c>
      <c r="G198" s="20"/>
      <c r="H198" s="20"/>
      <c r="I198" s="20"/>
      <c r="J198" s="20"/>
      <c r="K198" s="20"/>
    </row>
    <row r="199" spans="1:11" ht="15.5" x14ac:dyDescent="0.35">
      <c r="A199" s="3" t="s">
        <v>97</v>
      </c>
      <c r="B199" s="1"/>
      <c r="C199" s="20">
        <v>2500</v>
      </c>
      <c r="D199" s="1"/>
      <c r="E199" s="1"/>
      <c r="F199" s="20">
        <f t="shared" si="24"/>
        <v>0</v>
      </c>
      <c r="G199" s="20"/>
      <c r="H199" s="20"/>
      <c r="I199" s="20"/>
      <c r="J199" s="20"/>
      <c r="K199" s="20"/>
    </row>
    <row r="200" spans="1:11" ht="15.5" x14ac:dyDescent="0.35">
      <c r="A200" s="3" t="s">
        <v>98</v>
      </c>
      <c r="B200" s="1"/>
      <c r="C200" s="20">
        <v>1800</v>
      </c>
      <c r="D200" s="1"/>
      <c r="E200" s="1"/>
      <c r="F200" s="20">
        <f t="shared" si="24"/>
        <v>0</v>
      </c>
      <c r="G200" s="20"/>
      <c r="H200" s="20"/>
      <c r="I200" s="20"/>
      <c r="J200" s="20"/>
      <c r="K200" s="20"/>
    </row>
    <row r="201" spans="1:11" ht="15.5" x14ac:dyDescent="0.35">
      <c r="A201" s="3" t="s">
        <v>99</v>
      </c>
      <c r="B201" s="1"/>
      <c r="C201" s="20">
        <v>3500</v>
      </c>
      <c r="D201" s="1"/>
      <c r="E201" s="1"/>
      <c r="F201" s="20">
        <f t="shared" si="24"/>
        <v>0</v>
      </c>
      <c r="G201" s="20"/>
      <c r="H201" s="20"/>
      <c r="I201" s="20"/>
      <c r="J201" s="20"/>
      <c r="K201" s="20"/>
    </row>
    <row r="202" spans="1:11" ht="15.5" x14ac:dyDescent="0.35">
      <c r="A202" s="18"/>
      <c r="F202" s="21"/>
    </row>
    <row r="203" spans="1:11" ht="15.5" x14ac:dyDescent="0.35">
      <c r="A203" s="24" t="s">
        <v>108</v>
      </c>
      <c r="K203" s="21"/>
    </row>
    <row r="204" spans="1:11" ht="15.5" x14ac:dyDescent="0.35">
      <c r="A204" s="18" t="s">
        <v>114</v>
      </c>
      <c r="B204" s="67">
        <v>40000</v>
      </c>
    </row>
    <row r="205" spans="1:11" ht="15.5" x14ac:dyDescent="0.35">
      <c r="A205" s="18" t="s">
        <v>112</v>
      </c>
      <c r="B205" s="67">
        <v>40000</v>
      </c>
    </row>
    <row r="206" spans="1:11" ht="15.5" x14ac:dyDescent="0.35">
      <c r="A206" s="18" t="s">
        <v>309</v>
      </c>
      <c r="B206" s="67">
        <v>60000</v>
      </c>
    </row>
    <row r="207" spans="1:11" ht="15.5" x14ac:dyDescent="0.35">
      <c r="A207" s="18" t="s">
        <v>110</v>
      </c>
      <c r="B207" s="67">
        <v>40000</v>
      </c>
    </row>
    <row r="208" spans="1:11" ht="15.5" x14ac:dyDescent="0.35">
      <c r="A208" s="18" t="s">
        <v>111</v>
      </c>
      <c r="B208" s="67">
        <v>40000</v>
      </c>
    </row>
    <row r="209" spans="1:11" ht="15.5" x14ac:dyDescent="0.35">
      <c r="A209" s="18" t="s">
        <v>196</v>
      </c>
      <c r="B209" s="67">
        <v>40000</v>
      </c>
    </row>
    <row r="210" spans="1:11" ht="15.5" x14ac:dyDescent="0.35">
      <c r="A210" s="18" t="s">
        <v>113</v>
      </c>
      <c r="B210" s="67" t="s">
        <v>422</v>
      </c>
    </row>
    <row r="211" spans="1:11" ht="15.5" x14ac:dyDescent="0.35">
      <c r="A211" s="18" t="s">
        <v>209</v>
      </c>
      <c r="B211" s="67">
        <v>40000</v>
      </c>
    </row>
    <row r="212" spans="1:11" ht="15.5" x14ac:dyDescent="0.35">
      <c r="A212" s="18" t="s">
        <v>115</v>
      </c>
      <c r="B212" s="67">
        <v>60000</v>
      </c>
    </row>
    <row r="213" spans="1:11" ht="15.5" x14ac:dyDescent="0.35">
      <c r="A213" s="18" t="s">
        <v>109</v>
      </c>
      <c r="B213" s="67">
        <v>40000</v>
      </c>
    </row>
    <row r="214" spans="1:11" ht="15.5" x14ac:dyDescent="0.35">
      <c r="A214" s="24" t="s">
        <v>4</v>
      </c>
      <c r="B214" s="75">
        <f>SUM(B204:B213)</f>
        <v>400000</v>
      </c>
    </row>
    <row r="215" spans="1:11" ht="15.5" x14ac:dyDescent="0.35">
      <c r="A215" s="24"/>
      <c r="B215" s="17"/>
    </row>
    <row r="216" spans="1:11" ht="15.5" x14ac:dyDescent="0.35">
      <c r="A216" s="24"/>
      <c r="B216" s="17"/>
    </row>
    <row r="217" spans="1:11" ht="18.5" x14ac:dyDescent="0.45">
      <c r="A217" s="151" t="s">
        <v>1</v>
      </c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</row>
    <row r="218" spans="1:11" ht="18.5" x14ac:dyDescent="0.45">
      <c r="A218" s="150" t="s">
        <v>74</v>
      </c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</row>
    <row r="219" spans="1:11" ht="18.5" x14ac:dyDescent="0.45">
      <c r="A219" s="149">
        <v>46122</v>
      </c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</row>
    <row r="220" spans="1:11" ht="18.5" x14ac:dyDescent="0.45">
      <c r="A220" s="150"/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</row>
    <row r="221" spans="1:11" ht="18.5" x14ac:dyDescent="0.45">
      <c r="A221" s="2" t="s">
        <v>75</v>
      </c>
      <c r="B221" s="2" t="s">
        <v>3</v>
      </c>
      <c r="C221" s="2" t="s">
        <v>100</v>
      </c>
      <c r="D221" s="2" t="s">
        <v>90</v>
      </c>
      <c r="E221" s="2" t="s">
        <v>91</v>
      </c>
      <c r="F221" s="2" t="s">
        <v>4</v>
      </c>
      <c r="G221" s="2" t="s">
        <v>101</v>
      </c>
      <c r="H221" s="2" t="s">
        <v>104</v>
      </c>
      <c r="I221" s="2"/>
      <c r="J221" s="2" t="s">
        <v>105</v>
      </c>
      <c r="K221" s="2" t="s">
        <v>106</v>
      </c>
    </row>
    <row r="222" spans="1:11" ht="15.5" x14ac:dyDescent="0.35">
      <c r="A222" s="3" t="s">
        <v>76</v>
      </c>
      <c r="B222" s="1">
        <v>102</v>
      </c>
      <c r="C222" s="20">
        <v>17500</v>
      </c>
      <c r="D222" s="1">
        <v>41</v>
      </c>
      <c r="E222" s="1">
        <v>61</v>
      </c>
      <c r="F222" s="20">
        <f>C222*B222</f>
        <v>1785000</v>
      </c>
      <c r="G222" s="20">
        <f>D222*C222</f>
        <v>717500</v>
      </c>
      <c r="H222" s="20">
        <f>E222*C222</f>
        <v>1067500</v>
      </c>
      <c r="I222" s="20" t="b">
        <f>D222+E222=B222</f>
        <v>1</v>
      </c>
      <c r="J222" s="20">
        <f>B257</f>
        <v>400000</v>
      </c>
      <c r="K222" s="20" t="s">
        <v>117</v>
      </c>
    </row>
    <row r="223" spans="1:11" ht="15.5" x14ac:dyDescent="0.35">
      <c r="A223" s="3" t="s">
        <v>77</v>
      </c>
      <c r="B223" s="1">
        <v>9</v>
      </c>
      <c r="C223" s="20">
        <v>16000</v>
      </c>
      <c r="D223" s="1">
        <v>3</v>
      </c>
      <c r="E223" s="1">
        <v>6</v>
      </c>
      <c r="F223" s="20">
        <f t="shared" ref="F223:G234" si="25">C223*B223</f>
        <v>144000</v>
      </c>
      <c r="G223" s="20">
        <f t="shared" si="25"/>
        <v>48000</v>
      </c>
      <c r="H223" s="20">
        <f t="shared" ref="H223:H238" si="26">E223*C223</f>
        <v>96000</v>
      </c>
      <c r="I223" s="20" t="b">
        <f t="shared" ref="I223:I238" si="27">D223+E223=B223</f>
        <v>1</v>
      </c>
      <c r="J223" s="20">
        <v>48000</v>
      </c>
      <c r="K223" s="20" t="s">
        <v>107</v>
      </c>
    </row>
    <row r="224" spans="1:11" ht="15.5" x14ac:dyDescent="0.35">
      <c r="A224" s="3" t="s">
        <v>78</v>
      </c>
      <c r="B224" s="1">
        <v>52</v>
      </c>
      <c r="C224" s="20">
        <v>17500</v>
      </c>
      <c r="D224" s="1">
        <v>20</v>
      </c>
      <c r="E224" s="1">
        <v>32</v>
      </c>
      <c r="F224" s="20">
        <f t="shared" si="25"/>
        <v>910000</v>
      </c>
      <c r="G224" s="20">
        <f t="shared" si="25"/>
        <v>350000</v>
      </c>
      <c r="H224" s="20">
        <f t="shared" si="26"/>
        <v>560000</v>
      </c>
      <c r="I224" s="20" t="b">
        <f t="shared" si="27"/>
        <v>1</v>
      </c>
      <c r="J224" s="20">
        <v>350000</v>
      </c>
      <c r="K224" s="20" t="s">
        <v>107</v>
      </c>
    </row>
    <row r="225" spans="1:11" ht="15.5" x14ac:dyDescent="0.35">
      <c r="A225" s="3" t="s">
        <v>79</v>
      </c>
      <c r="B225" s="1">
        <v>27</v>
      </c>
      <c r="C225" s="20">
        <v>18500</v>
      </c>
      <c r="D225" s="1">
        <v>12</v>
      </c>
      <c r="E225" s="1">
        <v>15</v>
      </c>
      <c r="F225" s="20">
        <f t="shared" si="25"/>
        <v>499500</v>
      </c>
      <c r="G225" s="20">
        <f t="shared" si="25"/>
        <v>222000</v>
      </c>
      <c r="H225" s="20">
        <f t="shared" si="26"/>
        <v>277500</v>
      </c>
      <c r="I225" s="20" t="b">
        <f t="shared" si="27"/>
        <v>1</v>
      </c>
      <c r="J225" s="20"/>
      <c r="K225" s="20"/>
    </row>
    <row r="226" spans="1:11" ht="15.5" x14ac:dyDescent="0.35">
      <c r="A226" s="3" t="s">
        <v>80</v>
      </c>
      <c r="B226" s="1"/>
      <c r="C226" s="20">
        <v>18500</v>
      </c>
      <c r="D226" s="1"/>
      <c r="E226" s="1"/>
      <c r="F226" s="20">
        <f t="shared" si="25"/>
        <v>0</v>
      </c>
      <c r="G226" s="20">
        <f t="shared" si="25"/>
        <v>0</v>
      </c>
      <c r="H226" s="20">
        <f t="shared" si="26"/>
        <v>0</v>
      </c>
      <c r="I226" s="20" t="b">
        <f t="shared" si="27"/>
        <v>1</v>
      </c>
      <c r="J226" s="20"/>
      <c r="K226" s="20"/>
    </row>
    <row r="227" spans="1:11" ht="15.5" x14ac:dyDescent="0.35">
      <c r="A227" s="3" t="s">
        <v>81</v>
      </c>
      <c r="B227" s="1"/>
      <c r="C227" s="20">
        <v>23000</v>
      </c>
      <c r="D227" s="1"/>
      <c r="E227" s="1"/>
      <c r="F227" s="20">
        <f t="shared" si="25"/>
        <v>0</v>
      </c>
      <c r="G227" s="20">
        <f t="shared" si="25"/>
        <v>0</v>
      </c>
      <c r="H227" s="20">
        <f t="shared" si="26"/>
        <v>0</v>
      </c>
      <c r="I227" s="20" t="b">
        <f t="shared" si="27"/>
        <v>1</v>
      </c>
      <c r="J227" s="20"/>
      <c r="K227" s="20"/>
    </row>
    <row r="228" spans="1:11" ht="15.5" x14ac:dyDescent="0.35">
      <c r="A228" s="3" t="s">
        <v>82</v>
      </c>
      <c r="B228" s="1"/>
      <c r="C228" s="20">
        <v>18000</v>
      </c>
      <c r="D228" s="1"/>
      <c r="E228" s="1"/>
      <c r="F228" s="20">
        <f t="shared" si="25"/>
        <v>0</v>
      </c>
      <c r="G228" s="20">
        <f t="shared" si="25"/>
        <v>0</v>
      </c>
      <c r="H228" s="20">
        <f t="shared" si="26"/>
        <v>0</v>
      </c>
      <c r="I228" s="20" t="b">
        <f t="shared" si="27"/>
        <v>1</v>
      </c>
      <c r="J228" s="20"/>
      <c r="K228" s="20"/>
    </row>
    <row r="229" spans="1:11" ht="15.5" x14ac:dyDescent="0.35">
      <c r="A229" s="3" t="s">
        <v>83</v>
      </c>
      <c r="B229" s="1"/>
      <c r="C229" s="20">
        <v>18000</v>
      </c>
      <c r="D229" s="1"/>
      <c r="E229" s="1"/>
      <c r="F229" s="20">
        <f t="shared" si="25"/>
        <v>0</v>
      </c>
      <c r="G229" s="20">
        <f t="shared" si="25"/>
        <v>0</v>
      </c>
      <c r="H229" s="20">
        <f t="shared" si="26"/>
        <v>0</v>
      </c>
      <c r="I229" s="20" t="b">
        <f t="shared" si="27"/>
        <v>1</v>
      </c>
      <c r="J229" s="20"/>
      <c r="K229" s="20"/>
    </row>
    <row r="230" spans="1:11" ht="15.5" x14ac:dyDescent="0.35">
      <c r="A230" s="3" t="s">
        <v>84</v>
      </c>
      <c r="B230" s="1"/>
      <c r="C230" s="20">
        <v>18500</v>
      </c>
      <c r="D230" s="1"/>
      <c r="E230" s="1"/>
      <c r="F230" s="20">
        <f t="shared" si="25"/>
        <v>0</v>
      </c>
      <c r="G230" s="20">
        <f t="shared" si="25"/>
        <v>0</v>
      </c>
      <c r="H230" s="20">
        <f t="shared" si="26"/>
        <v>0</v>
      </c>
      <c r="I230" s="20" t="b">
        <f t="shared" si="27"/>
        <v>1</v>
      </c>
      <c r="J230" s="20"/>
      <c r="K230" s="20"/>
    </row>
    <row r="231" spans="1:11" ht="15.5" x14ac:dyDescent="0.35">
      <c r="A231" s="3" t="s">
        <v>85</v>
      </c>
      <c r="B231" s="1">
        <v>52</v>
      </c>
      <c r="C231" s="20">
        <v>18500</v>
      </c>
      <c r="D231" s="1">
        <v>29</v>
      </c>
      <c r="E231" s="1">
        <v>23</v>
      </c>
      <c r="F231" s="20">
        <f t="shared" si="25"/>
        <v>962000</v>
      </c>
      <c r="G231" s="20">
        <f t="shared" si="25"/>
        <v>536500</v>
      </c>
      <c r="H231" s="20">
        <f t="shared" si="26"/>
        <v>425500</v>
      </c>
      <c r="I231" s="20" t="b">
        <f t="shared" si="27"/>
        <v>1</v>
      </c>
      <c r="J231" s="20"/>
      <c r="K231" s="20"/>
    </row>
    <row r="232" spans="1:11" ht="15.5" x14ac:dyDescent="0.35">
      <c r="A232" s="3" t="s">
        <v>86</v>
      </c>
      <c r="B232" s="1">
        <v>10</v>
      </c>
      <c r="C232" s="20">
        <v>18500</v>
      </c>
      <c r="D232" s="1">
        <v>6</v>
      </c>
      <c r="E232" s="1">
        <v>4</v>
      </c>
      <c r="F232" s="20">
        <f t="shared" si="25"/>
        <v>185000</v>
      </c>
      <c r="G232" s="20">
        <f t="shared" si="25"/>
        <v>111000</v>
      </c>
      <c r="H232" s="20">
        <f t="shared" si="26"/>
        <v>74000</v>
      </c>
      <c r="I232" s="20" t="b">
        <f t="shared" si="27"/>
        <v>1</v>
      </c>
      <c r="J232" s="20"/>
      <c r="K232" s="20"/>
    </row>
    <row r="233" spans="1:11" ht="15.5" x14ac:dyDescent="0.35">
      <c r="A233" s="3" t="s">
        <v>87</v>
      </c>
      <c r="B233" s="1"/>
      <c r="C233" s="20">
        <v>18500</v>
      </c>
      <c r="D233" s="1"/>
      <c r="E233" s="1"/>
      <c r="F233" s="20">
        <f t="shared" si="25"/>
        <v>0</v>
      </c>
      <c r="G233" s="20">
        <f t="shared" si="25"/>
        <v>0</v>
      </c>
      <c r="H233" s="20">
        <f t="shared" si="26"/>
        <v>0</v>
      </c>
      <c r="I233" s="20" t="b">
        <f t="shared" si="27"/>
        <v>1</v>
      </c>
      <c r="J233" s="20"/>
      <c r="K233" s="20"/>
    </row>
    <row r="234" spans="1:11" ht="15.5" x14ac:dyDescent="0.35">
      <c r="A234" s="3" t="s">
        <v>88</v>
      </c>
      <c r="B234" s="1">
        <v>16</v>
      </c>
      <c r="C234" s="20">
        <v>18500</v>
      </c>
      <c r="D234" s="1">
        <v>10</v>
      </c>
      <c r="E234" s="1">
        <v>6</v>
      </c>
      <c r="F234" s="20">
        <f t="shared" si="25"/>
        <v>296000</v>
      </c>
      <c r="G234" s="20">
        <f t="shared" si="25"/>
        <v>185000</v>
      </c>
      <c r="H234" s="20">
        <f t="shared" si="26"/>
        <v>111000</v>
      </c>
      <c r="I234" s="20" t="b">
        <f t="shared" si="27"/>
        <v>1</v>
      </c>
      <c r="J234" s="20"/>
      <c r="K234" s="20"/>
    </row>
    <row r="235" spans="1:11" ht="15.5" x14ac:dyDescent="0.35">
      <c r="A235" s="19" t="s">
        <v>89</v>
      </c>
      <c r="B235" s="1"/>
      <c r="C235" s="20"/>
      <c r="D235" s="1"/>
      <c r="E235" s="1"/>
      <c r="F235" s="20"/>
      <c r="G235" s="20"/>
      <c r="H235" s="20">
        <f t="shared" si="26"/>
        <v>0</v>
      </c>
      <c r="I235" s="20" t="b">
        <f t="shared" si="27"/>
        <v>1</v>
      </c>
      <c r="J235" s="20"/>
      <c r="K235" s="20"/>
    </row>
    <row r="236" spans="1:11" ht="15.5" x14ac:dyDescent="0.35">
      <c r="A236" s="3" t="s">
        <v>92</v>
      </c>
      <c r="B236" s="1">
        <v>40</v>
      </c>
      <c r="C236" s="20">
        <v>21500</v>
      </c>
      <c r="D236" s="1">
        <v>23</v>
      </c>
      <c r="E236" s="1">
        <v>17</v>
      </c>
      <c r="F236" s="20">
        <f t="shared" ref="F236:G238" si="28">C236*B236</f>
        <v>860000</v>
      </c>
      <c r="G236" s="20">
        <f t="shared" si="28"/>
        <v>494500</v>
      </c>
      <c r="H236" s="20">
        <f t="shared" si="26"/>
        <v>365500</v>
      </c>
      <c r="I236" s="20" t="b">
        <f t="shared" si="27"/>
        <v>1</v>
      </c>
      <c r="J236" s="20"/>
      <c r="K236" s="20"/>
    </row>
    <row r="237" spans="1:11" ht="15.5" x14ac:dyDescent="0.35">
      <c r="A237" s="3" t="s">
        <v>93</v>
      </c>
      <c r="B237" s="1"/>
      <c r="C237" s="20">
        <v>21500</v>
      </c>
      <c r="D237" s="1"/>
      <c r="E237" s="1"/>
      <c r="F237" s="20">
        <f t="shared" si="28"/>
        <v>0</v>
      </c>
      <c r="G237" s="20">
        <f t="shared" si="28"/>
        <v>0</v>
      </c>
      <c r="H237" s="20">
        <f t="shared" si="26"/>
        <v>0</v>
      </c>
      <c r="I237" s="20" t="b">
        <f t="shared" si="27"/>
        <v>1</v>
      </c>
      <c r="J237" s="20"/>
      <c r="K237" s="20"/>
    </row>
    <row r="238" spans="1:11" ht="15.5" x14ac:dyDescent="0.35">
      <c r="A238" s="3" t="s">
        <v>94</v>
      </c>
      <c r="B238" s="1">
        <v>30</v>
      </c>
      <c r="C238" s="20">
        <v>21500</v>
      </c>
      <c r="D238" s="1">
        <v>16</v>
      </c>
      <c r="E238" s="1">
        <v>14</v>
      </c>
      <c r="F238" s="20">
        <f t="shared" si="28"/>
        <v>645000</v>
      </c>
      <c r="G238" s="20">
        <f t="shared" si="28"/>
        <v>344000</v>
      </c>
      <c r="H238" s="20">
        <f t="shared" si="26"/>
        <v>301000</v>
      </c>
      <c r="I238" s="20" t="b">
        <f t="shared" si="27"/>
        <v>1</v>
      </c>
      <c r="J238" s="20"/>
      <c r="K238" s="20"/>
    </row>
    <row r="239" spans="1:11" ht="15.5" x14ac:dyDescent="0.35">
      <c r="A239" s="19"/>
      <c r="B239" s="22">
        <f>SUM(B222:B238)</f>
        <v>338</v>
      </c>
      <c r="C239" s="20"/>
      <c r="D239" s="1"/>
      <c r="E239" s="1"/>
      <c r="F239" s="23">
        <f>SUM(F222:F238)</f>
        <v>6286500</v>
      </c>
      <c r="G239" s="23">
        <f>SUM(G222:G238)</f>
        <v>3008500</v>
      </c>
      <c r="H239" s="23">
        <f>SUM(H222:H238)</f>
        <v>3278000</v>
      </c>
      <c r="I239" s="23"/>
      <c r="J239" s="23">
        <f>SUM(J222:J238)</f>
        <v>798000</v>
      </c>
      <c r="K239" s="23">
        <f>H239-J239</f>
        <v>2480000</v>
      </c>
    </row>
    <row r="240" spans="1:11" ht="15.5" x14ac:dyDescent="0.35">
      <c r="A240" s="19" t="s">
        <v>95</v>
      </c>
      <c r="B240" s="1"/>
      <c r="C240" s="20"/>
      <c r="D240" s="1"/>
      <c r="E240" s="1"/>
      <c r="F240" s="20"/>
      <c r="G240" s="20"/>
      <c r="H240" s="20" t="s">
        <v>192</v>
      </c>
      <c r="I240" s="20"/>
      <c r="J240" s="20"/>
      <c r="K240" s="20"/>
    </row>
    <row r="241" spans="1:11" ht="15.5" x14ac:dyDescent="0.35">
      <c r="A241" s="3" t="s">
        <v>96</v>
      </c>
      <c r="B241" s="1"/>
      <c r="C241" s="20">
        <v>3000</v>
      </c>
      <c r="D241" s="1"/>
      <c r="E241" s="20"/>
      <c r="F241" s="20">
        <f t="shared" ref="F241:F244" si="29">C241*B241</f>
        <v>0</v>
      </c>
      <c r="G241" s="20"/>
      <c r="H241" s="20"/>
      <c r="I241" s="20"/>
      <c r="J241" s="20"/>
      <c r="K241" s="20"/>
    </row>
    <row r="242" spans="1:11" ht="15.5" x14ac:dyDescent="0.35">
      <c r="A242" s="3" t="s">
        <v>97</v>
      </c>
      <c r="B242" s="1"/>
      <c r="C242" s="20">
        <v>2500</v>
      </c>
      <c r="D242" s="1"/>
      <c r="E242" s="1"/>
      <c r="F242" s="20">
        <f t="shared" si="29"/>
        <v>0</v>
      </c>
      <c r="G242" s="20"/>
      <c r="H242" s="20"/>
      <c r="I242" s="20"/>
      <c r="J242" s="20"/>
      <c r="K242" s="20"/>
    </row>
    <row r="243" spans="1:11" ht="15.5" x14ac:dyDescent="0.35">
      <c r="A243" s="3" t="s">
        <v>98</v>
      </c>
      <c r="B243" s="1"/>
      <c r="C243" s="20">
        <v>1800</v>
      </c>
      <c r="D243" s="1"/>
      <c r="E243" s="1"/>
      <c r="F243" s="20">
        <f t="shared" si="29"/>
        <v>0</v>
      </c>
      <c r="G243" s="20"/>
      <c r="H243" s="20"/>
      <c r="I243" s="20"/>
      <c r="J243" s="20"/>
      <c r="K243" s="20"/>
    </row>
    <row r="244" spans="1:11" ht="15.5" x14ac:dyDescent="0.35">
      <c r="A244" s="3" t="s">
        <v>99</v>
      </c>
      <c r="B244" s="1"/>
      <c r="C244" s="20">
        <v>3500</v>
      </c>
      <c r="D244" s="1"/>
      <c r="E244" s="1"/>
      <c r="F244" s="20">
        <f t="shared" si="29"/>
        <v>0</v>
      </c>
      <c r="G244" s="20"/>
      <c r="H244" s="20"/>
      <c r="I244" s="20"/>
      <c r="J244" s="20"/>
      <c r="K244" s="20"/>
    </row>
    <row r="245" spans="1:11" ht="15.5" x14ac:dyDescent="0.35">
      <c r="A245" s="18"/>
      <c r="F245" s="21"/>
    </row>
    <row r="246" spans="1:11" ht="15.5" x14ac:dyDescent="0.35">
      <c r="A246" s="24" t="s">
        <v>108</v>
      </c>
      <c r="K246" s="21"/>
    </row>
    <row r="247" spans="1:11" ht="15.5" x14ac:dyDescent="0.35">
      <c r="A247" s="18" t="s">
        <v>114</v>
      </c>
      <c r="B247" s="67">
        <v>40000</v>
      </c>
    </row>
    <row r="248" spans="1:11" ht="15.5" x14ac:dyDescent="0.35">
      <c r="A248" s="18" t="s">
        <v>112</v>
      </c>
      <c r="B248" s="67">
        <v>40000</v>
      </c>
    </row>
    <row r="249" spans="1:11" ht="15.5" x14ac:dyDescent="0.35">
      <c r="A249" s="18" t="s">
        <v>309</v>
      </c>
      <c r="B249" s="67">
        <v>60000</v>
      </c>
    </row>
    <row r="250" spans="1:11" ht="15.5" x14ac:dyDescent="0.35">
      <c r="A250" s="18" t="s">
        <v>110</v>
      </c>
      <c r="B250" s="67">
        <v>40000</v>
      </c>
    </row>
    <row r="251" spans="1:11" ht="15.5" x14ac:dyDescent="0.35">
      <c r="A251" s="18" t="s">
        <v>111</v>
      </c>
      <c r="B251" s="67">
        <v>40000</v>
      </c>
    </row>
    <row r="252" spans="1:11" ht="15.5" x14ac:dyDescent="0.35">
      <c r="A252" s="18" t="s">
        <v>196</v>
      </c>
      <c r="B252" s="67">
        <v>40000</v>
      </c>
    </row>
    <row r="253" spans="1:11" ht="15.5" x14ac:dyDescent="0.35">
      <c r="A253" s="18" t="s">
        <v>113</v>
      </c>
      <c r="B253" s="67" t="s">
        <v>422</v>
      </c>
    </row>
    <row r="254" spans="1:11" ht="15.5" x14ac:dyDescent="0.35">
      <c r="A254" s="18" t="s">
        <v>209</v>
      </c>
      <c r="B254" s="67">
        <v>40000</v>
      </c>
    </row>
    <row r="255" spans="1:11" ht="15.5" x14ac:dyDescent="0.35">
      <c r="A255" s="18" t="s">
        <v>115</v>
      </c>
      <c r="B255" s="67">
        <v>60000</v>
      </c>
    </row>
    <row r="256" spans="1:11" ht="15.5" x14ac:dyDescent="0.35">
      <c r="A256" s="18" t="s">
        <v>109</v>
      </c>
      <c r="B256" s="67">
        <v>40000</v>
      </c>
    </row>
    <row r="257" spans="1:11" ht="15.5" x14ac:dyDescent="0.35">
      <c r="A257" s="24" t="s">
        <v>4</v>
      </c>
      <c r="B257" s="75">
        <f>SUM(B247:B256)</f>
        <v>400000</v>
      </c>
    </row>
    <row r="258" spans="1:11" ht="15.5" x14ac:dyDescent="0.35">
      <c r="A258" s="24"/>
      <c r="B258" s="17"/>
    </row>
    <row r="260" spans="1:11" ht="18.5" x14ac:dyDescent="0.45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</row>
    <row r="261" spans="1:11" ht="18.5" x14ac:dyDescent="0.45">
      <c r="A261" s="151" t="s">
        <v>1</v>
      </c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</row>
    <row r="262" spans="1:11" ht="18.5" x14ac:dyDescent="0.45">
      <c r="A262" s="150" t="s">
        <v>74</v>
      </c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</row>
    <row r="263" spans="1:11" ht="18.5" x14ac:dyDescent="0.45">
      <c r="A263" s="149">
        <v>46123</v>
      </c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</row>
    <row r="264" spans="1:11" ht="18.5" x14ac:dyDescent="0.45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</row>
    <row r="265" spans="1:11" ht="18.5" x14ac:dyDescent="0.45">
      <c r="A265" s="2" t="s">
        <v>75</v>
      </c>
      <c r="B265" s="2" t="s">
        <v>3</v>
      </c>
      <c r="C265" s="2" t="s">
        <v>100</v>
      </c>
      <c r="D265" s="2" t="s">
        <v>90</v>
      </c>
      <c r="E265" s="2" t="s">
        <v>91</v>
      </c>
      <c r="F265" s="2" t="s">
        <v>4</v>
      </c>
      <c r="G265" s="2" t="s">
        <v>101</v>
      </c>
      <c r="H265" s="2" t="s">
        <v>104</v>
      </c>
      <c r="I265" s="2"/>
      <c r="J265" s="2" t="s">
        <v>105</v>
      </c>
      <c r="K265" s="2" t="s">
        <v>106</v>
      </c>
    </row>
    <row r="266" spans="1:11" ht="15.5" x14ac:dyDescent="0.35">
      <c r="A266" s="3" t="s">
        <v>76</v>
      </c>
      <c r="B266" s="1">
        <v>69</v>
      </c>
      <c r="C266" s="20">
        <v>17500</v>
      </c>
      <c r="D266" s="1">
        <v>36</v>
      </c>
      <c r="E266" s="1">
        <v>33</v>
      </c>
      <c r="F266" s="20">
        <f>C266*B266</f>
        <v>1207500</v>
      </c>
      <c r="G266" s="20">
        <f>D266*C266</f>
        <v>630000</v>
      </c>
      <c r="H266" s="20">
        <f>E266*C266</f>
        <v>577500</v>
      </c>
      <c r="I266" s="20" t="b">
        <f>D266+E266=B266</f>
        <v>1</v>
      </c>
      <c r="J266" s="20">
        <f>B295</f>
        <v>240000</v>
      </c>
      <c r="K266" s="20" t="s">
        <v>117</v>
      </c>
    </row>
    <row r="267" spans="1:11" ht="15.5" x14ac:dyDescent="0.35">
      <c r="A267" s="3" t="s">
        <v>77</v>
      </c>
      <c r="B267" s="1">
        <v>19</v>
      </c>
      <c r="C267" s="20">
        <v>16000</v>
      </c>
      <c r="D267" s="1">
        <v>4</v>
      </c>
      <c r="E267" s="1">
        <v>15</v>
      </c>
      <c r="F267" s="20">
        <f t="shared" ref="F267:G278" si="30">C267*B267</f>
        <v>304000</v>
      </c>
      <c r="G267" s="20">
        <f t="shared" si="30"/>
        <v>64000</v>
      </c>
      <c r="H267" s="20">
        <f t="shared" ref="H267:H280" si="31">E267*C267</f>
        <v>240000</v>
      </c>
      <c r="I267" s="20" t="b">
        <f t="shared" ref="I267:I282" si="32">D267+E267=B267</f>
        <v>1</v>
      </c>
      <c r="J267" s="20">
        <v>3900</v>
      </c>
      <c r="K267" s="20" t="s">
        <v>247</v>
      </c>
    </row>
    <row r="268" spans="1:11" ht="15.5" x14ac:dyDescent="0.35">
      <c r="A268" s="3" t="s">
        <v>78</v>
      </c>
      <c r="B268" s="1">
        <v>44</v>
      </c>
      <c r="C268" s="20">
        <v>17500</v>
      </c>
      <c r="D268" s="1">
        <v>18</v>
      </c>
      <c r="E268" s="1">
        <v>26</v>
      </c>
      <c r="F268" s="20">
        <f t="shared" si="30"/>
        <v>770000</v>
      </c>
      <c r="G268" s="20">
        <f t="shared" si="30"/>
        <v>315000</v>
      </c>
      <c r="H268" s="20">
        <f t="shared" si="31"/>
        <v>455000</v>
      </c>
      <c r="I268" s="20" t="b">
        <f t="shared" si="32"/>
        <v>1</v>
      </c>
      <c r="J268" s="20">
        <v>234000</v>
      </c>
      <c r="K268" s="20" t="s">
        <v>199</v>
      </c>
    </row>
    <row r="269" spans="1:11" ht="15.5" x14ac:dyDescent="0.35">
      <c r="A269" s="3" t="s">
        <v>79</v>
      </c>
      <c r="B269" s="1">
        <v>17</v>
      </c>
      <c r="C269" s="20">
        <v>18500</v>
      </c>
      <c r="D269" s="1">
        <v>9</v>
      </c>
      <c r="E269" s="1">
        <v>8</v>
      </c>
      <c r="F269" s="20">
        <f t="shared" si="30"/>
        <v>314500</v>
      </c>
      <c r="G269" s="20">
        <f t="shared" si="30"/>
        <v>166500</v>
      </c>
      <c r="H269" s="20">
        <f t="shared" si="31"/>
        <v>148000</v>
      </c>
      <c r="I269" s="20" t="b">
        <f t="shared" si="32"/>
        <v>1</v>
      </c>
      <c r="J269" s="20">
        <v>34000</v>
      </c>
      <c r="K269" s="20" t="s">
        <v>107</v>
      </c>
    </row>
    <row r="270" spans="1:11" ht="15.5" x14ac:dyDescent="0.35">
      <c r="A270" s="3" t="s">
        <v>80</v>
      </c>
      <c r="B270" s="1">
        <v>20</v>
      </c>
      <c r="C270" s="20">
        <v>18500</v>
      </c>
      <c r="D270" s="1">
        <v>5</v>
      </c>
      <c r="E270" s="1">
        <v>15</v>
      </c>
      <c r="F270" s="20">
        <f t="shared" si="30"/>
        <v>370000</v>
      </c>
      <c r="G270" s="20">
        <f t="shared" si="30"/>
        <v>92500</v>
      </c>
      <c r="H270" s="20">
        <f t="shared" si="31"/>
        <v>277500</v>
      </c>
      <c r="I270" s="20" t="b">
        <f t="shared" si="32"/>
        <v>1</v>
      </c>
      <c r="J270" s="20">
        <v>215000</v>
      </c>
      <c r="K270" s="20" t="s">
        <v>107</v>
      </c>
    </row>
    <row r="271" spans="1:11" ht="15.5" x14ac:dyDescent="0.35">
      <c r="A271" s="3" t="s">
        <v>81</v>
      </c>
      <c r="B271" s="1">
        <v>12</v>
      </c>
      <c r="C271" s="20">
        <v>23000</v>
      </c>
      <c r="D271" s="1">
        <v>8</v>
      </c>
      <c r="E271" s="1">
        <v>4</v>
      </c>
      <c r="F271" s="20">
        <f t="shared" si="30"/>
        <v>276000</v>
      </c>
      <c r="G271" s="20">
        <f t="shared" si="30"/>
        <v>184000</v>
      </c>
      <c r="H271" s="20">
        <f t="shared" si="31"/>
        <v>92000</v>
      </c>
      <c r="I271" s="20" t="b">
        <f t="shared" si="32"/>
        <v>1</v>
      </c>
      <c r="J271" s="20"/>
      <c r="K271" s="20"/>
    </row>
    <row r="272" spans="1:11" ht="15.5" x14ac:dyDescent="0.35">
      <c r="A272" s="3" t="s">
        <v>82</v>
      </c>
      <c r="B272" s="1"/>
      <c r="C272" s="20">
        <v>18000</v>
      </c>
      <c r="D272" s="1"/>
      <c r="E272" s="1"/>
      <c r="F272" s="20">
        <f t="shared" si="30"/>
        <v>0</v>
      </c>
      <c r="G272" s="20">
        <f t="shared" si="30"/>
        <v>0</v>
      </c>
      <c r="H272" s="20">
        <f t="shared" si="31"/>
        <v>0</v>
      </c>
      <c r="I272" s="20" t="b">
        <f t="shared" si="32"/>
        <v>1</v>
      </c>
      <c r="J272" s="20"/>
      <c r="K272" s="20"/>
    </row>
    <row r="273" spans="1:11" ht="15.5" x14ac:dyDescent="0.35">
      <c r="A273" s="3" t="s">
        <v>83</v>
      </c>
      <c r="B273" s="1"/>
      <c r="C273" s="20">
        <v>18000</v>
      </c>
      <c r="D273" s="1"/>
      <c r="E273" s="1"/>
      <c r="F273" s="20">
        <f t="shared" si="30"/>
        <v>0</v>
      </c>
      <c r="G273" s="20">
        <f t="shared" si="30"/>
        <v>0</v>
      </c>
      <c r="H273" s="20">
        <f t="shared" si="31"/>
        <v>0</v>
      </c>
      <c r="I273" s="20" t="b">
        <f t="shared" si="32"/>
        <v>1</v>
      </c>
      <c r="J273" s="20"/>
      <c r="K273" s="20"/>
    </row>
    <row r="274" spans="1:11" ht="15.5" x14ac:dyDescent="0.35">
      <c r="A274" s="3" t="s">
        <v>84</v>
      </c>
      <c r="B274" s="1"/>
      <c r="C274" s="20">
        <v>18500</v>
      </c>
      <c r="D274" s="1"/>
      <c r="E274" s="1"/>
      <c r="F274" s="20">
        <f t="shared" si="30"/>
        <v>0</v>
      </c>
      <c r="G274" s="20">
        <f t="shared" si="30"/>
        <v>0</v>
      </c>
      <c r="H274" s="20">
        <f t="shared" si="31"/>
        <v>0</v>
      </c>
      <c r="I274" s="20" t="b">
        <f t="shared" si="32"/>
        <v>1</v>
      </c>
      <c r="J274" s="20"/>
      <c r="K274" s="20"/>
    </row>
    <row r="275" spans="1:11" ht="15.5" x14ac:dyDescent="0.35">
      <c r="A275" s="3" t="s">
        <v>85</v>
      </c>
      <c r="B275" s="1">
        <v>20</v>
      </c>
      <c r="C275" s="20">
        <v>18500</v>
      </c>
      <c r="D275" s="1">
        <v>8</v>
      </c>
      <c r="E275" s="1">
        <v>12</v>
      </c>
      <c r="F275" s="20">
        <f t="shared" si="30"/>
        <v>370000</v>
      </c>
      <c r="G275" s="20">
        <f t="shared" si="30"/>
        <v>148000</v>
      </c>
      <c r="H275" s="20">
        <f t="shared" si="31"/>
        <v>222000</v>
      </c>
      <c r="I275" s="20" t="b">
        <f t="shared" si="32"/>
        <v>1</v>
      </c>
      <c r="J275" s="20"/>
      <c r="K275" s="20"/>
    </row>
    <row r="276" spans="1:11" ht="15.5" x14ac:dyDescent="0.35">
      <c r="A276" s="3" t="s">
        <v>86</v>
      </c>
      <c r="B276" s="1">
        <v>4</v>
      </c>
      <c r="C276" s="20">
        <v>18500</v>
      </c>
      <c r="D276" s="1"/>
      <c r="E276" s="1">
        <v>4</v>
      </c>
      <c r="F276" s="20">
        <f t="shared" si="30"/>
        <v>74000</v>
      </c>
      <c r="G276" s="20">
        <f t="shared" si="30"/>
        <v>0</v>
      </c>
      <c r="H276" s="20">
        <f t="shared" si="31"/>
        <v>74000</v>
      </c>
      <c r="I276" s="20" t="b">
        <f t="shared" si="32"/>
        <v>1</v>
      </c>
      <c r="J276" s="20"/>
      <c r="K276" s="20"/>
    </row>
    <row r="277" spans="1:11" ht="15.5" x14ac:dyDescent="0.35">
      <c r="A277" s="3" t="s">
        <v>87</v>
      </c>
      <c r="B277" s="1"/>
      <c r="C277" s="20">
        <v>18500</v>
      </c>
      <c r="D277" s="1"/>
      <c r="E277" s="1"/>
      <c r="F277" s="20">
        <f t="shared" si="30"/>
        <v>0</v>
      </c>
      <c r="G277" s="20">
        <f t="shared" si="30"/>
        <v>0</v>
      </c>
      <c r="H277" s="20">
        <f t="shared" si="31"/>
        <v>0</v>
      </c>
      <c r="I277" s="20" t="b">
        <f t="shared" si="32"/>
        <v>1</v>
      </c>
      <c r="J277" s="20"/>
      <c r="K277" s="20"/>
    </row>
    <row r="278" spans="1:11" ht="15.5" x14ac:dyDescent="0.35">
      <c r="A278" s="3" t="s">
        <v>88</v>
      </c>
      <c r="B278" s="1"/>
      <c r="C278" s="20">
        <v>18500</v>
      </c>
      <c r="D278" s="1"/>
      <c r="E278" s="1"/>
      <c r="F278" s="20">
        <f t="shared" si="30"/>
        <v>0</v>
      </c>
      <c r="G278" s="20">
        <f t="shared" si="30"/>
        <v>0</v>
      </c>
      <c r="H278" s="20">
        <f t="shared" si="31"/>
        <v>0</v>
      </c>
      <c r="I278" s="20" t="b">
        <f t="shared" si="32"/>
        <v>1</v>
      </c>
      <c r="J278" s="20"/>
      <c r="K278" s="20"/>
    </row>
    <row r="279" spans="1:11" ht="15.5" x14ac:dyDescent="0.35">
      <c r="A279" s="19" t="s">
        <v>89</v>
      </c>
      <c r="B279" s="1"/>
      <c r="C279" s="20"/>
      <c r="D279" s="1"/>
      <c r="E279" s="1"/>
      <c r="F279" s="20"/>
      <c r="G279" s="20"/>
      <c r="H279" s="20">
        <f t="shared" si="31"/>
        <v>0</v>
      </c>
      <c r="I279" s="20" t="b">
        <f t="shared" si="32"/>
        <v>1</v>
      </c>
      <c r="J279" s="20"/>
      <c r="K279" s="20"/>
    </row>
    <row r="280" spans="1:11" ht="15.5" x14ac:dyDescent="0.35">
      <c r="A280" s="3" t="s">
        <v>92</v>
      </c>
      <c r="B280" s="1">
        <v>31</v>
      </c>
      <c r="C280" s="20">
        <v>21500</v>
      </c>
      <c r="D280" s="1">
        <v>16</v>
      </c>
      <c r="E280" s="1">
        <v>15</v>
      </c>
      <c r="F280" s="20">
        <f t="shared" ref="F280:G282" si="33">C280*B280</f>
        <v>666500</v>
      </c>
      <c r="G280" s="20">
        <f t="shared" si="33"/>
        <v>344000</v>
      </c>
      <c r="H280" s="20">
        <f t="shared" si="31"/>
        <v>322500</v>
      </c>
      <c r="I280" s="20" t="b">
        <f t="shared" si="32"/>
        <v>1</v>
      </c>
      <c r="J280" s="20"/>
      <c r="K280" s="20"/>
    </row>
    <row r="281" spans="1:11" ht="15.5" x14ac:dyDescent="0.35">
      <c r="A281" s="3" t="s">
        <v>93</v>
      </c>
      <c r="B281" s="1">
        <v>4</v>
      </c>
      <c r="C281" s="20">
        <v>21500</v>
      </c>
      <c r="D281" s="1">
        <v>2</v>
      </c>
      <c r="E281" s="1">
        <v>2</v>
      </c>
      <c r="F281" s="20">
        <f t="shared" si="33"/>
        <v>86000</v>
      </c>
      <c r="G281" s="20">
        <f t="shared" si="33"/>
        <v>43000</v>
      </c>
      <c r="H281" s="20">
        <f>E281*C281</f>
        <v>43000</v>
      </c>
      <c r="I281" s="20" t="b">
        <f t="shared" si="32"/>
        <v>1</v>
      </c>
      <c r="J281" s="20"/>
      <c r="K281" s="20"/>
    </row>
    <row r="282" spans="1:11" ht="15.5" x14ac:dyDescent="0.35">
      <c r="A282" s="3" t="s">
        <v>94</v>
      </c>
      <c r="B282" s="1"/>
      <c r="C282" s="20">
        <v>21500</v>
      </c>
      <c r="D282" s="1">
        <v>0</v>
      </c>
      <c r="E282" s="1">
        <v>0</v>
      </c>
      <c r="F282" s="20">
        <f t="shared" si="33"/>
        <v>0</v>
      </c>
      <c r="G282" s="20">
        <f t="shared" si="33"/>
        <v>0</v>
      </c>
      <c r="H282" s="1">
        <f>E282*C282</f>
        <v>0</v>
      </c>
      <c r="I282" s="20" t="b">
        <f t="shared" si="32"/>
        <v>1</v>
      </c>
      <c r="J282" s="20"/>
      <c r="K282" s="20"/>
    </row>
    <row r="283" spans="1:11" ht="15.5" x14ac:dyDescent="0.35">
      <c r="A283" s="19"/>
      <c r="B283" s="22">
        <f>SUM(B266:B282)</f>
        <v>240</v>
      </c>
      <c r="C283" s="20"/>
      <c r="D283" s="1"/>
      <c r="E283" s="1"/>
      <c r="F283" s="23">
        <f>SUM(F266:F282)</f>
        <v>4438500</v>
      </c>
      <c r="G283" s="23">
        <f>SUM(G266:G282)</f>
        <v>1987000</v>
      </c>
      <c r="H283" s="23">
        <f>SUM(H266:H282)</f>
        <v>2451500</v>
      </c>
      <c r="I283" s="23"/>
      <c r="J283" s="23">
        <f>SUM(J266:J282)</f>
        <v>726900</v>
      </c>
      <c r="K283" s="23"/>
    </row>
    <row r="284" spans="1:11" ht="15.5" x14ac:dyDescent="0.35">
      <c r="A284" s="19" t="s">
        <v>95</v>
      </c>
      <c r="B284" s="1"/>
      <c r="C284" s="20"/>
      <c r="D284" s="1"/>
      <c r="E284" s="1"/>
      <c r="F284" s="20"/>
      <c r="G284" s="20"/>
      <c r="H284" s="20" t="s">
        <v>192</v>
      </c>
      <c r="I284" s="20"/>
      <c r="J284" s="20"/>
      <c r="K284" s="20"/>
    </row>
    <row r="285" spans="1:11" ht="15.5" x14ac:dyDescent="0.35">
      <c r="A285" s="3" t="s">
        <v>96</v>
      </c>
      <c r="B285" s="1"/>
      <c r="C285" s="20">
        <v>3000</v>
      </c>
      <c r="D285" s="1"/>
      <c r="E285" s="20"/>
      <c r="F285" s="20">
        <f t="shared" ref="F285:F288" si="34">C285*B285</f>
        <v>0</v>
      </c>
      <c r="G285" s="20"/>
      <c r="H285" s="20"/>
      <c r="I285" s="20"/>
      <c r="J285" s="20"/>
      <c r="K285" s="20"/>
    </row>
    <row r="286" spans="1:11" ht="15.5" x14ac:dyDescent="0.35">
      <c r="A286" s="3" t="s">
        <v>97</v>
      </c>
      <c r="B286" s="1"/>
      <c r="C286" s="20">
        <v>2500</v>
      </c>
      <c r="D286" s="1"/>
      <c r="E286" s="1"/>
      <c r="F286" s="20">
        <f t="shared" si="34"/>
        <v>0</v>
      </c>
      <c r="G286" s="20"/>
      <c r="H286" s="20"/>
      <c r="I286" s="20"/>
      <c r="J286" s="20"/>
      <c r="K286" s="20"/>
    </row>
    <row r="287" spans="1:11" ht="15.5" x14ac:dyDescent="0.35">
      <c r="A287" s="3" t="s">
        <v>98</v>
      </c>
      <c r="B287" s="1"/>
      <c r="C287" s="20">
        <v>1800</v>
      </c>
      <c r="D287" s="1"/>
      <c r="E287" s="1"/>
      <c r="F287" s="20">
        <f t="shared" si="34"/>
        <v>0</v>
      </c>
      <c r="G287" s="20"/>
      <c r="H287" s="20"/>
      <c r="I287" s="20"/>
      <c r="J287" s="20"/>
      <c r="K287" s="20"/>
    </row>
    <row r="288" spans="1:11" ht="15.5" x14ac:dyDescent="0.35">
      <c r="A288" s="3" t="s">
        <v>99</v>
      </c>
      <c r="B288" s="1"/>
      <c r="C288" s="20">
        <v>3500</v>
      </c>
      <c r="D288" s="1"/>
      <c r="E288" s="1"/>
      <c r="F288" s="20">
        <f t="shared" si="34"/>
        <v>0</v>
      </c>
      <c r="G288" s="20"/>
      <c r="H288" s="20"/>
      <c r="I288" s="20"/>
      <c r="J288" s="20"/>
      <c r="K288" s="20"/>
    </row>
    <row r="289" spans="1:11" ht="15.5" x14ac:dyDescent="0.35">
      <c r="A289" s="18"/>
      <c r="F289" s="21"/>
    </row>
    <row r="290" spans="1:11" ht="15.5" x14ac:dyDescent="0.35">
      <c r="A290" s="24" t="s">
        <v>108</v>
      </c>
      <c r="K290" s="21"/>
    </row>
    <row r="291" spans="1:11" ht="15.5" x14ac:dyDescent="0.35">
      <c r="A291" s="18" t="s">
        <v>114</v>
      </c>
      <c r="B291" s="67">
        <v>60000</v>
      </c>
    </row>
    <row r="292" spans="1:11" ht="15.5" x14ac:dyDescent="0.35">
      <c r="A292" s="18" t="s">
        <v>112</v>
      </c>
      <c r="B292" s="67">
        <v>60000</v>
      </c>
    </row>
    <row r="293" spans="1:11" ht="15.5" x14ac:dyDescent="0.35">
      <c r="A293" s="18" t="s">
        <v>110</v>
      </c>
      <c r="B293" s="67">
        <v>60000</v>
      </c>
    </row>
    <row r="294" spans="1:11" ht="15.5" x14ac:dyDescent="0.35">
      <c r="A294" s="18" t="s">
        <v>111</v>
      </c>
      <c r="B294" s="67">
        <v>60000</v>
      </c>
    </row>
    <row r="295" spans="1:11" ht="15.5" x14ac:dyDescent="0.35">
      <c r="A295" s="24" t="s">
        <v>4</v>
      </c>
      <c r="B295" s="75">
        <f>SUM(B291:B294)</f>
        <v>240000</v>
      </c>
    </row>
    <row r="296" spans="1:11" ht="15.5" x14ac:dyDescent="0.35">
      <c r="A296" s="24"/>
      <c r="B296" s="17"/>
    </row>
    <row r="297" spans="1:11" ht="15.5" x14ac:dyDescent="0.35">
      <c r="A297" s="24"/>
      <c r="B297" s="17"/>
    </row>
    <row r="299" spans="1:11" ht="18.5" x14ac:dyDescent="0.45">
      <c r="A299" s="151" t="s">
        <v>1</v>
      </c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</row>
    <row r="300" spans="1:11" ht="18.5" x14ac:dyDescent="0.45">
      <c r="A300" s="150" t="s">
        <v>74</v>
      </c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</row>
    <row r="301" spans="1:11" ht="18.5" x14ac:dyDescent="0.45">
      <c r="A301" s="149">
        <v>46125</v>
      </c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</row>
    <row r="302" spans="1:11" ht="18.5" x14ac:dyDescent="0.45">
      <c r="A302" s="150"/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</row>
    <row r="303" spans="1:11" ht="18.5" x14ac:dyDescent="0.45">
      <c r="A303" s="2" t="s">
        <v>75</v>
      </c>
      <c r="B303" s="2" t="s">
        <v>3</v>
      </c>
      <c r="C303" s="2" t="s">
        <v>100</v>
      </c>
      <c r="D303" s="2" t="s">
        <v>90</v>
      </c>
      <c r="E303" s="2" t="s">
        <v>91</v>
      </c>
      <c r="F303" s="2" t="s">
        <v>4</v>
      </c>
      <c r="G303" s="2" t="s">
        <v>101</v>
      </c>
      <c r="H303" s="2" t="s">
        <v>104</v>
      </c>
      <c r="I303" s="2"/>
      <c r="J303" s="2" t="s">
        <v>105</v>
      </c>
      <c r="K303" s="2" t="s">
        <v>106</v>
      </c>
    </row>
    <row r="304" spans="1:11" ht="15.5" x14ac:dyDescent="0.35">
      <c r="A304" s="3" t="s">
        <v>76</v>
      </c>
      <c r="B304" s="1">
        <v>127</v>
      </c>
      <c r="C304" s="20">
        <v>17500</v>
      </c>
      <c r="D304" s="1">
        <v>66</v>
      </c>
      <c r="E304" s="1">
        <v>61</v>
      </c>
      <c r="F304" s="20">
        <f>C304*B304</f>
        <v>2222500</v>
      </c>
      <c r="G304" s="20">
        <f>D304*C304</f>
        <v>1155000</v>
      </c>
      <c r="H304" s="20">
        <f>E304*C304</f>
        <v>1067500</v>
      </c>
      <c r="I304" s="20" t="b">
        <f>D304+E304=B304</f>
        <v>1</v>
      </c>
      <c r="J304" s="20">
        <f>B339</f>
        <v>400000</v>
      </c>
      <c r="K304" s="20" t="s">
        <v>117</v>
      </c>
    </row>
    <row r="305" spans="1:11" ht="15.5" x14ac:dyDescent="0.35">
      <c r="A305" s="3" t="s">
        <v>77</v>
      </c>
      <c r="B305" s="1">
        <v>13</v>
      </c>
      <c r="C305" s="20">
        <v>16000</v>
      </c>
      <c r="D305" s="1">
        <v>2</v>
      </c>
      <c r="E305" s="1">
        <v>11</v>
      </c>
      <c r="F305" s="20">
        <f t="shared" ref="F305:G316" si="35">C305*B305</f>
        <v>208000</v>
      </c>
      <c r="G305" s="20">
        <f t="shared" si="35"/>
        <v>32000</v>
      </c>
      <c r="H305" s="20">
        <f t="shared" ref="H305:H320" si="36">E305*C305</f>
        <v>176000</v>
      </c>
      <c r="I305" s="20" t="b">
        <f t="shared" ref="I305:I320" si="37">D305+E305=B305</f>
        <v>1</v>
      </c>
      <c r="J305" s="20">
        <v>30000</v>
      </c>
      <c r="K305" s="20" t="s">
        <v>259</v>
      </c>
    </row>
    <row r="306" spans="1:11" ht="15.5" x14ac:dyDescent="0.35">
      <c r="A306" s="3" t="s">
        <v>78</v>
      </c>
      <c r="B306" s="1">
        <v>53</v>
      </c>
      <c r="C306" s="20">
        <v>17500</v>
      </c>
      <c r="D306" s="1">
        <v>24</v>
      </c>
      <c r="E306" s="1">
        <v>29</v>
      </c>
      <c r="F306" s="20">
        <f t="shared" si="35"/>
        <v>927500</v>
      </c>
      <c r="G306" s="20">
        <f t="shared" si="35"/>
        <v>420000</v>
      </c>
      <c r="H306" s="20">
        <f t="shared" si="36"/>
        <v>507500</v>
      </c>
      <c r="I306" s="20" t="b">
        <f t="shared" si="37"/>
        <v>1</v>
      </c>
      <c r="J306" s="20">
        <v>30000</v>
      </c>
      <c r="K306" s="20" t="s">
        <v>424</v>
      </c>
    </row>
    <row r="307" spans="1:11" ht="15.5" x14ac:dyDescent="0.35">
      <c r="A307" s="3" t="s">
        <v>79</v>
      </c>
      <c r="B307" s="1">
        <v>35</v>
      </c>
      <c r="C307" s="20">
        <v>18500</v>
      </c>
      <c r="D307" s="1">
        <v>13</v>
      </c>
      <c r="E307" s="1">
        <v>22</v>
      </c>
      <c r="F307" s="20">
        <f t="shared" si="35"/>
        <v>647500</v>
      </c>
      <c r="G307" s="20">
        <f t="shared" si="35"/>
        <v>240500</v>
      </c>
      <c r="H307" s="20">
        <f t="shared" si="36"/>
        <v>407000</v>
      </c>
      <c r="I307" s="20" t="b">
        <f t="shared" si="37"/>
        <v>1</v>
      </c>
      <c r="J307" s="20">
        <v>315000</v>
      </c>
      <c r="K307" s="20" t="s">
        <v>199</v>
      </c>
    </row>
    <row r="308" spans="1:11" ht="15.5" x14ac:dyDescent="0.35">
      <c r="A308" s="3" t="s">
        <v>80</v>
      </c>
      <c r="B308" s="1"/>
      <c r="C308" s="20">
        <v>18500</v>
      </c>
      <c r="D308" s="1"/>
      <c r="E308" s="1"/>
      <c r="F308" s="20">
        <f t="shared" si="35"/>
        <v>0</v>
      </c>
      <c r="G308" s="20">
        <f t="shared" si="35"/>
        <v>0</v>
      </c>
      <c r="H308" s="20">
        <f t="shared" si="36"/>
        <v>0</v>
      </c>
      <c r="I308" s="20" t="b">
        <f t="shared" si="37"/>
        <v>1</v>
      </c>
      <c r="J308" s="20">
        <v>360000</v>
      </c>
      <c r="K308" s="20" t="s">
        <v>107</v>
      </c>
    </row>
    <row r="309" spans="1:11" ht="15.5" x14ac:dyDescent="0.35">
      <c r="A309" s="3" t="s">
        <v>81</v>
      </c>
      <c r="B309" s="1"/>
      <c r="C309" s="20">
        <v>23000</v>
      </c>
      <c r="D309" s="1"/>
      <c r="E309" s="1"/>
      <c r="F309" s="20">
        <f t="shared" si="35"/>
        <v>0</v>
      </c>
      <c r="G309" s="20">
        <f t="shared" si="35"/>
        <v>0</v>
      </c>
      <c r="H309" s="20">
        <f t="shared" si="36"/>
        <v>0</v>
      </c>
      <c r="I309" s="20" t="b">
        <f t="shared" si="37"/>
        <v>1</v>
      </c>
      <c r="J309" s="20"/>
      <c r="K309" s="20"/>
    </row>
    <row r="310" spans="1:11" ht="15.5" x14ac:dyDescent="0.35">
      <c r="A310" s="3" t="s">
        <v>82</v>
      </c>
      <c r="B310" s="1">
        <v>36</v>
      </c>
      <c r="C310" s="20">
        <v>18000</v>
      </c>
      <c r="D310" s="1">
        <v>21</v>
      </c>
      <c r="E310" s="1">
        <v>15</v>
      </c>
      <c r="F310" s="20">
        <f t="shared" si="35"/>
        <v>648000</v>
      </c>
      <c r="G310" s="20">
        <f t="shared" si="35"/>
        <v>378000</v>
      </c>
      <c r="H310" s="20">
        <f t="shared" si="36"/>
        <v>270000</v>
      </c>
      <c r="I310" s="20" t="b">
        <f t="shared" si="37"/>
        <v>1</v>
      </c>
      <c r="J310" s="20"/>
      <c r="K310" s="20"/>
    </row>
    <row r="311" spans="1:11" ht="15.5" x14ac:dyDescent="0.35">
      <c r="A311" s="3" t="s">
        <v>83</v>
      </c>
      <c r="B311" s="1"/>
      <c r="C311" s="20">
        <v>18000</v>
      </c>
      <c r="D311" s="1"/>
      <c r="E311" s="1"/>
      <c r="F311" s="20">
        <f t="shared" si="35"/>
        <v>0</v>
      </c>
      <c r="G311" s="20">
        <f t="shared" si="35"/>
        <v>0</v>
      </c>
      <c r="H311" s="20">
        <f t="shared" si="36"/>
        <v>0</v>
      </c>
      <c r="I311" s="20" t="b">
        <f t="shared" si="37"/>
        <v>1</v>
      </c>
      <c r="J311" s="20"/>
      <c r="K311" s="20"/>
    </row>
    <row r="312" spans="1:11" ht="15.5" x14ac:dyDescent="0.35">
      <c r="A312" s="3" t="s">
        <v>84</v>
      </c>
      <c r="B312" s="1"/>
      <c r="C312" s="20">
        <v>18500</v>
      </c>
      <c r="D312" s="1"/>
      <c r="E312" s="1"/>
      <c r="F312" s="20">
        <f t="shared" si="35"/>
        <v>0</v>
      </c>
      <c r="G312" s="20">
        <f t="shared" si="35"/>
        <v>0</v>
      </c>
      <c r="H312" s="20">
        <f t="shared" si="36"/>
        <v>0</v>
      </c>
      <c r="I312" s="20" t="b">
        <f t="shared" si="37"/>
        <v>1</v>
      </c>
      <c r="J312" s="20"/>
      <c r="K312" s="20"/>
    </row>
    <row r="313" spans="1:11" ht="15.5" x14ac:dyDescent="0.35">
      <c r="A313" s="3" t="s">
        <v>85</v>
      </c>
      <c r="B313" s="1"/>
      <c r="C313" s="20">
        <v>18500</v>
      </c>
      <c r="D313" s="1"/>
      <c r="E313" s="1"/>
      <c r="F313" s="20">
        <f t="shared" si="35"/>
        <v>0</v>
      </c>
      <c r="G313" s="20">
        <f t="shared" si="35"/>
        <v>0</v>
      </c>
      <c r="H313" s="20">
        <f t="shared" si="36"/>
        <v>0</v>
      </c>
      <c r="I313" s="20" t="b">
        <f t="shared" si="37"/>
        <v>1</v>
      </c>
      <c r="J313" s="20"/>
      <c r="K313" s="20"/>
    </row>
    <row r="314" spans="1:11" ht="15.5" x14ac:dyDescent="0.35">
      <c r="A314" s="3" t="s">
        <v>86</v>
      </c>
      <c r="B314" s="1">
        <v>7</v>
      </c>
      <c r="C314" s="20">
        <v>18500</v>
      </c>
      <c r="D314" s="1">
        <v>2</v>
      </c>
      <c r="E314" s="1">
        <v>5</v>
      </c>
      <c r="F314" s="20">
        <f t="shared" si="35"/>
        <v>129500</v>
      </c>
      <c r="G314" s="20">
        <f t="shared" si="35"/>
        <v>37000</v>
      </c>
      <c r="H314" s="20">
        <f t="shared" si="36"/>
        <v>92500</v>
      </c>
      <c r="I314" s="20" t="b">
        <f t="shared" si="37"/>
        <v>1</v>
      </c>
      <c r="J314" s="20"/>
      <c r="K314" s="20"/>
    </row>
    <row r="315" spans="1:11" ht="15.5" x14ac:dyDescent="0.35">
      <c r="A315" s="3" t="s">
        <v>87</v>
      </c>
      <c r="B315" s="1"/>
      <c r="C315" s="20">
        <v>18500</v>
      </c>
      <c r="D315" s="1"/>
      <c r="E315" s="1"/>
      <c r="F315" s="20">
        <f t="shared" si="35"/>
        <v>0</v>
      </c>
      <c r="G315" s="20">
        <f t="shared" si="35"/>
        <v>0</v>
      </c>
      <c r="H315" s="20">
        <f t="shared" si="36"/>
        <v>0</v>
      </c>
      <c r="I315" s="20" t="b">
        <f t="shared" si="37"/>
        <v>1</v>
      </c>
      <c r="J315" s="20"/>
      <c r="K315" s="20"/>
    </row>
    <row r="316" spans="1:11" ht="15.5" x14ac:dyDescent="0.35">
      <c r="A316" s="3" t="s">
        <v>88</v>
      </c>
      <c r="B316" s="1">
        <v>11</v>
      </c>
      <c r="C316" s="20">
        <v>18500</v>
      </c>
      <c r="D316" s="1">
        <v>5</v>
      </c>
      <c r="E316" s="1">
        <v>7</v>
      </c>
      <c r="F316" s="20">
        <f t="shared" si="35"/>
        <v>203500</v>
      </c>
      <c r="G316" s="20">
        <f t="shared" si="35"/>
        <v>92500</v>
      </c>
      <c r="H316" s="20">
        <f t="shared" si="36"/>
        <v>129500</v>
      </c>
      <c r="I316" s="20" t="b">
        <f t="shared" si="37"/>
        <v>0</v>
      </c>
      <c r="J316" s="20"/>
      <c r="K316" s="20"/>
    </row>
    <row r="317" spans="1:11" ht="15.5" x14ac:dyDescent="0.35">
      <c r="A317" s="19" t="s">
        <v>89</v>
      </c>
      <c r="B317" s="1"/>
      <c r="C317" s="20"/>
      <c r="D317" s="1"/>
      <c r="E317" s="1"/>
      <c r="F317" s="20"/>
      <c r="G317" s="20"/>
      <c r="H317" s="20">
        <f t="shared" si="36"/>
        <v>0</v>
      </c>
      <c r="I317" s="20" t="b">
        <f t="shared" si="37"/>
        <v>1</v>
      </c>
      <c r="J317" s="20"/>
      <c r="K317" s="20"/>
    </row>
    <row r="318" spans="1:11" ht="15.5" x14ac:dyDescent="0.35">
      <c r="A318" s="3" t="s">
        <v>92</v>
      </c>
      <c r="B318" s="1">
        <v>31</v>
      </c>
      <c r="C318" s="20">
        <v>21500</v>
      </c>
      <c r="D318" s="1">
        <v>14</v>
      </c>
      <c r="E318" s="1">
        <v>17</v>
      </c>
      <c r="F318" s="20">
        <f t="shared" ref="F318:G320" si="38">C318*B318</f>
        <v>666500</v>
      </c>
      <c r="G318" s="20">
        <f t="shared" si="38"/>
        <v>301000</v>
      </c>
      <c r="H318" s="20">
        <f t="shared" si="36"/>
        <v>365500</v>
      </c>
      <c r="I318" s="20" t="b">
        <f t="shared" si="37"/>
        <v>1</v>
      </c>
      <c r="J318" s="20"/>
      <c r="K318" s="20"/>
    </row>
    <row r="319" spans="1:11" ht="15.5" x14ac:dyDescent="0.35">
      <c r="A319" s="3" t="s">
        <v>93</v>
      </c>
      <c r="B319" s="1"/>
      <c r="C319" s="20">
        <v>21500</v>
      </c>
      <c r="D319" s="1"/>
      <c r="E319" s="1"/>
      <c r="F319" s="20">
        <f t="shared" si="38"/>
        <v>0</v>
      </c>
      <c r="G319" s="20">
        <f t="shared" si="38"/>
        <v>0</v>
      </c>
      <c r="H319" s="20">
        <f t="shared" si="36"/>
        <v>0</v>
      </c>
      <c r="I319" s="20" t="b">
        <f t="shared" si="37"/>
        <v>1</v>
      </c>
      <c r="J319" s="20"/>
      <c r="K319" s="20"/>
    </row>
    <row r="320" spans="1:11" ht="15.5" x14ac:dyDescent="0.35">
      <c r="A320" s="3" t="s">
        <v>94</v>
      </c>
      <c r="B320" s="1">
        <v>27</v>
      </c>
      <c r="C320" s="20">
        <v>21500</v>
      </c>
      <c r="D320" s="1">
        <v>12</v>
      </c>
      <c r="E320" s="1">
        <v>15</v>
      </c>
      <c r="F320" s="20">
        <f t="shared" si="38"/>
        <v>580500</v>
      </c>
      <c r="G320" s="20">
        <f t="shared" si="38"/>
        <v>258000</v>
      </c>
      <c r="H320" s="20">
        <f t="shared" si="36"/>
        <v>322500</v>
      </c>
      <c r="I320" s="20" t="b">
        <f t="shared" si="37"/>
        <v>1</v>
      </c>
      <c r="J320" s="20"/>
      <c r="K320" s="20"/>
    </row>
    <row r="321" spans="1:11" ht="15.5" x14ac:dyDescent="0.35">
      <c r="A321" s="19"/>
      <c r="B321" s="22">
        <f>SUM(B304:B320)</f>
        <v>340</v>
      </c>
      <c r="C321" s="20"/>
      <c r="D321" s="1"/>
      <c r="E321" s="1"/>
      <c r="F321" s="23">
        <f>SUM(F304:F320)</f>
        <v>6233500</v>
      </c>
      <c r="G321" s="23">
        <f>SUM(G304:G320)</f>
        <v>2914000</v>
      </c>
      <c r="H321" s="23">
        <f>SUM(H304:H320)</f>
        <v>3338000</v>
      </c>
      <c r="I321" s="23"/>
      <c r="J321" s="23">
        <f>SUM(J304:J320)</f>
        <v>1135000</v>
      </c>
      <c r="K321" s="23">
        <f>H321-J321</f>
        <v>2203000</v>
      </c>
    </row>
    <row r="322" spans="1:11" ht="15.5" x14ac:dyDescent="0.35">
      <c r="A322" s="19" t="s">
        <v>95</v>
      </c>
      <c r="B322" s="1"/>
      <c r="C322" s="20"/>
      <c r="D322" s="1"/>
      <c r="E322" s="1"/>
      <c r="F322" s="20"/>
      <c r="G322" s="20"/>
      <c r="H322" s="20" t="s">
        <v>192</v>
      </c>
      <c r="I322" s="20"/>
      <c r="J322" s="20"/>
      <c r="K322" s="20"/>
    </row>
    <row r="323" spans="1:11" ht="15.5" x14ac:dyDescent="0.35">
      <c r="A323" s="3" t="s">
        <v>96</v>
      </c>
      <c r="B323" s="1"/>
      <c r="C323" s="20">
        <v>3000</v>
      </c>
      <c r="D323" s="1"/>
      <c r="E323" s="20"/>
      <c r="F323" s="20">
        <f t="shared" ref="F323:F326" si="39">C323*B323</f>
        <v>0</v>
      </c>
      <c r="G323" s="20"/>
      <c r="H323" s="20"/>
      <c r="I323" s="20"/>
      <c r="J323" s="20"/>
      <c r="K323" s="20"/>
    </row>
    <row r="324" spans="1:11" ht="15.5" x14ac:dyDescent="0.35">
      <c r="A324" s="3" t="s">
        <v>97</v>
      </c>
      <c r="B324" s="1"/>
      <c r="C324" s="20">
        <v>2500</v>
      </c>
      <c r="D324" s="1"/>
      <c r="E324" s="1"/>
      <c r="F324" s="20">
        <f t="shared" si="39"/>
        <v>0</v>
      </c>
      <c r="G324" s="20"/>
      <c r="H324" s="20"/>
      <c r="I324" s="20"/>
      <c r="J324" s="20"/>
      <c r="K324" s="20"/>
    </row>
    <row r="325" spans="1:11" ht="15.5" x14ac:dyDescent="0.35">
      <c r="A325" s="3" t="s">
        <v>98</v>
      </c>
      <c r="B325" s="1"/>
      <c r="C325" s="20">
        <v>1800</v>
      </c>
      <c r="D325" s="1"/>
      <c r="E325" s="1"/>
      <c r="F325" s="20">
        <f t="shared" si="39"/>
        <v>0</v>
      </c>
      <c r="G325" s="20"/>
      <c r="H325" s="20"/>
      <c r="I325" s="20"/>
      <c r="J325" s="20"/>
      <c r="K325" s="20"/>
    </row>
    <row r="326" spans="1:11" ht="15.5" x14ac:dyDescent="0.35">
      <c r="A326" s="3" t="s">
        <v>99</v>
      </c>
      <c r="B326" s="1"/>
      <c r="C326" s="20">
        <v>3500</v>
      </c>
      <c r="D326" s="1"/>
      <c r="E326" s="1"/>
      <c r="F326" s="20">
        <f t="shared" si="39"/>
        <v>0</v>
      </c>
      <c r="G326" s="20"/>
      <c r="H326" s="20"/>
      <c r="I326" s="20"/>
      <c r="J326" s="20"/>
      <c r="K326" s="20"/>
    </row>
    <row r="327" spans="1:11" ht="15.5" x14ac:dyDescent="0.35">
      <c r="A327" s="18"/>
      <c r="F327" s="21"/>
    </row>
    <row r="328" spans="1:11" ht="15.5" x14ac:dyDescent="0.35">
      <c r="A328" s="24" t="s">
        <v>108</v>
      </c>
      <c r="K328" s="21"/>
    </row>
    <row r="329" spans="1:11" ht="15.5" x14ac:dyDescent="0.35">
      <c r="A329" s="18" t="s">
        <v>114</v>
      </c>
      <c r="B329" s="67">
        <v>40000</v>
      </c>
    </row>
    <row r="330" spans="1:11" ht="15.5" x14ac:dyDescent="0.35">
      <c r="A330" s="18" t="s">
        <v>112</v>
      </c>
      <c r="B330" s="67">
        <v>40000</v>
      </c>
    </row>
    <row r="331" spans="1:11" ht="15.5" x14ac:dyDescent="0.35">
      <c r="A331" s="18" t="s">
        <v>309</v>
      </c>
      <c r="B331" s="67">
        <v>60000</v>
      </c>
    </row>
    <row r="332" spans="1:11" ht="15.5" x14ac:dyDescent="0.35">
      <c r="A332" s="18" t="s">
        <v>110</v>
      </c>
      <c r="B332" s="67">
        <v>40000</v>
      </c>
    </row>
    <row r="333" spans="1:11" ht="15.5" x14ac:dyDescent="0.35">
      <c r="A333" s="18" t="s">
        <v>111</v>
      </c>
      <c r="B333" s="67">
        <v>40000</v>
      </c>
    </row>
    <row r="334" spans="1:11" ht="15.5" x14ac:dyDescent="0.35">
      <c r="A334" s="18" t="s">
        <v>196</v>
      </c>
      <c r="B334" s="67">
        <v>40000</v>
      </c>
    </row>
    <row r="335" spans="1:11" ht="15.5" x14ac:dyDescent="0.35">
      <c r="A335" s="18" t="s">
        <v>113</v>
      </c>
      <c r="B335" s="67" t="s">
        <v>422</v>
      </c>
    </row>
    <row r="336" spans="1:11" ht="15.5" x14ac:dyDescent="0.35">
      <c r="A336" s="18" t="s">
        <v>209</v>
      </c>
      <c r="B336" s="67">
        <v>40000</v>
      </c>
    </row>
    <row r="337" spans="1:11" ht="15.5" x14ac:dyDescent="0.35">
      <c r="A337" s="18" t="s">
        <v>115</v>
      </c>
      <c r="B337" s="67">
        <v>60000</v>
      </c>
    </row>
    <row r="338" spans="1:11" ht="15.5" x14ac:dyDescent="0.35">
      <c r="A338" s="18" t="s">
        <v>109</v>
      </c>
      <c r="B338" s="67">
        <v>40000</v>
      </c>
    </row>
    <row r="339" spans="1:11" ht="15.5" x14ac:dyDescent="0.35">
      <c r="A339" s="24" t="s">
        <v>4</v>
      </c>
      <c r="B339" s="75">
        <f>SUM(B329:B338)</f>
        <v>400000</v>
      </c>
    </row>
    <row r="342" spans="1:11" ht="18.5" x14ac:dyDescent="0.45">
      <c r="A342" s="151" t="s">
        <v>1</v>
      </c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</row>
    <row r="343" spans="1:11" ht="18.5" x14ac:dyDescent="0.45">
      <c r="A343" s="150" t="s">
        <v>74</v>
      </c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</row>
    <row r="344" spans="1:11" ht="18.5" x14ac:dyDescent="0.45">
      <c r="A344" s="149">
        <v>46126</v>
      </c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</row>
    <row r="345" spans="1:11" ht="18.5" x14ac:dyDescent="0.45">
      <c r="A345" s="150"/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</row>
    <row r="346" spans="1:11" ht="18.5" x14ac:dyDescent="0.45">
      <c r="A346" s="2" t="s">
        <v>75</v>
      </c>
      <c r="B346" s="2" t="s">
        <v>3</v>
      </c>
      <c r="C346" s="2" t="s">
        <v>100</v>
      </c>
      <c r="D346" s="2" t="s">
        <v>90</v>
      </c>
      <c r="E346" s="2" t="s">
        <v>91</v>
      </c>
      <c r="F346" s="2" t="s">
        <v>4</v>
      </c>
      <c r="G346" s="2" t="s">
        <v>101</v>
      </c>
      <c r="H346" s="2" t="s">
        <v>104</v>
      </c>
      <c r="I346" s="2"/>
      <c r="J346" s="2" t="s">
        <v>105</v>
      </c>
      <c r="K346" s="2" t="s">
        <v>106</v>
      </c>
    </row>
    <row r="347" spans="1:11" ht="15.5" x14ac:dyDescent="0.35">
      <c r="A347" s="3" t="s">
        <v>76</v>
      </c>
      <c r="B347" s="1">
        <v>50</v>
      </c>
      <c r="C347" s="20">
        <v>17500</v>
      </c>
      <c r="D347" s="1">
        <v>14</v>
      </c>
      <c r="E347" s="1">
        <v>36</v>
      </c>
      <c r="F347" s="20">
        <f>C347*B347</f>
        <v>875000</v>
      </c>
      <c r="G347" s="20">
        <f>D347*C347</f>
        <v>245000</v>
      </c>
      <c r="H347" s="20">
        <f>E347*C347</f>
        <v>630000</v>
      </c>
      <c r="I347" s="20" t="b">
        <f>D347+E347=B347</f>
        <v>1</v>
      </c>
      <c r="J347" s="20">
        <f>B382</f>
        <v>400000</v>
      </c>
      <c r="K347" s="20"/>
    </row>
    <row r="348" spans="1:11" ht="15.5" x14ac:dyDescent="0.35">
      <c r="A348" s="3" t="s">
        <v>77</v>
      </c>
      <c r="B348" s="1">
        <v>16</v>
      </c>
      <c r="C348" s="20">
        <v>16000</v>
      </c>
      <c r="D348" s="1">
        <v>2</v>
      </c>
      <c r="E348" s="1">
        <v>14</v>
      </c>
      <c r="F348" s="20">
        <f t="shared" ref="F348:G359" si="40">C348*B348</f>
        <v>256000</v>
      </c>
      <c r="G348" s="20">
        <f t="shared" si="40"/>
        <v>32000</v>
      </c>
      <c r="H348" s="20">
        <f t="shared" ref="H348:H363" si="41">E348*C348</f>
        <v>224000</v>
      </c>
      <c r="I348" s="20" t="b">
        <f t="shared" ref="I348:I363" si="42">D348+E348=B348</f>
        <v>1</v>
      </c>
      <c r="J348" s="20"/>
      <c r="K348" s="20"/>
    </row>
    <row r="349" spans="1:11" ht="15.5" x14ac:dyDescent="0.35">
      <c r="A349" s="3" t="s">
        <v>78</v>
      </c>
      <c r="B349" s="1">
        <v>40</v>
      </c>
      <c r="C349" s="20">
        <v>17500</v>
      </c>
      <c r="D349" s="1">
        <v>13</v>
      </c>
      <c r="E349" s="1">
        <v>27</v>
      </c>
      <c r="F349" s="20">
        <f t="shared" si="40"/>
        <v>700000</v>
      </c>
      <c r="G349" s="20">
        <f t="shared" si="40"/>
        <v>227500</v>
      </c>
      <c r="H349" s="20">
        <f t="shared" si="41"/>
        <v>472500</v>
      </c>
      <c r="I349" s="20" t="b">
        <f t="shared" si="42"/>
        <v>1</v>
      </c>
      <c r="J349" s="20"/>
      <c r="K349" s="20"/>
    </row>
    <row r="350" spans="1:11" ht="15.5" x14ac:dyDescent="0.35">
      <c r="A350" s="3" t="s">
        <v>79</v>
      </c>
      <c r="B350" s="1">
        <v>17</v>
      </c>
      <c r="C350" s="20">
        <v>18500</v>
      </c>
      <c r="D350" s="1">
        <v>2</v>
      </c>
      <c r="E350" s="1">
        <v>12</v>
      </c>
      <c r="F350" s="20">
        <f t="shared" si="40"/>
        <v>314500</v>
      </c>
      <c r="G350" s="20">
        <f t="shared" si="40"/>
        <v>37000</v>
      </c>
      <c r="H350" s="20">
        <f t="shared" si="41"/>
        <v>222000</v>
      </c>
      <c r="I350" s="20" t="b">
        <f t="shared" si="42"/>
        <v>0</v>
      </c>
      <c r="J350" s="20"/>
      <c r="K350" s="20"/>
    </row>
    <row r="351" spans="1:11" ht="15.5" x14ac:dyDescent="0.35">
      <c r="A351" s="3" t="s">
        <v>80</v>
      </c>
      <c r="B351" s="1"/>
      <c r="C351" s="20">
        <v>18500</v>
      </c>
      <c r="D351" s="1"/>
      <c r="E351" s="1"/>
      <c r="F351" s="20">
        <f t="shared" si="40"/>
        <v>0</v>
      </c>
      <c r="G351" s="20">
        <f t="shared" si="40"/>
        <v>0</v>
      </c>
      <c r="H351" s="20">
        <f t="shared" si="41"/>
        <v>0</v>
      </c>
      <c r="I351" s="20" t="b">
        <f t="shared" si="42"/>
        <v>1</v>
      </c>
      <c r="J351" s="20"/>
      <c r="K351" s="20"/>
    </row>
    <row r="352" spans="1:11" ht="15.5" x14ac:dyDescent="0.35">
      <c r="A352" s="3" t="s">
        <v>81</v>
      </c>
      <c r="B352" s="1"/>
      <c r="C352" s="20">
        <v>23000</v>
      </c>
      <c r="D352" s="1"/>
      <c r="E352" s="1"/>
      <c r="F352" s="20">
        <f t="shared" si="40"/>
        <v>0</v>
      </c>
      <c r="G352" s="20">
        <f t="shared" si="40"/>
        <v>0</v>
      </c>
      <c r="H352" s="20">
        <f t="shared" si="41"/>
        <v>0</v>
      </c>
      <c r="I352" s="20" t="b">
        <f t="shared" si="42"/>
        <v>1</v>
      </c>
      <c r="J352" s="20"/>
      <c r="K352" s="20"/>
    </row>
    <row r="353" spans="1:11" ht="15.5" x14ac:dyDescent="0.35">
      <c r="A353" s="3" t="s">
        <v>82</v>
      </c>
      <c r="B353" s="1"/>
      <c r="C353" s="20">
        <v>18000</v>
      </c>
      <c r="D353" s="1"/>
      <c r="E353" s="1"/>
      <c r="F353" s="20">
        <f t="shared" si="40"/>
        <v>0</v>
      </c>
      <c r="G353" s="20">
        <f t="shared" si="40"/>
        <v>0</v>
      </c>
      <c r="H353" s="20">
        <f t="shared" si="41"/>
        <v>0</v>
      </c>
      <c r="I353" s="20" t="b">
        <f t="shared" si="42"/>
        <v>1</v>
      </c>
      <c r="J353" s="20"/>
      <c r="K353" s="20"/>
    </row>
    <row r="354" spans="1:11" ht="15.5" x14ac:dyDescent="0.35">
      <c r="A354" s="3" t="s">
        <v>83</v>
      </c>
      <c r="B354" s="1"/>
      <c r="C354" s="20">
        <v>18000</v>
      </c>
      <c r="D354" s="1"/>
      <c r="E354" s="1"/>
      <c r="F354" s="20">
        <f t="shared" si="40"/>
        <v>0</v>
      </c>
      <c r="G354" s="20">
        <f t="shared" si="40"/>
        <v>0</v>
      </c>
      <c r="H354" s="20">
        <f t="shared" si="41"/>
        <v>0</v>
      </c>
      <c r="I354" s="20" t="b">
        <f t="shared" si="42"/>
        <v>1</v>
      </c>
      <c r="J354" s="20"/>
      <c r="K354" s="20"/>
    </row>
    <row r="355" spans="1:11" ht="15.5" x14ac:dyDescent="0.35">
      <c r="A355" s="3" t="s">
        <v>84</v>
      </c>
      <c r="B355" s="1"/>
      <c r="C355" s="20">
        <v>18500</v>
      </c>
      <c r="D355" s="1"/>
      <c r="E355" s="1"/>
      <c r="F355" s="20">
        <f t="shared" si="40"/>
        <v>0</v>
      </c>
      <c r="G355" s="20">
        <f t="shared" si="40"/>
        <v>0</v>
      </c>
      <c r="H355" s="20">
        <f t="shared" si="41"/>
        <v>0</v>
      </c>
      <c r="I355" s="20" t="b">
        <f t="shared" si="42"/>
        <v>1</v>
      </c>
      <c r="J355" s="20"/>
      <c r="K355" s="20"/>
    </row>
    <row r="356" spans="1:11" ht="15.5" x14ac:dyDescent="0.35">
      <c r="A356" s="3" t="s">
        <v>85</v>
      </c>
      <c r="B356" s="1">
        <v>42</v>
      </c>
      <c r="C356" s="20">
        <v>18500</v>
      </c>
      <c r="D356" s="1">
        <v>12</v>
      </c>
      <c r="E356" s="1">
        <v>30</v>
      </c>
      <c r="F356" s="20">
        <f t="shared" si="40"/>
        <v>777000</v>
      </c>
      <c r="G356" s="20">
        <f t="shared" si="40"/>
        <v>222000</v>
      </c>
      <c r="H356" s="20">
        <f t="shared" si="41"/>
        <v>555000</v>
      </c>
      <c r="I356" s="20" t="b">
        <f t="shared" si="42"/>
        <v>1</v>
      </c>
      <c r="J356" s="20"/>
      <c r="K356" s="20"/>
    </row>
    <row r="357" spans="1:11" ht="15.5" x14ac:dyDescent="0.35">
      <c r="A357" s="3" t="s">
        <v>86</v>
      </c>
      <c r="B357" s="1"/>
      <c r="C357" s="20">
        <v>18500</v>
      </c>
      <c r="D357" s="1"/>
      <c r="E357" s="1"/>
      <c r="F357" s="20">
        <f t="shared" si="40"/>
        <v>0</v>
      </c>
      <c r="G357" s="20">
        <f t="shared" si="40"/>
        <v>0</v>
      </c>
      <c r="H357" s="20">
        <f t="shared" si="41"/>
        <v>0</v>
      </c>
      <c r="I357" s="20" t="b">
        <f t="shared" si="42"/>
        <v>1</v>
      </c>
      <c r="J357" s="20"/>
      <c r="K357" s="20"/>
    </row>
    <row r="358" spans="1:11" ht="15.5" x14ac:dyDescent="0.35">
      <c r="A358" s="3" t="s">
        <v>87</v>
      </c>
      <c r="B358" s="1">
        <v>4</v>
      </c>
      <c r="C358" s="20">
        <v>18500</v>
      </c>
      <c r="D358" s="1">
        <v>3</v>
      </c>
      <c r="E358" s="1">
        <v>1</v>
      </c>
      <c r="F358" s="20">
        <f t="shared" si="40"/>
        <v>74000</v>
      </c>
      <c r="G358" s="20">
        <f t="shared" si="40"/>
        <v>55500</v>
      </c>
      <c r="H358" s="20">
        <f t="shared" si="41"/>
        <v>18500</v>
      </c>
      <c r="I358" s="20" t="b">
        <f t="shared" si="42"/>
        <v>1</v>
      </c>
      <c r="J358" s="20"/>
      <c r="K358" s="20"/>
    </row>
    <row r="359" spans="1:11" ht="15.5" x14ac:dyDescent="0.35">
      <c r="A359" s="3" t="s">
        <v>88</v>
      </c>
      <c r="B359" s="1">
        <v>8</v>
      </c>
      <c r="C359" s="20">
        <v>18500</v>
      </c>
      <c r="D359" s="1">
        <v>4</v>
      </c>
      <c r="E359" s="1">
        <v>4</v>
      </c>
      <c r="F359" s="20">
        <f t="shared" si="40"/>
        <v>148000</v>
      </c>
      <c r="G359" s="20">
        <f t="shared" si="40"/>
        <v>74000</v>
      </c>
      <c r="H359" s="20">
        <f t="shared" si="41"/>
        <v>74000</v>
      </c>
      <c r="I359" s="20" t="b">
        <f t="shared" si="42"/>
        <v>1</v>
      </c>
      <c r="J359" s="20"/>
      <c r="K359" s="20"/>
    </row>
    <row r="360" spans="1:11" ht="15.5" x14ac:dyDescent="0.35">
      <c r="A360" s="19" t="s">
        <v>89</v>
      </c>
      <c r="B360" s="1"/>
      <c r="C360" s="20"/>
      <c r="D360" s="1"/>
      <c r="E360" s="1"/>
      <c r="F360" s="20"/>
      <c r="G360" s="20"/>
      <c r="H360" s="20">
        <f t="shared" si="41"/>
        <v>0</v>
      </c>
      <c r="I360" s="20" t="b">
        <f t="shared" si="42"/>
        <v>1</v>
      </c>
      <c r="J360" s="20"/>
      <c r="K360" s="20"/>
    </row>
    <row r="361" spans="1:11" ht="15.5" x14ac:dyDescent="0.35">
      <c r="A361" s="3" t="s">
        <v>92</v>
      </c>
      <c r="B361" s="1"/>
      <c r="C361" s="20">
        <v>21500</v>
      </c>
      <c r="D361" s="1"/>
      <c r="E361" s="1"/>
      <c r="F361" s="20">
        <f t="shared" ref="F361:G363" si="43">C361*B361</f>
        <v>0</v>
      </c>
      <c r="G361" s="20">
        <f t="shared" si="43"/>
        <v>0</v>
      </c>
      <c r="H361" s="20">
        <f t="shared" si="41"/>
        <v>0</v>
      </c>
      <c r="I361" s="20" t="b">
        <f t="shared" si="42"/>
        <v>1</v>
      </c>
      <c r="J361" s="20"/>
      <c r="K361" s="20"/>
    </row>
    <row r="362" spans="1:11" ht="15.5" x14ac:dyDescent="0.35">
      <c r="A362" s="3" t="s">
        <v>93</v>
      </c>
      <c r="B362" s="1">
        <v>22</v>
      </c>
      <c r="C362" s="20">
        <v>21500</v>
      </c>
      <c r="D362" s="1">
        <v>11</v>
      </c>
      <c r="E362" s="1">
        <v>11</v>
      </c>
      <c r="F362" s="20">
        <f t="shared" si="43"/>
        <v>473000</v>
      </c>
      <c r="G362" s="20">
        <f t="shared" si="43"/>
        <v>236500</v>
      </c>
      <c r="H362" s="20">
        <f t="shared" si="41"/>
        <v>236500</v>
      </c>
      <c r="I362" s="20" t="b">
        <f t="shared" si="42"/>
        <v>1</v>
      </c>
      <c r="J362" s="20"/>
      <c r="K362" s="20"/>
    </row>
    <row r="363" spans="1:11" ht="15.5" x14ac:dyDescent="0.35">
      <c r="A363" s="3" t="s">
        <v>94</v>
      </c>
      <c r="B363" s="1">
        <v>24</v>
      </c>
      <c r="C363" s="20">
        <v>21500</v>
      </c>
      <c r="D363" s="1">
        <v>13</v>
      </c>
      <c r="E363" s="1">
        <v>11</v>
      </c>
      <c r="F363" s="20">
        <f t="shared" si="43"/>
        <v>516000</v>
      </c>
      <c r="G363" s="20">
        <f t="shared" si="43"/>
        <v>279500</v>
      </c>
      <c r="H363" s="20">
        <f t="shared" si="41"/>
        <v>236500</v>
      </c>
      <c r="I363" s="20" t="b">
        <f t="shared" si="42"/>
        <v>1</v>
      </c>
      <c r="J363" s="20"/>
      <c r="K363" s="20"/>
    </row>
    <row r="364" spans="1:11" ht="15.5" x14ac:dyDescent="0.35">
      <c r="A364" s="19"/>
      <c r="B364" s="22">
        <f>SUM(B347:B363)</f>
        <v>223</v>
      </c>
      <c r="C364" s="20"/>
      <c r="D364" s="1"/>
      <c r="E364" s="1"/>
      <c r="F364" s="23">
        <f>SUM(F347:F363)</f>
        <v>4133500</v>
      </c>
      <c r="G364" s="23">
        <f>SUM(G347:G363)</f>
        <v>1409000</v>
      </c>
      <c r="H364" s="23">
        <f>SUM(H347:H363)</f>
        <v>2669000</v>
      </c>
      <c r="I364" s="23"/>
      <c r="J364" s="23">
        <f>SUM(J347:J363)</f>
        <v>400000</v>
      </c>
      <c r="K364" s="23">
        <f>H364-J364</f>
        <v>2269000</v>
      </c>
    </row>
    <row r="365" spans="1:11" ht="15.5" x14ac:dyDescent="0.35">
      <c r="A365" s="19" t="s">
        <v>95</v>
      </c>
      <c r="B365" s="1"/>
      <c r="C365" s="20"/>
      <c r="D365" s="1"/>
      <c r="E365" s="1"/>
      <c r="F365" s="20"/>
      <c r="G365" s="20"/>
      <c r="H365" s="20" t="s">
        <v>192</v>
      </c>
      <c r="I365" s="20"/>
      <c r="J365" s="20"/>
      <c r="K365" s="20"/>
    </row>
    <row r="366" spans="1:11" ht="15.5" x14ac:dyDescent="0.35">
      <c r="A366" s="3" t="s">
        <v>96</v>
      </c>
      <c r="B366" s="1"/>
      <c r="C366" s="20">
        <v>3000</v>
      </c>
      <c r="D366" s="1"/>
      <c r="E366" s="20"/>
      <c r="F366" s="20">
        <f t="shared" ref="F366:F369" si="44">C366*B366</f>
        <v>0</v>
      </c>
      <c r="G366" s="20"/>
      <c r="H366" s="20"/>
      <c r="I366" s="20"/>
      <c r="J366" s="20"/>
      <c r="K366" s="20"/>
    </row>
    <row r="367" spans="1:11" ht="15.5" x14ac:dyDescent="0.35">
      <c r="A367" s="3" t="s">
        <v>97</v>
      </c>
      <c r="B367" s="1"/>
      <c r="C367" s="20">
        <v>2500</v>
      </c>
      <c r="D367" s="1"/>
      <c r="E367" s="1"/>
      <c r="F367" s="20">
        <f t="shared" si="44"/>
        <v>0</v>
      </c>
      <c r="G367" s="20"/>
      <c r="H367" s="20"/>
      <c r="I367" s="20"/>
      <c r="J367" s="20"/>
      <c r="K367" s="20"/>
    </row>
    <row r="368" spans="1:11" ht="15.5" x14ac:dyDescent="0.35">
      <c r="A368" s="3" t="s">
        <v>98</v>
      </c>
      <c r="B368" s="1"/>
      <c r="C368" s="20">
        <v>1800</v>
      </c>
      <c r="D368" s="1"/>
      <c r="E368" s="1"/>
      <c r="F368" s="20">
        <f t="shared" si="44"/>
        <v>0</v>
      </c>
      <c r="G368" s="20"/>
      <c r="H368" s="20"/>
      <c r="I368" s="20"/>
      <c r="J368" s="20"/>
      <c r="K368" s="20"/>
    </row>
    <row r="369" spans="1:11" ht="15.5" x14ac:dyDescent="0.35">
      <c r="A369" s="3" t="s">
        <v>99</v>
      </c>
      <c r="B369" s="1"/>
      <c r="C369" s="20">
        <v>3500</v>
      </c>
      <c r="D369" s="1"/>
      <c r="E369" s="1"/>
      <c r="F369" s="20">
        <f t="shared" si="44"/>
        <v>0</v>
      </c>
      <c r="G369" s="20"/>
      <c r="H369" s="20"/>
      <c r="I369" s="20"/>
      <c r="J369" s="20"/>
      <c r="K369" s="20"/>
    </row>
    <row r="370" spans="1:11" ht="15.5" x14ac:dyDescent="0.35">
      <c r="A370" s="18"/>
      <c r="F370" s="21"/>
    </row>
    <row r="371" spans="1:11" ht="15.5" x14ac:dyDescent="0.35">
      <c r="A371" s="24" t="s">
        <v>108</v>
      </c>
      <c r="K371" s="21"/>
    </row>
    <row r="372" spans="1:11" ht="15.5" x14ac:dyDescent="0.35">
      <c r="A372" s="18" t="s">
        <v>114</v>
      </c>
      <c r="B372" s="67">
        <v>40000</v>
      </c>
    </row>
    <row r="373" spans="1:11" ht="15.5" x14ac:dyDescent="0.35">
      <c r="A373" s="18" t="s">
        <v>112</v>
      </c>
      <c r="B373" s="67">
        <v>40000</v>
      </c>
    </row>
    <row r="374" spans="1:11" ht="15.5" x14ac:dyDescent="0.35">
      <c r="A374" s="18" t="s">
        <v>309</v>
      </c>
      <c r="B374" s="67">
        <v>60000</v>
      </c>
    </row>
    <row r="375" spans="1:11" ht="15.5" x14ac:dyDescent="0.35">
      <c r="A375" s="18" t="s">
        <v>110</v>
      </c>
      <c r="B375" s="67">
        <v>40000</v>
      </c>
    </row>
    <row r="376" spans="1:11" ht="15.5" x14ac:dyDescent="0.35">
      <c r="A376" s="18" t="s">
        <v>111</v>
      </c>
      <c r="B376" s="67">
        <v>40000</v>
      </c>
    </row>
    <row r="377" spans="1:11" ht="15.5" x14ac:dyDescent="0.35">
      <c r="A377" s="18" t="s">
        <v>196</v>
      </c>
      <c r="B377" s="67">
        <v>40000</v>
      </c>
    </row>
    <row r="378" spans="1:11" ht="15.5" x14ac:dyDescent="0.35">
      <c r="A378" s="18" t="s">
        <v>113</v>
      </c>
      <c r="B378" s="67" t="s">
        <v>422</v>
      </c>
    </row>
    <row r="379" spans="1:11" ht="15.5" x14ac:dyDescent="0.35">
      <c r="A379" s="18" t="s">
        <v>209</v>
      </c>
      <c r="B379" s="67">
        <v>40000</v>
      </c>
    </row>
    <row r="380" spans="1:11" ht="15.5" x14ac:dyDescent="0.35">
      <c r="A380" s="18" t="s">
        <v>115</v>
      </c>
      <c r="B380" s="67">
        <v>60000</v>
      </c>
    </row>
    <row r="381" spans="1:11" ht="15.5" x14ac:dyDescent="0.35">
      <c r="A381" s="18" t="s">
        <v>109</v>
      </c>
      <c r="B381" s="67">
        <v>40000</v>
      </c>
    </row>
    <row r="382" spans="1:11" ht="15.5" x14ac:dyDescent="0.35">
      <c r="A382" s="24" t="s">
        <v>4</v>
      </c>
      <c r="B382" s="75">
        <f>SUM(B372:B381)</f>
        <v>400000</v>
      </c>
    </row>
    <row r="386" spans="1:11" ht="18.5" x14ac:dyDescent="0.45">
      <c r="A386" s="151" t="s">
        <v>1</v>
      </c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</row>
    <row r="387" spans="1:11" ht="18.5" x14ac:dyDescent="0.45">
      <c r="A387" s="150" t="s">
        <v>74</v>
      </c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</row>
    <row r="388" spans="1:11" ht="18.5" x14ac:dyDescent="0.45">
      <c r="A388" s="149">
        <v>46127</v>
      </c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</row>
    <row r="389" spans="1:11" ht="18.5" x14ac:dyDescent="0.45">
      <c r="A389" s="150"/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</row>
    <row r="390" spans="1:11" ht="18.5" x14ac:dyDescent="0.45">
      <c r="A390" s="2" t="s">
        <v>75</v>
      </c>
      <c r="B390" s="2" t="s">
        <v>3</v>
      </c>
      <c r="C390" s="2" t="s">
        <v>100</v>
      </c>
      <c r="D390" s="2" t="s">
        <v>90</v>
      </c>
      <c r="E390" s="2" t="s">
        <v>91</v>
      </c>
      <c r="F390" s="2" t="s">
        <v>4</v>
      </c>
      <c r="G390" s="2" t="s">
        <v>101</v>
      </c>
      <c r="H390" s="2" t="s">
        <v>104</v>
      </c>
      <c r="I390" s="2"/>
      <c r="J390" s="2" t="s">
        <v>105</v>
      </c>
      <c r="K390" s="2" t="s">
        <v>106</v>
      </c>
    </row>
    <row r="391" spans="1:11" ht="15.5" x14ac:dyDescent="0.35">
      <c r="A391" s="3" t="s">
        <v>76</v>
      </c>
      <c r="B391" s="1">
        <v>130</v>
      </c>
      <c r="C391" s="20">
        <v>17500</v>
      </c>
      <c r="D391" s="1">
        <v>53</v>
      </c>
      <c r="E391" s="1">
        <v>77</v>
      </c>
      <c r="F391" s="20">
        <f>C391*B391</f>
        <v>2275000</v>
      </c>
      <c r="G391" s="20">
        <f>D391*C391</f>
        <v>927500</v>
      </c>
      <c r="H391" s="20">
        <f>E391*C391</f>
        <v>1347500</v>
      </c>
      <c r="I391" s="20" t="b">
        <f>D391+E391=B391</f>
        <v>1</v>
      </c>
      <c r="J391" s="20">
        <f>B426</f>
        <v>400000</v>
      </c>
      <c r="K391" s="20" t="s">
        <v>117</v>
      </c>
    </row>
    <row r="392" spans="1:11" ht="15.5" x14ac:dyDescent="0.35">
      <c r="A392" s="3" t="s">
        <v>77</v>
      </c>
      <c r="B392" s="1">
        <v>18</v>
      </c>
      <c r="C392" s="20">
        <v>16000</v>
      </c>
      <c r="D392" s="1">
        <v>4</v>
      </c>
      <c r="E392" s="1">
        <v>14</v>
      </c>
      <c r="F392" s="20">
        <f t="shared" ref="F392:G403" si="45">C392*B392</f>
        <v>288000</v>
      </c>
      <c r="G392" s="20">
        <f t="shared" si="45"/>
        <v>64000</v>
      </c>
      <c r="H392" s="20">
        <f t="shared" ref="H392:H407" si="46">E392*C392</f>
        <v>224000</v>
      </c>
      <c r="I392" s="20" t="b">
        <f t="shared" ref="I392:I407" si="47">D392+E392=B392</f>
        <v>1</v>
      </c>
      <c r="J392" s="20">
        <v>30000</v>
      </c>
      <c r="K392" s="20" t="s">
        <v>259</v>
      </c>
    </row>
    <row r="393" spans="1:11" ht="15.5" x14ac:dyDescent="0.35">
      <c r="A393" s="3" t="s">
        <v>78</v>
      </c>
      <c r="B393" s="1">
        <v>50</v>
      </c>
      <c r="C393" s="20">
        <v>17500</v>
      </c>
      <c r="D393" s="1">
        <v>25</v>
      </c>
      <c r="E393" s="1">
        <v>25</v>
      </c>
      <c r="F393" s="20">
        <f t="shared" si="45"/>
        <v>875000</v>
      </c>
      <c r="G393" s="20">
        <f t="shared" si="45"/>
        <v>437500</v>
      </c>
      <c r="H393" s="20">
        <f t="shared" si="46"/>
        <v>437500</v>
      </c>
      <c r="I393" s="20" t="b">
        <f t="shared" si="47"/>
        <v>1</v>
      </c>
      <c r="J393" s="20">
        <v>315000</v>
      </c>
      <c r="K393" s="20" t="s">
        <v>199</v>
      </c>
    </row>
    <row r="394" spans="1:11" ht="15.5" x14ac:dyDescent="0.35">
      <c r="A394" s="3" t="s">
        <v>79</v>
      </c>
      <c r="B394" s="1"/>
      <c r="C394" s="20">
        <v>18500</v>
      </c>
      <c r="D394" s="1"/>
      <c r="E394" s="1"/>
      <c r="F394" s="20">
        <f t="shared" si="45"/>
        <v>0</v>
      </c>
      <c r="G394" s="20">
        <f t="shared" si="45"/>
        <v>0</v>
      </c>
      <c r="H394" s="20">
        <f t="shared" si="46"/>
        <v>0</v>
      </c>
      <c r="I394" s="20" t="b">
        <f t="shared" si="47"/>
        <v>1</v>
      </c>
      <c r="J394" s="20">
        <v>220000</v>
      </c>
      <c r="K394" s="20" t="s">
        <v>107</v>
      </c>
    </row>
    <row r="395" spans="1:11" ht="15.5" x14ac:dyDescent="0.35">
      <c r="A395" s="3" t="s">
        <v>80</v>
      </c>
      <c r="B395" s="1">
        <v>40</v>
      </c>
      <c r="C395" s="20">
        <v>18500</v>
      </c>
      <c r="D395" s="1">
        <v>11</v>
      </c>
      <c r="E395" s="1">
        <v>29</v>
      </c>
      <c r="F395" s="20">
        <f t="shared" si="45"/>
        <v>740000</v>
      </c>
      <c r="G395" s="20">
        <f t="shared" si="45"/>
        <v>203500</v>
      </c>
      <c r="H395" s="20">
        <f t="shared" si="46"/>
        <v>536500</v>
      </c>
      <c r="I395" s="20" t="b">
        <f t="shared" si="47"/>
        <v>1</v>
      </c>
      <c r="J395" s="20"/>
      <c r="K395" s="20"/>
    </row>
    <row r="396" spans="1:11" ht="15.5" x14ac:dyDescent="0.35">
      <c r="A396" s="3" t="s">
        <v>81</v>
      </c>
      <c r="B396" s="1"/>
      <c r="C396" s="20">
        <v>23000</v>
      </c>
      <c r="D396" s="1"/>
      <c r="E396" s="1"/>
      <c r="F396" s="20">
        <f t="shared" si="45"/>
        <v>0</v>
      </c>
      <c r="G396" s="20">
        <f t="shared" si="45"/>
        <v>0</v>
      </c>
      <c r="H396" s="20">
        <f t="shared" si="46"/>
        <v>0</v>
      </c>
      <c r="I396" s="20" t="b">
        <f t="shared" si="47"/>
        <v>1</v>
      </c>
      <c r="J396" s="20"/>
      <c r="K396" s="20"/>
    </row>
    <row r="397" spans="1:11" ht="15.5" x14ac:dyDescent="0.35">
      <c r="A397" s="3" t="s">
        <v>82</v>
      </c>
      <c r="B397" s="1"/>
      <c r="C397" s="20">
        <v>18000</v>
      </c>
      <c r="D397" s="1"/>
      <c r="E397" s="1"/>
      <c r="F397" s="20">
        <f t="shared" si="45"/>
        <v>0</v>
      </c>
      <c r="G397" s="20">
        <f t="shared" si="45"/>
        <v>0</v>
      </c>
      <c r="H397" s="20">
        <f t="shared" si="46"/>
        <v>0</v>
      </c>
      <c r="I397" s="20" t="b">
        <f t="shared" si="47"/>
        <v>1</v>
      </c>
      <c r="J397" s="20"/>
      <c r="K397" s="20"/>
    </row>
    <row r="398" spans="1:11" ht="15.5" x14ac:dyDescent="0.35">
      <c r="A398" s="3" t="s">
        <v>83</v>
      </c>
      <c r="B398" s="1">
        <v>28</v>
      </c>
      <c r="C398" s="20">
        <v>18000</v>
      </c>
      <c r="D398" s="1">
        <v>8</v>
      </c>
      <c r="E398" s="1">
        <v>20</v>
      </c>
      <c r="F398" s="20">
        <f t="shared" si="45"/>
        <v>504000</v>
      </c>
      <c r="G398" s="20">
        <f t="shared" si="45"/>
        <v>144000</v>
      </c>
      <c r="H398" s="20">
        <f t="shared" si="46"/>
        <v>360000</v>
      </c>
      <c r="I398" s="20" t="b">
        <f t="shared" si="47"/>
        <v>1</v>
      </c>
      <c r="J398" s="20"/>
      <c r="K398" s="20"/>
    </row>
    <row r="399" spans="1:11" ht="15.5" x14ac:dyDescent="0.35">
      <c r="A399" s="3" t="s">
        <v>84</v>
      </c>
      <c r="B399" s="1"/>
      <c r="C399" s="20">
        <v>18500</v>
      </c>
      <c r="D399" s="1"/>
      <c r="E399" s="1"/>
      <c r="F399" s="20">
        <f t="shared" si="45"/>
        <v>0</v>
      </c>
      <c r="G399" s="20">
        <f t="shared" si="45"/>
        <v>0</v>
      </c>
      <c r="H399" s="20">
        <f t="shared" si="46"/>
        <v>0</v>
      </c>
      <c r="I399" s="20" t="b">
        <f t="shared" si="47"/>
        <v>1</v>
      </c>
      <c r="J399" s="20"/>
      <c r="K399" s="20"/>
    </row>
    <row r="400" spans="1:11" ht="15.5" x14ac:dyDescent="0.35">
      <c r="A400" s="3" t="s">
        <v>85</v>
      </c>
      <c r="B400" s="1"/>
      <c r="C400" s="20">
        <v>18500</v>
      </c>
      <c r="D400" s="1"/>
      <c r="E400" s="1"/>
      <c r="F400" s="20">
        <f t="shared" si="45"/>
        <v>0</v>
      </c>
      <c r="G400" s="20">
        <f t="shared" si="45"/>
        <v>0</v>
      </c>
      <c r="H400" s="20">
        <f t="shared" si="46"/>
        <v>0</v>
      </c>
      <c r="I400" s="20" t="b">
        <f t="shared" si="47"/>
        <v>1</v>
      </c>
      <c r="J400" s="20"/>
      <c r="K400" s="20"/>
    </row>
    <row r="401" spans="1:11" ht="15.5" x14ac:dyDescent="0.35">
      <c r="A401" s="3" t="s">
        <v>86</v>
      </c>
      <c r="B401" s="1">
        <v>10</v>
      </c>
      <c r="C401" s="20">
        <v>18500</v>
      </c>
      <c r="D401" s="1">
        <v>4</v>
      </c>
      <c r="E401" s="1">
        <v>6</v>
      </c>
      <c r="F401" s="20">
        <f t="shared" si="45"/>
        <v>185000</v>
      </c>
      <c r="G401" s="20">
        <f t="shared" si="45"/>
        <v>74000</v>
      </c>
      <c r="H401" s="20">
        <f t="shared" si="46"/>
        <v>111000</v>
      </c>
      <c r="I401" s="20" t="b">
        <f t="shared" si="47"/>
        <v>1</v>
      </c>
      <c r="J401" s="20"/>
      <c r="K401" s="20"/>
    </row>
    <row r="402" spans="1:11" ht="15.5" x14ac:dyDescent="0.35">
      <c r="A402" s="3" t="s">
        <v>87</v>
      </c>
      <c r="B402" s="1"/>
      <c r="C402" s="20">
        <v>18500</v>
      </c>
      <c r="D402" s="1"/>
      <c r="E402" s="1"/>
      <c r="F402" s="20">
        <f t="shared" si="45"/>
        <v>0</v>
      </c>
      <c r="G402" s="20">
        <f t="shared" si="45"/>
        <v>0</v>
      </c>
      <c r="H402" s="20">
        <f t="shared" si="46"/>
        <v>0</v>
      </c>
      <c r="I402" s="20" t="b">
        <f t="shared" si="47"/>
        <v>1</v>
      </c>
      <c r="J402" s="20"/>
      <c r="K402" s="20"/>
    </row>
    <row r="403" spans="1:11" ht="15.5" x14ac:dyDescent="0.35">
      <c r="A403" s="3" t="s">
        <v>88</v>
      </c>
      <c r="B403" s="1">
        <v>16</v>
      </c>
      <c r="C403" s="20">
        <v>18500</v>
      </c>
      <c r="D403" s="1">
        <v>7</v>
      </c>
      <c r="E403" s="1">
        <v>9</v>
      </c>
      <c r="F403" s="20">
        <f t="shared" si="45"/>
        <v>296000</v>
      </c>
      <c r="G403" s="20">
        <f t="shared" si="45"/>
        <v>129500</v>
      </c>
      <c r="H403" s="20">
        <f t="shared" si="46"/>
        <v>166500</v>
      </c>
      <c r="I403" s="20" t="b">
        <f t="shared" si="47"/>
        <v>1</v>
      </c>
      <c r="J403" s="20"/>
      <c r="K403" s="20"/>
    </row>
    <row r="404" spans="1:11" ht="15.5" x14ac:dyDescent="0.35">
      <c r="A404" s="19" t="s">
        <v>89</v>
      </c>
      <c r="B404" s="1"/>
      <c r="C404" s="20"/>
      <c r="D404" s="1"/>
      <c r="E404" s="1"/>
      <c r="F404" s="20"/>
      <c r="G404" s="20"/>
      <c r="H404" s="20">
        <f t="shared" si="46"/>
        <v>0</v>
      </c>
      <c r="I404" s="20" t="b">
        <f t="shared" si="47"/>
        <v>1</v>
      </c>
      <c r="J404" s="20"/>
      <c r="K404" s="20"/>
    </row>
    <row r="405" spans="1:11" ht="15.5" x14ac:dyDescent="0.35">
      <c r="A405" s="3" t="s">
        <v>92</v>
      </c>
      <c r="B405" s="1">
        <v>35</v>
      </c>
      <c r="C405" s="20">
        <v>21500</v>
      </c>
      <c r="D405" s="1">
        <v>15</v>
      </c>
      <c r="E405" s="1">
        <v>20</v>
      </c>
      <c r="F405" s="20">
        <f t="shared" ref="F405:G407" si="48">C405*B405</f>
        <v>752500</v>
      </c>
      <c r="G405" s="20">
        <f t="shared" si="48"/>
        <v>322500</v>
      </c>
      <c r="H405" s="20">
        <f t="shared" si="46"/>
        <v>430000</v>
      </c>
      <c r="I405" s="20" t="b">
        <f t="shared" si="47"/>
        <v>1</v>
      </c>
      <c r="J405" s="20"/>
      <c r="K405" s="20"/>
    </row>
    <row r="406" spans="1:11" ht="15.5" x14ac:dyDescent="0.35">
      <c r="A406" s="3" t="s">
        <v>93</v>
      </c>
      <c r="B406" s="1">
        <v>9</v>
      </c>
      <c r="C406" s="20">
        <v>21500</v>
      </c>
      <c r="D406" s="1">
        <v>8</v>
      </c>
      <c r="E406" s="1">
        <v>1</v>
      </c>
      <c r="F406" s="20">
        <f t="shared" si="48"/>
        <v>193500</v>
      </c>
      <c r="G406" s="20">
        <f t="shared" si="48"/>
        <v>172000</v>
      </c>
      <c r="H406" s="20">
        <f t="shared" si="46"/>
        <v>21500</v>
      </c>
      <c r="I406" s="20" t="b">
        <f t="shared" si="47"/>
        <v>1</v>
      </c>
      <c r="J406" s="20"/>
      <c r="K406" s="20"/>
    </row>
    <row r="407" spans="1:11" ht="15.5" x14ac:dyDescent="0.35">
      <c r="A407" s="3" t="s">
        <v>94</v>
      </c>
      <c r="B407" s="1">
        <v>32</v>
      </c>
      <c r="C407" s="20">
        <v>21500</v>
      </c>
      <c r="D407" s="1">
        <v>20</v>
      </c>
      <c r="E407" s="1">
        <v>12</v>
      </c>
      <c r="F407" s="20">
        <f t="shared" si="48"/>
        <v>688000</v>
      </c>
      <c r="G407" s="20">
        <f t="shared" si="48"/>
        <v>430000</v>
      </c>
      <c r="H407" s="20">
        <f t="shared" si="46"/>
        <v>258000</v>
      </c>
      <c r="I407" s="20" t="b">
        <f t="shared" si="47"/>
        <v>1</v>
      </c>
      <c r="J407" s="20"/>
      <c r="K407" s="20"/>
    </row>
    <row r="408" spans="1:11" ht="15.5" x14ac:dyDescent="0.35">
      <c r="A408" s="19"/>
      <c r="B408" s="22">
        <f>SUM(B391:B407)</f>
        <v>368</v>
      </c>
      <c r="C408" s="20"/>
      <c r="D408" s="1"/>
      <c r="E408" s="1"/>
      <c r="F408" s="23">
        <f>SUM(F391:F407)</f>
        <v>6797000</v>
      </c>
      <c r="G408" s="23">
        <f>SUM(G391:G407)</f>
        <v>2904500</v>
      </c>
      <c r="H408" s="23">
        <f>SUM(H391:H407)</f>
        <v>3892500</v>
      </c>
      <c r="I408" s="23"/>
      <c r="J408" s="23">
        <f>SUM(J391:J407)</f>
        <v>965000</v>
      </c>
      <c r="K408" s="23">
        <f>H408-J408</f>
        <v>2927500</v>
      </c>
    </row>
    <row r="409" spans="1:11" ht="15.5" x14ac:dyDescent="0.35">
      <c r="A409" s="19" t="s">
        <v>95</v>
      </c>
      <c r="B409" s="1"/>
      <c r="C409" s="20"/>
      <c r="D409" s="1"/>
      <c r="E409" s="1"/>
      <c r="F409" s="20"/>
      <c r="G409" s="20"/>
      <c r="H409" s="20" t="s">
        <v>192</v>
      </c>
      <c r="I409" s="20"/>
      <c r="J409" s="20"/>
      <c r="K409" s="20"/>
    </row>
    <row r="410" spans="1:11" ht="15.5" x14ac:dyDescent="0.35">
      <c r="A410" s="3" t="s">
        <v>96</v>
      </c>
      <c r="B410" s="1"/>
      <c r="C410" s="20">
        <v>3000</v>
      </c>
      <c r="D410" s="1"/>
      <c r="E410" s="20"/>
      <c r="F410" s="20">
        <f t="shared" ref="F410:F413" si="49">C410*B410</f>
        <v>0</v>
      </c>
      <c r="G410" s="20"/>
      <c r="H410" s="20"/>
      <c r="I410" s="20"/>
      <c r="J410" s="20"/>
      <c r="K410" s="20"/>
    </row>
    <row r="411" spans="1:11" ht="15.5" x14ac:dyDescent="0.35">
      <c r="A411" s="3" t="s">
        <v>97</v>
      </c>
      <c r="B411" s="1"/>
      <c r="C411" s="20">
        <v>2500</v>
      </c>
      <c r="D411" s="1"/>
      <c r="E411" s="1"/>
      <c r="F411" s="20">
        <f t="shared" si="49"/>
        <v>0</v>
      </c>
      <c r="G411" s="20"/>
      <c r="H411" s="20"/>
      <c r="I411" s="20"/>
      <c r="J411" s="20"/>
      <c r="K411" s="20"/>
    </row>
    <row r="412" spans="1:11" ht="15.5" x14ac:dyDescent="0.35">
      <c r="A412" s="3" t="s">
        <v>98</v>
      </c>
      <c r="B412" s="1"/>
      <c r="C412" s="20">
        <v>1800</v>
      </c>
      <c r="D412" s="1"/>
      <c r="E412" s="1"/>
      <c r="F412" s="20">
        <f t="shared" si="49"/>
        <v>0</v>
      </c>
      <c r="G412" s="20"/>
      <c r="H412" s="20"/>
      <c r="I412" s="20"/>
      <c r="J412" s="20"/>
      <c r="K412" s="20"/>
    </row>
    <row r="413" spans="1:11" ht="15.5" x14ac:dyDescent="0.35">
      <c r="A413" s="3" t="s">
        <v>99</v>
      </c>
      <c r="B413" s="1"/>
      <c r="C413" s="20">
        <v>3500</v>
      </c>
      <c r="D413" s="1"/>
      <c r="E413" s="1"/>
      <c r="F413" s="20">
        <f t="shared" si="49"/>
        <v>0</v>
      </c>
      <c r="G413" s="20"/>
      <c r="H413" s="20"/>
      <c r="I413" s="20"/>
      <c r="J413" s="20"/>
      <c r="K413" s="20"/>
    </row>
    <row r="414" spans="1:11" ht="15.5" x14ac:dyDescent="0.35">
      <c r="A414" s="18"/>
      <c r="F414" s="21"/>
    </row>
    <row r="415" spans="1:11" ht="15.5" x14ac:dyDescent="0.35">
      <c r="A415" s="24" t="s">
        <v>108</v>
      </c>
      <c r="K415" s="21"/>
    </row>
    <row r="416" spans="1:11" ht="15.5" x14ac:dyDescent="0.35">
      <c r="A416" s="18" t="s">
        <v>114</v>
      </c>
      <c r="B416" s="67">
        <v>40000</v>
      </c>
    </row>
    <row r="417" spans="1:11" ht="15.5" x14ac:dyDescent="0.35">
      <c r="A417" s="18" t="s">
        <v>112</v>
      </c>
      <c r="B417" s="67">
        <v>40000</v>
      </c>
    </row>
    <row r="418" spans="1:11" ht="15.5" x14ac:dyDescent="0.35">
      <c r="A418" s="18" t="s">
        <v>309</v>
      </c>
      <c r="B418" s="67">
        <v>60000</v>
      </c>
    </row>
    <row r="419" spans="1:11" ht="15.5" x14ac:dyDescent="0.35">
      <c r="A419" s="18" t="s">
        <v>110</v>
      </c>
      <c r="B419" s="67">
        <v>40000</v>
      </c>
    </row>
    <row r="420" spans="1:11" ht="15.5" x14ac:dyDescent="0.35">
      <c r="A420" s="18" t="s">
        <v>111</v>
      </c>
      <c r="B420" s="67">
        <v>40000</v>
      </c>
    </row>
    <row r="421" spans="1:11" ht="15.5" x14ac:dyDescent="0.35">
      <c r="A421" s="18" t="s">
        <v>196</v>
      </c>
      <c r="B421" s="67">
        <v>40000</v>
      </c>
    </row>
    <row r="422" spans="1:11" ht="15.5" x14ac:dyDescent="0.35">
      <c r="A422" s="18" t="s">
        <v>113</v>
      </c>
      <c r="B422" s="67" t="s">
        <v>422</v>
      </c>
    </row>
    <row r="423" spans="1:11" ht="15.5" x14ac:dyDescent="0.35">
      <c r="A423" s="18" t="s">
        <v>209</v>
      </c>
      <c r="B423" s="67">
        <v>40000</v>
      </c>
    </row>
    <row r="424" spans="1:11" ht="15.5" x14ac:dyDescent="0.35">
      <c r="A424" s="18" t="s">
        <v>115</v>
      </c>
      <c r="B424" s="67">
        <v>60000</v>
      </c>
    </row>
    <row r="425" spans="1:11" ht="15.5" x14ac:dyDescent="0.35">
      <c r="A425" s="18" t="s">
        <v>109</v>
      </c>
      <c r="B425" s="67">
        <v>40000</v>
      </c>
    </row>
    <row r="426" spans="1:11" ht="15.5" x14ac:dyDescent="0.35">
      <c r="A426" s="24" t="s">
        <v>4</v>
      </c>
      <c r="B426" s="75">
        <f>SUM(B416:B425)</f>
        <v>400000</v>
      </c>
    </row>
    <row r="427" spans="1:11" ht="15.5" x14ac:dyDescent="0.35">
      <c r="A427" s="24"/>
      <c r="B427" s="75"/>
    </row>
    <row r="428" spans="1:11" ht="15.5" x14ac:dyDescent="0.35">
      <c r="A428" s="24"/>
      <c r="B428" s="75"/>
    </row>
    <row r="429" spans="1:11" ht="15.5" x14ac:dyDescent="0.35">
      <c r="A429" s="24"/>
      <c r="B429" s="75"/>
    </row>
    <row r="430" spans="1:11" ht="18.5" x14ac:dyDescent="0.45">
      <c r="A430" s="151" t="s">
        <v>1</v>
      </c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</row>
    <row r="431" spans="1:11" ht="18.5" x14ac:dyDescent="0.45">
      <c r="A431" s="150" t="s">
        <v>74</v>
      </c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</row>
    <row r="432" spans="1:11" ht="18.5" x14ac:dyDescent="0.45">
      <c r="A432" s="149">
        <v>46128</v>
      </c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</row>
    <row r="433" spans="1:11" ht="18.5" x14ac:dyDescent="0.45">
      <c r="A433" s="150"/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</row>
    <row r="434" spans="1:11" ht="18.5" x14ac:dyDescent="0.45">
      <c r="A434" s="2" t="s">
        <v>75</v>
      </c>
      <c r="B434" s="2" t="s">
        <v>3</v>
      </c>
      <c r="C434" s="2" t="s">
        <v>100</v>
      </c>
      <c r="D434" s="2" t="s">
        <v>90</v>
      </c>
      <c r="E434" s="2" t="s">
        <v>91</v>
      </c>
      <c r="F434" s="2" t="s">
        <v>4</v>
      </c>
      <c r="G434" s="2" t="s">
        <v>101</v>
      </c>
      <c r="H434" s="2" t="s">
        <v>104</v>
      </c>
      <c r="I434" s="2"/>
      <c r="J434" s="2" t="s">
        <v>105</v>
      </c>
      <c r="K434" s="2" t="s">
        <v>106</v>
      </c>
    </row>
    <row r="435" spans="1:11" ht="15.5" x14ac:dyDescent="0.35">
      <c r="A435" s="3" t="s">
        <v>76</v>
      </c>
      <c r="B435" s="1">
        <v>133</v>
      </c>
      <c r="C435" s="20">
        <v>17500</v>
      </c>
      <c r="D435" s="1">
        <v>77</v>
      </c>
      <c r="E435" s="1">
        <v>56</v>
      </c>
      <c r="F435" s="20">
        <f>C435*B435</f>
        <v>2327500</v>
      </c>
      <c r="G435" s="20">
        <f>D435*C435</f>
        <v>1347500</v>
      </c>
      <c r="H435" s="20">
        <f>E435*C435</f>
        <v>980000</v>
      </c>
      <c r="I435" s="20" t="b">
        <f>D435+E435=B435</f>
        <v>1</v>
      </c>
      <c r="J435" s="20">
        <f>B470</f>
        <v>400000</v>
      </c>
      <c r="K435" s="20" t="s">
        <v>117</v>
      </c>
    </row>
    <row r="436" spans="1:11" ht="15.5" x14ac:dyDescent="0.35">
      <c r="A436" s="3" t="s">
        <v>77</v>
      </c>
      <c r="B436" s="1">
        <v>20</v>
      </c>
      <c r="C436" s="20">
        <v>16000</v>
      </c>
      <c r="D436" s="1">
        <v>12</v>
      </c>
      <c r="E436" s="1">
        <v>8</v>
      </c>
      <c r="F436" s="20">
        <f t="shared" ref="F436:G447" si="50">C436*B436</f>
        <v>320000</v>
      </c>
      <c r="G436" s="20">
        <f t="shared" si="50"/>
        <v>192000</v>
      </c>
      <c r="H436" s="20">
        <f t="shared" ref="H436:H451" si="51">E436*C436</f>
        <v>128000</v>
      </c>
      <c r="I436" s="20" t="b">
        <f t="shared" ref="I436:I451" si="52">D436+E436=B436</f>
        <v>1</v>
      </c>
      <c r="J436" s="20">
        <v>426000</v>
      </c>
      <c r="K436" s="20" t="s">
        <v>107</v>
      </c>
    </row>
    <row r="437" spans="1:11" ht="15.5" x14ac:dyDescent="0.35">
      <c r="A437" s="3" t="s">
        <v>78</v>
      </c>
      <c r="B437" s="1">
        <v>57</v>
      </c>
      <c r="C437" s="20">
        <v>17500</v>
      </c>
      <c r="D437" s="1">
        <v>30</v>
      </c>
      <c r="E437" s="1">
        <v>27</v>
      </c>
      <c r="F437" s="20">
        <f t="shared" si="50"/>
        <v>997500</v>
      </c>
      <c r="G437" s="20">
        <f t="shared" si="50"/>
        <v>525000</v>
      </c>
      <c r="H437" s="20">
        <f t="shared" si="51"/>
        <v>472500</v>
      </c>
      <c r="I437" s="20" t="b">
        <f t="shared" si="52"/>
        <v>1</v>
      </c>
      <c r="J437" s="20"/>
      <c r="K437" s="20"/>
    </row>
    <row r="438" spans="1:11" ht="15.5" x14ac:dyDescent="0.35">
      <c r="A438" s="3" t="s">
        <v>79</v>
      </c>
      <c r="B438" s="1">
        <v>29</v>
      </c>
      <c r="C438" s="20">
        <v>18500</v>
      </c>
      <c r="D438" s="1">
        <v>15</v>
      </c>
      <c r="E438" s="1">
        <v>14</v>
      </c>
      <c r="F438" s="20">
        <f t="shared" si="50"/>
        <v>536500</v>
      </c>
      <c r="G438" s="20">
        <f t="shared" si="50"/>
        <v>277500</v>
      </c>
      <c r="H438" s="20">
        <f t="shared" si="51"/>
        <v>259000</v>
      </c>
      <c r="I438" s="20" t="b">
        <f t="shared" si="52"/>
        <v>1</v>
      </c>
      <c r="J438" s="20"/>
      <c r="K438" s="20"/>
    </row>
    <row r="439" spans="1:11" ht="15.5" x14ac:dyDescent="0.35">
      <c r="A439" s="3" t="s">
        <v>80</v>
      </c>
      <c r="B439" s="1"/>
      <c r="C439" s="20">
        <v>18500</v>
      </c>
      <c r="D439" s="1"/>
      <c r="E439" s="1"/>
      <c r="F439" s="20">
        <f t="shared" si="50"/>
        <v>0</v>
      </c>
      <c r="G439" s="20">
        <f t="shared" si="50"/>
        <v>0</v>
      </c>
      <c r="H439" s="20">
        <f t="shared" si="51"/>
        <v>0</v>
      </c>
      <c r="I439" s="20" t="b">
        <f t="shared" si="52"/>
        <v>1</v>
      </c>
      <c r="J439" s="20"/>
      <c r="K439" s="20"/>
    </row>
    <row r="440" spans="1:11" ht="15.5" x14ac:dyDescent="0.35">
      <c r="A440" s="3" t="s">
        <v>81</v>
      </c>
      <c r="B440" s="1"/>
      <c r="C440" s="20">
        <v>23000</v>
      </c>
      <c r="D440" s="1"/>
      <c r="E440" s="1"/>
      <c r="F440" s="20">
        <f t="shared" si="50"/>
        <v>0</v>
      </c>
      <c r="G440" s="20">
        <f t="shared" si="50"/>
        <v>0</v>
      </c>
      <c r="H440" s="20">
        <f t="shared" si="51"/>
        <v>0</v>
      </c>
      <c r="I440" s="20" t="b">
        <f t="shared" si="52"/>
        <v>1</v>
      </c>
      <c r="J440" s="20"/>
      <c r="K440" s="20"/>
    </row>
    <row r="441" spans="1:11" ht="15.5" x14ac:dyDescent="0.35">
      <c r="A441" s="3" t="s">
        <v>82</v>
      </c>
      <c r="B441" s="1"/>
      <c r="C441" s="20">
        <v>18000</v>
      </c>
      <c r="D441" s="1"/>
      <c r="E441" s="1"/>
      <c r="F441" s="20">
        <f t="shared" si="50"/>
        <v>0</v>
      </c>
      <c r="G441" s="20">
        <f t="shared" si="50"/>
        <v>0</v>
      </c>
      <c r="H441" s="20">
        <f t="shared" si="51"/>
        <v>0</v>
      </c>
      <c r="I441" s="20" t="b">
        <f t="shared" si="52"/>
        <v>1</v>
      </c>
      <c r="J441" s="20"/>
      <c r="K441" s="20"/>
    </row>
    <row r="442" spans="1:11" ht="15.5" x14ac:dyDescent="0.35">
      <c r="A442" s="3" t="s">
        <v>83</v>
      </c>
      <c r="B442" s="1"/>
      <c r="C442" s="20">
        <v>18000</v>
      </c>
      <c r="D442" s="1"/>
      <c r="E442" s="1"/>
      <c r="F442" s="20">
        <f t="shared" si="50"/>
        <v>0</v>
      </c>
      <c r="G442" s="20">
        <f t="shared" si="50"/>
        <v>0</v>
      </c>
      <c r="H442" s="20">
        <f t="shared" si="51"/>
        <v>0</v>
      </c>
      <c r="I442" s="20" t="b">
        <f t="shared" si="52"/>
        <v>1</v>
      </c>
      <c r="J442" s="20"/>
      <c r="K442" s="20"/>
    </row>
    <row r="443" spans="1:11" ht="15.5" x14ac:dyDescent="0.35">
      <c r="A443" s="3" t="s">
        <v>84</v>
      </c>
      <c r="B443" s="1">
        <v>47</v>
      </c>
      <c r="C443" s="20">
        <v>18500</v>
      </c>
      <c r="D443" s="1">
        <v>14</v>
      </c>
      <c r="E443" s="1">
        <v>33</v>
      </c>
      <c r="F443" s="20">
        <f t="shared" si="50"/>
        <v>869500</v>
      </c>
      <c r="G443" s="20">
        <f t="shared" si="50"/>
        <v>259000</v>
      </c>
      <c r="H443" s="20">
        <f t="shared" si="51"/>
        <v>610500</v>
      </c>
      <c r="I443" s="20" t="b">
        <f t="shared" si="52"/>
        <v>1</v>
      </c>
      <c r="J443" s="20"/>
      <c r="K443" s="20"/>
    </row>
    <row r="444" spans="1:11" ht="15.5" x14ac:dyDescent="0.35">
      <c r="A444" s="3" t="s">
        <v>85</v>
      </c>
      <c r="B444" s="1"/>
      <c r="C444" s="20">
        <v>18500</v>
      </c>
      <c r="D444" s="1"/>
      <c r="E444" s="1"/>
      <c r="F444" s="20">
        <f t="shared" si="50"/>
        <v>0</v>
      </c>
      <c r="G444" s="20">
        <f t="shared" si="50"/>
        <v>0</v>
      </c>
      <c r="H444" s="20">
        <f t="shared" si="51"/>
        <v>0</v>
      </c>
      <c r="I444" s="20" t="b">
        <f t="shared" si="52"/>
        <v>1</v>
      </c>
      <c r="J444" s="20"/>
      <c r="K444" s="20"/>
    </row>
    <row r="445" spans="1:11" ht="15.5" x14ac:dyDescent="0.35">
      <c r="A445" s="3" t="s">
        <v>86</v>
      </c>
      <c r="B445" s="1"/>
      <c r="C445" s="20">
        <v>18500</v>
      </c>
      <c r="D445" s="1"/>
      <c r="E445" s="1"/>
      <c r="F445" s="20">
        <f t="shared" si="50"/>
        <v>0</v>
      </c>
      <c r="G445" s="20">
        <f t="shared" si="50"/>
        <v>0</v>
      </c>
      <c r="H445" s="20">
        <f t="shared" si="51"/>
        <v>0</v>
      </c>
      <c r="I445" s="20" t="b">
        <f t="shared" si="52"/>
        <v>1</v>
      </c>
      <c r="J445" s="20"/>
      <c r="K445" s="20"/>
    </row>
    <row r="446" spans="1:11" ht="15.5" x14ac:dyDescent="0.35">
      <c r="A446" s="3" t="s">
        <v>87</v>
      </c>
      <c r="B446" s="1">
        <v>13</v>
      </c>
      <c r="C446" s="20">
        <v>18500</v>
      </c>
      <c r="D446" s="1">
        <v>9</v>
      </c>
      <c r="E446" s="1">
        <v>4</v>
      </c>
      <c r="F446" s="20">
        <f t="shared" si="50"/>
        <v>240500</v>
      </c>
      <c r="G446" s="20">
        <f t="shared" si="50"/>
        <v>166500</v>
      </c>
      <c r="H446" s="20">
        <f t="shared" si="51"/>
        <v>74000</v>
      </c>
      <c r="I446" s="20" t="b">
        <f t="shared" si="52"/>
        <v>1</v>
      </c>
      <c r="J446" s="20"/>
      <c r="K446" s="20"/>
    </row>
    <row r="447" spans="1:11" ht="15.5" x14ac:dyDescent="0.35">
      <c r="A447" s="3" t="s">
        <v>88</v>
      </c>
      <c r="B447" s="1">
        <v>16</v>
      </c>
      <c r="C447" s="20">
        <v>18500</v>
      </c>
      <c r="D447" s="1">
        <v>8</v>
      </c>
      <c r="E447" s="1">
        <v>8</v>
      </c>
      <c r="F447" s="20">
        <f t="shared" si="50"/>
        <v>296000</v>
      </c>
      <c r="G447" s="20">
        <f t="shared" si="50"/>
        <v>148000</v>
      </c>
      <c r="H447" s="20">
        <f t="shared" si="51"/>
        <v>148000</v>
      </c>
      <c r="I447" s="20" t="b">
        <f t="shared" si="52"/>
        <v>1</v>
      </c>
      <c r="J447" s="20"/>
      <c r="K447" s="20"/>
    </row>
    <row r="448" spans="1:11" ht="15.5" x14ac:dyDescent="0.35">
      <c r="A448" s="19" t="s">
        <v>89</v>
      </c>
      <c r="B448" s="1"/>
      <c r="C448" s="20"/>
      <c r="D448" s="1"/>
      <c r="E448" s="1"/>
      <c r="F448" s="20"/>
      <c r="G448" s="20"/>
      <c r="H448" s="20">
        <f t="shared" si="51"/>
        <v>0</v>
      </c>
      <c r="I448" s="20" t="b">
        <f t="shared" si="52"/>
        <v>1</v>
      </c>
      <c r="J448" s="20"/>
      <c r="K448" s="20"/>
    </row>
    <row r="449" spans="1:11" ht="15.5" x14ac:dyDescent="0.35">
      <c r="A449" s="3" t="s">
        <v>92</v>
      </c>
      <c r="B449" s="1"/>
      <c r="C449" s="20">
        <v>21500</v>
      </c>
      <c r="D449" s="1"/>
      <c r="E449" s="1"/>
      <c r="F449" s="20">
        <f t="shared" ref="F449:G451" si="53">C449*B449</f>
        <v>0</v>
      </c>
      <c r="G449" s="20">
        <f t="shared" si="53"/>
        <v>0</v>
      </c>
      <c r="H449" s="20">
        <f t="shared" si="51"/>
        <v>0</v>
      </c>
      <c r="I449" s="20" t="b">
        <f t="shared" si="52"/>
        <v>1</v>
      </c>
      <c r="J449" s="20"/>
      <c r="K449" s="20"/>
    </row>
    <row r="450" spans="1:11" ht="15.5" x14ac:dyDescent="0.35">
      <c r="A450" s="3" t="s">
        <v>93</v>
      </c>
      <c r="B450" s="1">
        <v>27</v>
      </c>
      <c r="C450" s="20">
        <v>21500</v>
      </c>
      <c r="D450" s="1">
        <v>14</v>
      </c>
      <c r="E450" s="1">
        <v>13</v>
      </c>
      <c r="F450" s="20">
        <f t="shared" si="53"/>
        <v>580500</v>
      </c>
      <c r="G450" s="20">
        <f t="shared" si="53"/>
        <v>301000</v>
      </c>
      <c r="H450" s="20">
        <f t="shared" si="51"/>
        <v>279500</v>
      </c>
      <c r="I450" s="20" t="b">
        <f t="shared" si="52"/>
        <v>1</v>
      </c>
      <c r="J450" s="20"/>
      <c r="K450" s="20"/>
    </row>
    <row r="451" spans="1:11" ht="15.5" x14ac:dyDescent="0.35">
      <c r="A451" s="3" t="s">
        <v>94</v>
      </c>
      <c r="B451" s="1">
        <v>23</v>
      </c>
      <c r="C451" s="20">
        <v>21500</v>
      </c>
      <c r="D451" s="1">
        <v>11</v>
      </c>
      <c r="E451" s="1">
        <v>12</v>
      </c>
      <c r="F451" s="20">
        <f t="shared" si="53"/>
        <v>494500</v>
      </c>
      <c r="G451" s="20">
        <f t="shared" si="53"/>
        <v>236500</v>
      </c>
      <c r="H451" s="20">
        <f t="shared" si="51"/>
        <v>258000</v>
      </c>
      <c r="I451" s="20" t="b">
        <f t="shared" si="52"/>
        <v>1</v>
      </c>
      <c r="J451" s="20"/>
      <c r="K451" s="20"/>
    </row>
    <row r="452" spans="1:11" ht="15.5" x14ac:dyDescent="0.35">
      <c r="A452" s="19"/>
      <c r="B452" s="22">
        <f>SUM(B435:B451)</f>
        <v>365</v>
      </c>
      <c r="C452" s="20"/>
      <c r="D452" s="1"/>
      <c r="E452" s="1"/>
      <c r="F452" s="23">
        <f>SUM(F435:F451)</f>
        <v>6662500</v>
      </c>
      <c r="G452" s="23">
        <f>SUM(G435:G451)</f>
        <v>3453000</v>
      </c>
      <c r="H452" s="23">
        <f>SUM(H435:H451)</f>
        <v>3209500</v>
      </c>
      <c r="I452" s="23"/>
      <c r="J452" s="23">
        <f>SUM(J435:J451)</f>
        <v>826000</v>
      </c>
      <c r="K452" s="23">
        <f>H452-J452</f>
        <v>2383500</v>
      </c>
    </row>
    <row r="453" spans="1:11" ht="15.5" x14ac:dyDescent="0.35">
      <c r="A453" s="19" t="s">
        <v>95</v>
      </c>
      <c r="B453" s="1"/>
      <c r="C453" s="20"/>
      <c r="D453" s="1"/>
      <c r="E453" s="1"/>
      <c r="F453" s="20"/>
      <c r="G453" s="20"/>
      <c r="H453" s="20" t="s">
        <v>192</v>
      </c>
      <c r="I453" s="20"/>
      <c r="J453" s="20"/>
      <c r="K453" s="20"/>
    </row>
    <row r="454" spans="1:11" ht="15.5" x14ac:dyDescent="0.35">
      <c r="A454" s="3" t="s">
        <v>96</v>
      </c>
      <c r="B454" s="1"/>
      <c r="C454" s="20">
        <v>3000</v>
      </c>
      <c r="D454" s="1"/>
      <c r="E454" s="20"/>
      <c r="F454" s="20">
        <f t="shared" ref="F454:F457" si="54">C454*B454</f>
        <v>0</v>
      </c>
      <c r="G454" s="20"/>
      <c r="H454" s="20"/>
      <c r="I454" s="20"/>
      <c r="J454" s="20"/>
      <c r="K454" s="20"/>
    </row>
    <row r="455" spans="1:11" ht="15.5" x14ac:dyDescent="0.35">
      <c r="A455" s="3" t="s">
        <v>97</v>
      </c>
      <c r="B455" s="1"/>
      <c r="C455" s="20">
        <v>2500</v>
      </c>
      <c r="D455" s="1"/>
      <c r="E455" s="1"/>
      <c r="F455" s="20">
        <f t="shared" si="54"/>
        <v>0</v>
      </c>
      <c r="G455" s="20"/>
      <c r="H455" s="20"/>
      <c r="I455" s="20"/>
      <c r="J455" s="20"/>
      <c r="K455" s="20"/>
    </row>
    <row r="456" spans="1:11" ht="15.5" x14ac:dyDescent="0.35">
      <c r="A456" s="3" t="s">
        <v>98</v>
      </c>
      <c r="B456" s="1"/>
      <c r="C456" s="20">
        <v>1800</v>
      </c>
      <c r="D456" s="1"/>
      <c r="E456" s="1"/>
      <c r="F456" s="20">
        <f t="shared" si="54"/>
        <v>0</v>
      </c>
      <c r="G456" s="20"/>
      <c r="H456" s="20"/>
      <c r="I456" s="20"/>
      <c r="J456" s="20"/>
      <c r="K456" s="20"/>
    </row>
    <row r="457" spans="1:11" ht="15.5" x14ac:dyDescent="0.35">
      <c r="A457" s="3" t="s">
        <v>99</v>
      </c>
      <c r="B457" s="1"/>
      <c r="C457" s="20">
        <v>3500</v>
      </c>
      <c r="D457" s="1"/>
      <c r="E457" s="1"/>
      <c r="F457" s="20">
        <f t="shared" si="54"/>
        <v>0</v>
      </c>
      <c r="G457" s="20"/>
      <c r="H457" s="20"/>
      <c r="I457" s="20"/>
      <c r="J457" s="20"/>
      <c r="K457" s="20"/>
    </row>
    <row r="458" spans="1:11" ht="15.5" x14ac:dyDescent="0.35">
      <c r="A458" s="18"/>
      <c r="F458" s="21"/>
    </row>
    <row r="459" spans="1:11" ht="15.5" x14ac:dyDescent="0.35">
      <c r="A459" s="24" t="s">
        <v>108</v>
      </c>
      <c r="K459" s="21"/>
    </row>
    <row r="460" spans="1:11" ht="15.5" x14ac:dyDescent="0.35">
      <c r="A460" s="18" t="s">
        <v>114</v>
      </c>
      <c r="B460" s="67">
        <v>40000</v>
      </c>
    </row>
    <row r="461" spans="1:11" ht="15.5" x14ac:dyDescent="0.35">
      <c r="A461" s="18" t="s">
        <v>112</v>
      </c>
      <c r="B461" s="67">
        <v>40000</v>
      </c>
    </row>
    <row r="462" spans="1:11" ht="15.5" x14ac:dyDescent="0.35">
      <c r="A462" s="18" t="s">
        <v>309</v>
      </c>
      <c r="B462" s="67">
        <v>60000</v>
      </c>
    </row>
    <row r="463" spans="1:11" ht="15.5" x14ac:dyDescent="0.35">
      <c r="A463" s="18" t="s">
        <v>110</v>
      </c>
      <c r="B463" s="67">
        <v>40000</v>
      </c>
    </row>
    <row r="464" spans="1:11" ht="15.5" x14ac:dyDescent="0.35">
      <c r="A464" s="18" t="s">
        <v>111</v>
      </c>
      <c r="B464" s="67">
        <v>40000</v>
      </c>
    </row>
    <row r="465" spans="1:11" ht="15.5" x14ac:dyDescent="0.35">
      <c r="A465" s="18" t="s">
        <v>196</v>
      </c>
      <c r="B465" s="67">
        <v>40000</v>
      </c>
    </row>
    <row r="466" spans="1:11" ht="15.5" x14ac:dyDescent="0.35">
      <c r="A466" s="18" t="s">
        <v>113</v>
      </c>
      <c r="B466" s="67" t="s">
        <v>422</v>
      </c>
    </row>
    <row r="467" spans="1:11" ht="15.5" x14ac:dyDescent="0.35">
      <c r="A467" s="18" t="s">
        <v>209</v>
      </c>
      <c r="B467" s="67">
        <v>40000</v>
      </c>
    </row>
    <row r="468" spans="1:11" ht="15.5" x14ac:dyDescent="0.35">
      <c r="A468" s="18" t="s">
        <v>115</v>
      </c>
      <c r="B468" s="67">
        <v>60000</v>
      </c>
    </row>
    <row r="469" spans="1:11" ht="15.5" x14ac:dyDescent="0.35">
      <c r="A469" s="18" t="s">
        <v>109</v>
      </c>
      <c r="B469" s="67">
        <v>40000</v>
      </c>
    </row>
    <row r="470" spans="1:11" ht="15.5" x14ac:dyDescent="0.35">
      <c r="A470" s="24" t="s">
        <v>4</v>
      </c>
      <c r="B470" s="75">
        <f>SUM(B460:B469)</f>
        <v>400000</v>
      </c>
    </row>
    <row r="473" spans="1:11" ht="18.5" x14ac:dyDescent="0.45">
      <c r="A473" s="151" t="s">
        <v>1</v>
      </c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</row>
    <row r="474" spans="1:11" ht="18.5" x14ac:dyDescent="0.45">
      <c r="A474" s="150" t="s">
        <v>74</v>
      </c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</row>
    <row r="475" spans="1:11" ht="18.5" x14ac:dyDescent="0.45">
      <c r="A475" s="149">
        <v>46129</v>
      </c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</row>
    <row r="476" spans="1:11" ht="18.5" x14ac:dyDescent="0.45">
      <c r="A476" s="150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</row>
    <row r="477" spans="1:11" ht="18.5" x14ac:dyDescent="0.45">
      <c r="A477" s="2" t="s">
        <v>75</v>
      </c>
      <c r="B477" s="2" t="s">
        <v>3</v>
      </c>
      <c r="C477" s="2" t="s">
        <v>100</v>
      </c>
      <c r="D477" s="2" t="s">
        <v>90</v>
      </c>
      <c r="E477" s="2" t="s">
        <v>91</v>
      </c>
      <c r="F477" s="2" t="s">
        <v>4</v>
      </c>
      <c r="G477" s="2" t="s">
        <v>101</v>
      </c>
      <c r="H477" s="2" t="s">
        <v>104</v>
      </c>
      <c r="I477" s="2"/>
      <c r="J477" s="2" t="s">
        <v>105</v>
      </c>
      <c r="K477" s="2" t="s">
        <v>106</v>
      </c>
    </row>
    <row r="478" spans="1:11" ht="15.5" x14ac:dyDescent="0.35">
      <c r="A478" s="3" t="s">
        <v>76</v>
      </c>
      <c r="B478" s="1">
        <v>50</v>
      </c>
      <c r="C478" s="20">
        <v>17500</v>
      </c>
      <c r="D478" s="1">
        <v>20</v>
      </c>
      <c r="E478" s="1">
        <v>30</v>
      </c>
      <c r="F478" s="20">
        <f>C478*B478</f>
        <v>875000</v>
      </c>
      <c r="G478" s="20">
        <f>D478*C478</f>
        <v>350000</v>
      </c>
      <c r="H478" s="20">
        <f>E478*C478</f>
        <v>525000</v>
      </c>
      <c r="I478" s="20" t="b">
        <f>D478+E478=B478</f>
        <v>1</v>
      </c>
      <c r="J478" s="20">
        <f>B513</f>
        <v>400000</v>
      </c>
      <c r="K478" s="20" t="s">
        <v>117</v>
      </c>
    </row>
    <row r="479" spans="1:11" ht="15.5" x14ac:dyDescent="0.35">
      <c r="A479" s="3" t="s">
        <v>77</v>
      </c>
      <c r="B479" s="1">
        <v>9</v>
      </c>
      <c r="C479" s="20">
        <v>16000</v>
      </c>
      <c r="D479" s="1">
        <v>3</v>
      </c>
      <c r="E479" s="1">
        <v>9</v>
      </c>
      <c r="F479" s="20">
        <f t="shared" ref="F479:G490" si="55">C479*B479</f>
        <v>144000</v>
      </c>
      <c r="G479" s="20">
        <f t="shared" si="55"/>
        <v>48000</v>
      </c>
      <c r="H479" s="20">
        <f t="shared" ref="H479:H494" si="56">E479*C479</f>
        <v>144000</v>
      </c>
      <c r="I479" s="20" t="b">
        <f t="shared" ref="I479:I494" si="57">D479+E479=B479</f>
        <v>0</v>
      </c>
      <c r="J479" s="20">
        <v>104000</v>
      </c>
      <c r="K479" s="20" t="s">
        <v>199</v>
      </c>
    </row>
    <row r="480" spans="1:11" ht="15.5" x14ac:dyDescent="0.35">
      <c r="A480" s="3" t="s">
        <v>78</v>
      </c>
      <c r="B480" s="1">
        <v>36</v>
      </c>
      <c r="C480" s="20">
        <v>17500</v>
      </c>
      <c r="D480" s="1">
        <v>23</v>
      </c>
      <c r="E480" s="1">
        <v>13</v>
      </c>
      <c r="F480" s="20">
        <f t="shared" si="55"/>
        <v>630000</v>
      </c>
      <c r="G480" s="20">
        <f t="shared" si="55"/>
        <v>402500</v>
      </c>
      <c r="H480" s="20">
        <f t="shared" si="56"/>
        <v>227500</v>
      </c>
      <c r="I480" s="20" t="b">
        <f t="shared" si="57"/>
        <v>1</v>
      </c>
      <c r="J480" s="20">
        <v>364000</v>
      </c>
      <c r="K480" s="20" t="s">
        <v>107</v>
      </c>
    </row>
    <row r="481" spans="1:11" ht="15.5" x14ac:dyDescent="0.35">
      <c r="A481" s="3" t="s">
        <v>79</v>
      </c>
      <c r="B481" s="1">
        <v>25</v>
      </c>
      <c r="C481" s="20">
        <v>18500</v>
      </c>
      <c r="D481" s="1">
        <v>9</v>
      </c>
      <c r="E481" s="1">
        <v>16</v>
      </c>
      <c r="F481" s="20">
        <f t="shared" si="55"/>
        <v>462500</v>
      </c>
      <c r="G481" s="20">
        <f t="shared" si="55"/>
        <v>166500</v>
      </c>
      <c r="H481" s="20">
        <f t="shared" si="56"/>
        <v>296000</v>
      </c>
      <c r="I481" s="20" t="b">
        <f t="shared" si="57"/>
        <v>1</v>
      </c>
      <c r="J481" s="20">
        <v>141176</v>
      </c>
      <c r="K481" s="20" t="s">
        <v>425</v>
      </c>
    </row>
    <row r="482" spans="1:11" ht="15.5" x14ac:dyDescent="0.35">
      <c r="A482" s="3" t="s">
        <v>80</v>
      </c>
      <c r="B482" s="1"/>
      <c r="C482" s="20">
        <v>18500</v>
      </c>
      <c r="D482" s="1"/>
      <c r="E482" s="1"/>
      <c r="F482" s="20">
        <f t="shared" si="55"/>
        <v>0</v>
      </c>
      <c r="G482" s="20">
        <f t="shared" si="55"/>
        <v>0</v>
      </c>
      <c r="H482" s="20">
        <f t="shared" si="56"/>
        <v>0</v>
      </c>
      <c r="I482" s="20" t="b">
        <f t="shared" si="57"/>
        <v>1</v>
      </c>
      <c r="J482" s="20"/>
      <c r="K482" s="20"/>
    </row>
    <row r="483" spans="1:11" ht="15.5" x14ac:dyDescent="0.35">
      <c r="A483" s="3" t="s">
        <v>81</v>
      </c>
      <c r="B483" s="1"/>
      <c r="C483" s="20">
        <v>23000</v>
      </c>
      <c r="D483" s="1"/>
      <c r="E483" s="1"/>
      <c r="F483" s="20">
        <f t="shared" si="55"/>
        <v>0</v>
      </c>
      <c r="G483" s="20">
        <f t="shared" si="55"/>
        <v>0</v>
      </c>
      <c r="H483" s="20">
        <f t="shared" si="56"/>
        <v>0</v>
      </c>
      <c r="I483" s="20" t="b">
        <f t="shared" si="57"/>
        <v>1</v>
      </c>
      <c r="J483" s="20"/>
      <c r="K483" s="20"/>
    </row>
    <row r="484" spans="1:11" ht="15.5" x14ac:dyDescent="0.35">
      <c r="A484" s="3" t="s">
        <v>82</v>
      </c>
      <c r="B484" s="1"/>
      <c r="C484" s="20">
        <v>18000</v>
      </c>
      <c r="D484" s="1"/>
      <c r="E484" s="1"/>
      <c r="F484" s="20">
        <f t="shared" si="55"/>
        <v>0</v>
      </c>
      <c r="G484" s="20">
        <f t="shared" si="55"/>
        <v>0</v>
      </c>
      <c r="H484" s="20">
        <f t="shared" si="56"/>
        <v>0</v>
      </c>
      <c r="I484" s="20" t="b">
        <f t="shared" si="57"/>
        <v>1</v>
      </c>
      <c r="J484" s="20"/>
      <c r="K484" s="20"/>
    </row>
    <row r="485" spans="1:11" ht="15.5" x14ac:dyDescent="0.35">
      <c r="A485" s="3" t="s">
        <v>83</v>
      </c>
      <c r="B485" s="1"/>
      <c r="C485" s="20">
        <v>18000</v>
      </c>
      <c r="D485" s="1"/>
      <c r="E485" s="1"/>
      <c r="F485" s="20">
        <f t="shared" si="55"/>
        <v>0</v>
      </c>
      <c r="G485" s="20">
        <f t="shared" si="55"/>
        <v>0</v>
      </c>
      <c r="H485" s="20">
        <f t="shared" si="56"/>
        <v>0</v>
      </c>
      <c r="I485" s="20" t="b">
        <f t="shared" si="57"/>
        <v>1</v>
      </c>
      <c r="J485" s="20"/>
      <c r="K485" s="20"/>
    </row>
    <row r="486" spans="1:11" ht="15.5" x14ac:dyDescent="0.35">
      <c r="A486" s="3" t="s">
        <v>84</v>
      </c>
      <c r="B486" s="1"/>
      <c r="C486" s="20">
        <v>18500</v>
      </c>
      <c r="D486" s="1"/>
      <c r="E486" s="1"/>
      <c r="F486" s="20">
        <f t="shared" si="55"/>
        <v>0</v>
      </c>
      <c r="G486" s="20">
        <f t="shared" si="55"/>
        <v>0</v>
      </c>
      <c r="H486" s="20">
        <f t="shared" si="56"/>
        <v>0</v>
      </c>
      <c r="I486" s="20" t="b">
        <f t="shared" si="57"/>
        <v>1</v>
      </c>
      <c r="J486" s="20"/>
      <c r="K486" s="20"/>
    </row>
    <row r="487" spans="1:11" ht="15.5" x14ac:dyDescent="0.35">
      <c r="A487" s="3" t="s">
        <v>85</v>
      </c>
      <c r="B487" s="1">
        <v>50</v>
      </c>
      <c r="C487" s="20">
        <v>18500</v>
      </c>
      <c r="D487" s="1">
        <v>25</v>
      </c>
      <c r="E487" s="1">
        <v>25</v>
      </c>
      <c r="F487" s="20">
        <f t="shared" si="55"/>
        <v>925000</v>
      </c>
      <c r="G487" s="20">
        <f t="shared" si="55"/>
        <v>462500</v>
      </c>
      <c r="H487" s="20">
        <f t="shared" si="56"/>
        <v>462500</v>
      </c>
      <c r="I487" s="20" t="b">
        <f t="shared" si="57"/>
        <v>1</v>
      </c>
      <c r="J487" s="20"/>
      <c r="K487" s="20"/>
    </row>
    <row r="488" spans="1:11" ht="15.5" x14ac:dyDescent="0.35">
      <c r="A488" s="3" t="s">
        <v>86</v>
      </c>
      <c r="B488" s="1">
        <v>5</v>
      </c>
      <c r="C488" s="20">
        <v>18500</v>
      </c>
      <c r="D488" s="1">
        <v>2</v>
      </c>
      <c r="E488" s="1">
        <v>3</v>
      </c>
      <c r="F488" s="20">
        <f t="shared" si="55"/>
        <v>92500</v>
      </c>
      <c r="G488" s="20">
        <f t="shared" si="55"/>
        <v>37000</v>
      </c>
      <c r="H488" s="20">
        <f t="shared" si="56"/>
        <v>55500</v>
      </c>
      <c r="I488" s="20" t="b">
        <f t="shared" si="57"/>
        <v>1</v>
      </c>
      <c r="J488" s="20"/>
      <c r="K488" s="20"/>
    </row>
    <row r="489" spans="1:11" ht="15.5" x14ac:dyDescent="0.35">
      <c r="A489" s="3" t="s">
        <v>87</v>
      </c>
      <c r="B489" s="1"/>
      <c r="C489" s="20">
        <v>18500</v>
      </c>
      <c r="D489" s="1"/>
      <c r="E489" s="1"/>
      <c r="F489" s="20">
        <f t="shared" si="55"/>
        <v>0</v>
      </c>
      <c r="G489" s="20">
        <f t="shared" si="55"/>
        <v>0</v>
      </c>
      <c r="H489" s="20">
        <f t="shared" si="56"/>
        <v>0</v>
      </c>
      <c r="I489" s="20" t="b">
        <f t="shared" si="57"/>
        <v>1</v>
      </c>
      <c r="J489" s="20"/>
      <c r="K489" s="20"/>
    </row>
    <row r="490" spans="1:11" ht="15.5" x14ac:dyDescent="0.35">
      <c r="A490" s="3" t="s">
        <v>88</v>
      </c>
      <c r="B490" s="1">
        <v>5</v>
      </c>
      <c r="C490" s="20">
        <v>18500</v>
      </c>
      <c r="D490" s="1">
        <v>1</v>
      </c>
      <c r="E490" s="1">
        <v>4</v>
      </c>
      <c r="F490" s="20">
        <f t="shared" si="55"/>
        <v>92500</v>
      </c>
      <c r="G490" s="20">
        <f t="shared" si="55"/>
        <v>18500</v>
      </c>
      <c r="H490" s="20">
        <f t="shared" si="56"/>
        <v>74000</v>
      </c>
      <c r="I490" s="20" t="b">
        <f t="shared" si="57"/>
        <v>1</v>
      </c>
      <c r="J490" s="20"/>
      <c r="K490" s="20"/>
    </row>
    <row r="491" spans="1:11" ht="15.5" x14ac:dyDescent="0.35">
      <c r="A491" s="19" t="s">
        <v>89</v>
      </c>
      <c r="B491" s="1"/>
      <c r="C491" s="20"/>
      <c r="D491" s="1"/>
      <c r="E491" s="1"/>
      <c r="F491" s="20"/>
      <c r="G491" s="20"/>
      <c r="H491" s="20">
        <f t="shared" si="56"/>
        <v>0</v>
      </c>
      <c r="I491" s="20" t="b">
        <f t="shared" si="57"/>
        <v>1</v>
      </c>
      <c r="J491" s="20"/>
      <c r="K491" s="20"/>
    </row>
    <row r="492" spans="1:11" ht="15.5" x14ac:dyDescent="0.35">
      <c r="A492" s="3" t="s">
        <v>92</v>
      </c>
      <c r="B492" s="1">
        <v>31</v>
      </c>
      <c r="C492" s="20">
        <v>21500</v>
      </c>
      <c r="D492" s="1">
        <v>15</v>
      </c>
      <c r="E492" s="1">
        <v>16</v>
      </c>
      <c r="F492" s="20">
        <f t="shared" ref="F492:G494" si="58">C492*B492</f>
        <v>666500</v>
      </c>
      <c r="G492" s="20">
        <f t="shared" si="58"/>
        <v>322500</v>
      </c>
      <c r="H492" s="20">
        <f t="shared" si="56"/>
        <v>344000</v>
      </c>
      <c r="I492" s="20" t="b">
        <f t="shared" si="57"/>
        <v>1</v>
      </c>
      <c r="J492" s="20"/>
      <c r="K492" s="20"/>
    </row>
    <row r="493" spans="1:11" ht="15.5" x14ac:dyDescent="0.35">
      <c r="A493" s="3" t="s">
        <v>93</v>
      </c>
      <c r="B493" s="1"/>
      <c r="C493" s="20">
        <v>21500</v>
      </c>
      <c r="D493" s="1"/>
      <c r="E493" s="1"/>
      <c r="F493" s="20">
        <f t="shared" si="58"/>
        <v>0</v>
      </c>
      <c r="G493" s="20">
        <f t="shared" si="58"/>
        <v>0</v>
      </c>
      <c r="H493" s="20">
        <f t="shared" si="56"/>
        <v>0</v>
      </c>
      <c r="I493" s="20" t="b">
        <f t="shared" si="57"/>
        <v>1</v>
      </c>
      <c r="J493" s="20"/>
      <c r="K493" s="20"/>
    </row>
    <row r="494" spans="1:11" ht="15.5" x14ac:dyDescent="0.35">
      <c r="A494" s="3" t="s">
        <v>94</v>
      </c>
      <c r="B494" s="1">
        <v>32</v>
      </c>
      <c r="C494" s="20">
        <v>21500</v>
      </c>
      <c r="D494" s="1">
        <v>18</v>
      </c>
      <c r="E494" s="1">
        <v>14</v>
      </c>
      <c r="F494" s="20">
        <f t="shared" si="58"/>
        <v>688000</v>
      </c>
      <c r="G494" s="20">
        <f t="shared" si="58"/>
        <v>387000</v>
      </c>
      <c r="H494" s="20">
        <f t="shared" si="56"/>
        <v>301000</v>
      </c>
      <c r="I494" s="20" t="b">
        <f t="shared" si="57"/>
        <v>1</v>
      </c>
      <c r="J494" s="20"/>
      <c r="K494" s="20"/>
    </row>
    <row r="495" spans="1:11" ht="15.5" x14ac:dyDescent="0.35">
      <c r="A495" s="19"/>
      <c r="B495" s="22">
        <f>SUM(B478:B494)</f>
        <v>243</v>
      </c>
      <c r="C495" s="20"/>
      <c r="D495" s="1"/>
      <c r="E495" s="1"/>
      <c r="F495" s="23">
        <f>SUM(F478:F494)</f>
        <v>4576000</v>
      </c>
      <c r="G495" s="23">
        <f>SUM(G478:G494)</f>
        <v>2194500</v>
      </c>
      <c r="H495" s="23">
        <f>SUM(H478:H494)</f>
        <v>2429500</v>
      </c>
      <c r="I495" s="23"/>
      <c r="J495" s="23">
        <f>SUM(J478:J494)</f>
        <v>1009176</v>
      </c>
      <c r="K495" s="23">
        <f>H495-J495</f>
        <v>1420324</v>
      </c>
    </row>
    <row r="496" spans="1:11" ht="15.5" x14ac:dyDescent="0.35">
      <c r="A496" s="19" t="s">
        <v>95</v>
      </c>
      <c r="B496" s="1"/>
      <c r="C496" s="20"/>
      <c r="D496" s="1"/>
      <c r="E496" s="1"/>
      <c r="F496" s="20"/>
      <c r="G496" s="20"/>
      <c r="H496" s="20" t="s">
        <v>192</v>
      </c>
      <c r="I496" s="20"/>
      <c r="J496" s="20"/>
      <c r="K496" s="20"/>
    </row>
    <row r="497" spans="1:11" ht="15.5" x14ac:dyDescent="0.35">
      <c r="A497" s="3" t="s">
        <v>96</v>
      </c>
      <c r="B497" s="1"/>
      <c r="C497" s="20">
        <v>3000</v>
      </c>
      <c r="D497" s="1"/>
      <c r="E497" s="20"/>
      <c r="F497" s="20">
        <f t="shared" ref="F497:F500" si="59">C497*B497</f>
        <v>0</v>
      </c>
      <c r="G497" s="20"/>
      <c r="H497" s="20"/>
      <c r="I497" s="20"/>
      <c r="J497" s="20"/>
      <c r="K497" s="20"/>
    </row>
    <row r="498" spans="1:11" ht="15.5" x14ac:dyDescent="0.35">
      <c r="A498" s="3" t="s">
        <v>97</v>
      </c>
      <c r="B498" s="1"/>
      <c r="C498" s="20">
        <v>2500</v>
      </c>
      <c r="D498" s="1"/>
      <c r="E498" s="1"/>
      <c r="F498" s="20">
        <f t="shared" si="59"/>
        <v>0</v>
      </c>
      <c r="G498" s="20"/>
      <c r="H498" s="20"/>
      <c r="I498" s="20"/>
      <c r="J498" s="20"/>
      <c r="K498" s="20"/>
    </row>
    <row r="499" spans="1:11" ht="15.5" x14ac:dyDescent="0.35">
      <c r="A499" s="3" t="s">
        <v>98</v>
      </c>
      <c r="B499" s="1"/>
      <c r="C499" s="20">
        <v>1800</v>
      </c>
      <c r="D499" s="1"/>
      <c r="E499" s="1"/>
      <c r="F499" s="20">
        <f t="shared" si="59"/>
        <v>0</v>
      </c>
      <c r="G499" s="20"/>
      <c r="H499" s="20"/>
      <c r="I499" s="20"/>
      <c r="J499" s="20"/>
      <c r="K499" s="20"/>
    </row>
    <row r="500" spans="1:11" ht="15.5" x14ac:dyDescent="0.35">
      <c r="A500" s="3" t="s">
        <v>99</v>
      </c>
      <c r="B500" s="1"/>
      <c r="C500" s="20">
        <v>3500</v>
      </c>
      <c r="D500" s="1"/>
      <c r="E500" s="1"/>
      <c r="F500" s="20">
        <f t="shared" si="59"/>
        <v>0</v>
      </c>
      <c r="G500" s="20"/>
      <c r="H500" s="20"/>
      <c r="I500" s="20"/>
      <c r="J500" s="20"/>
      <c r="K500" s="20"/>
    </row>
    <row r="501" spans="1:11" ht="15.5" x14ac:dyDescent="0.35">
      <c r="A501" s="18"/>
      <c r="F501" s="21"/>
    </row>
    <row r="502" spans="1:11" ht="15.5" x14ac:dyDescent="0.35">
      <c r="A502" s="24" t="s">
        <v>108</v>
      </c>
      <c r="K502" s="21"/>
    </row>
    <row r="503" spans="1:11" ht="15.5" x14ac:dyDescent="0.35">
      <c r="A503" s="18" t="s">
        <v>114</v>
      </c>
      <c r="B503" s="67">
        <v>40000</v>
      </c>
    </row>
    <row r="504" spans="1:11" ht="15.5" x14ac:dyDescent="0.35">
      <c r="A504" s="18" t="s">
        <v>112</v>
      </c>
      <c r="B504" s="67">
        <v>40000</v>
      </c>
    </row>
    <row r="505" spans="1:11" ht="15.5" x14ac:dyDescent="0.35">
      <c r="A505" s="18" t="s">
        <v>309</v>
      </c>
      <c r="B505" s="67">
        <v>60000</v>
      </c>
    </row>
    <row r="506" spans="1:11" ht="15.5" x14ac:dyDescent="0.35">
      <c r="A506" s="18" t="s">
        <v>110</v>
      </c>
      <c r="B506" s="67">
        <v>40000</v>
      </c>
    </row>
    <row r="507" spans="1:11" ht="15.5" x14ac:dyDescent="0.35">
      <c r="A507" s="18" t="s">
        <v>111</v>
      </c>
      <c r="B507" s="67">
        <v>40000</v>
      </c>
    </row>
    <row r="508" spans="1:11" ht="15.5" x14ac:dyDescent="0.35">
      <c r="A508" s="18" t="s">
        <v>196</v>
      </c>
      <c r="B508" s="67">
        <v>40000</v>
      </c>
    </row>
    <row r="509" spans="1:11" ht="15.5" x14ac:dyDescent="0.35">
      <c r="A509" s="18" t="s">
        <v>113</v>
      </c>
      <c r="B509" s="67" t="s">
        <v>422</v>
      </c>
    </row>
    <row r="510" spans="1:11" ht="15.5" x14ac:dyDescent="0.35">
      <c r="A510" s="18" t="s">
        <v>209</v>
      </c>
      <c r="B510" s="67">
        <v>40000</v>
      </c>
    </row>
    <row r="511" spans="1:11" ht="15.5" x14ac:dyDescent="0.35">
      <c r="A511" s="18" t="s">
        <v>115</v>
      </c>
      <c r="B511" s="67">
        <v>60000</v>
      </c>
    </row>
    <row r="512" spans="1:11" ht="15.5" x14ac:dyDescent="0.35">
      <c r="A512" s="18" t="s">
        <v>109</v>
      </c>
      <c r="B512" s="67">
        <v>40000</v>
      </c>
    </row>
    <row r="513" spans="1:11" ht="15.5" x14ac:dyDescent="0.35">
      <c r="A513" s="24" t="s">
        <v>4</v>
      </c>
      <c r="B513" s="75">
        <f>SUM(B503:B512)</f>
        <v>400000</v>
      </c>
    </row>
    <row r="516" spans="1:11" ht="18.5" x14ac:dyDescent="0.45">
      <c r="A516" s="151" t="s">
        <v>1</v>
      </c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</row>
    <row r="517" spans="1:11" ht="18.5" x14ac:dyDescent="0.45">
      <c r="A517" s="150" t="s">
        <v>74</v>
      </c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</row>
    <row r="518" spans="1:11" ht="18.5" x14ac:dyDescent="0.45">
      <c r="A518" s="149">
        <v>46130</v>
      </c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</row>
    <row r="519" spans="1:11" ht="18.5" x14ac:dyDescent="0.45">
      <c r="A519" s="150"/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</row>
    <row r="520" spans="1:11" ht="18.5" x14ac:dyDescent="0.45">
      <c r="A520" s="2" t="s">
        <v>75</v>
      </c>
      <c r="B520" s="2" t="s">
        <v>3</v>
      </c>
      <c r="C520" s="2" t="s">
        <v>100</v>
      </c>
      <c r="D520" s="2" t="s">
        <v>90</v>
      </c>
      <c r="E520" s="2" t="s">
        <v>91</v>
      </c>
      <c r="F520" s="2" t="s">
        <v>4</v>
      </c>
      <c r="G520" s="2" t="s">
        <v>101</v>
      </c>
      <c r="H520" s="2" t="s">
        <v>104</v>
      </c>
      <c r="I520" s="2"/>
      <c r="J520" s="2" t="s">
        <v>105</v>
      </c>
      <c r="K520" s="2" t="s">
        <v>106</v>
      </c>
    </row>
    <row r="521" spans="1:11" ht="15.5" x14ac:dyDescent="0.35">
      <c r="A521" s="3" t="s">
        <v>76</v>
      </c>
      <c r="B521" s="1">
        <v>80</v>
      </c>
      <c r="C521" s="20">
        <v>17500</v>
      </c>
      <c r="D521" s="1">
        <v>39</v>
      </c>
      <c r="E521" s="1">
        <v>41</v>
      </c>
      <c r="F521" s="20">
        <f>C521*B521</f>
        <v>1400000</v>
      </c>
      <c r="G521" s="20">
        <f>D521*C521</f>
        <v>682500</v>
      </c>
      <c r="H521" s="20">
        <f>E521*C521</f>
        <v>717500</v>
      </c>
      <c r="I521" s="20" t="b">
        <f>D521+E521=B521</f>
        <v>1</v>
      </c>
      <c r="J521" s="20">
        <f>B550</f>
        <v>240000</v>
      </c>
      <c r="K521" s="20"/>
    </row>
    <row r="522" spans="1:11" ht="15.5" x14ac:dyDescent="0.35">
      <c r="A522" s="3" t="s">
        <v>77</v>
      </c>
      <c r="B522" s="1">
        <v>16</v>
      </c>
      <c r="C522" s="20">
        <v>16000</v>
      </c>
      <c r="D522" s="1">
        <v>8</v>
      </c>
      <c r="E522" s="1">
        <v>8</v>
      </c>
      <c r="F522" s="20">
        <f t="shared" ref="F522:G533" si="60">C522*B522</f>
        <v>256000</v>
      </c>
      <c r="G522" s="20">
        <f t="shared" si="60"/>
        <v>128000</v>
      </c>
      <c r="H522" s="20">
        <f t="shared" ref="H522:H537" si="61">E522*C522</f>
        <v>128000</v>
      </c>
      <c r="I522" s="20" t="b">
        <f t="shared" ref="I522:I537" si="62">D522+E522=B522</f>
        <v>1</v>
      </c>
      <c r="J522" s="20"/>
      <c r="K522" s="20"/>
    </row>
    <row r="523" spans="1:11" ht="15.5" x14ac:dyDescent="0.35">
      <c r="A523" s="3" t="s">
        <v>78</v>
      </c>
      <c r="B523" s="1">
        <v>38</v>
      </c>
      <c r="C523" s="20">
        <v>17500</v>
      </c>
      <c r="D523" s="1">
        <v>10</v>
      </c>
      <c r="E523" s="1">
        <v>28</v>
      </c>
      <c r="F523" s="20">
        <f t="shared" si="60"/>
        <v>665000</v>
      </c>
      <c r="G523" s="20">
        <f t="shared" si="60"/>
        <v>175000</v>
      </c>
      <c r="H523" s="20">
        <f t="shared" si="61"/>
        <v>490000</v>
      </c>
      <c r="I523" s="20" t="b">
        <f t="shared" si="62"/>
        <v>1</v>
      </c>
      <c r="J523" s="20"/>
      <c r="K523" s="20"/>
    </row>
    <row r="524" spans="1:11" ht="15.5" x14ac:dyDescent="0.35">
      <c r="A524" s="3" t="s">
        <v>79</v>
      </c>
      <c r="B524" s="1">
        <v>15</v>
      </c>
      <c r="C524" s="20">
        <v>18500</v>
      </c>
      <c r="D524" s="1">
        <v>10</v>
      </c>
      <c r="E524" s="1">
        <v>5</v>
      </c>
      <c r="F524" s="20">
        <f t="shared" si="60"/>
        <v>277500</v>
      </c>
      <c r="G524" s="20">
        <f t="shared" si="60"/>
        <v>185000</v>
      </c>
      <c r="H524" s="20">
        <f t="shared" si="61"/>
        <v>92500</v>
      </c>
      <c r="I524" s="20" t="b">
        <f t="shared" si="62"/>
        <v>1</v>
      </c>
      <c r="J524" s="20"/>
      <c r="K524" s="20"/>
    </row>
    <row r="525" spans="1:11" ht="15.5" x14ac:dyDescent="0.35">
      <c r="A525" s="3" t="s">
        <v>80</v>
      </c>
      <c r="B525" s="1">
        <v>19</v>
      </c>
      <c r="C525" s="20">
        <v>18500</v>
      </c>
      <c r="D525" s="1">
        <v>12</v>
      </c>
      <c r="E525" s="1">
        <v>7</v>
      </c>
      <c r="F525" s="20">
        <f t="shared" si="60"/>
        <v>351500</v>
      </c>
      <c r="G525" s="20">
        <f t="shared" si="60"/>
        <v>222000</v>
      </c>
      <c r="H525" s="20">
        <f t="shared" si="61"/>
        <v>129500</v>
      </c>
      <c r="I525" s="20" t="b">
        <f t="shared" si="62"/>
        <v>1</v>
      </c>
      <c r="J525" s="20"/>
      <c r="K525" s="20"/>
    </row>
    <row r="526" spans="1:11" ht="15.5" x14ac:dyDescent="0.35">
      <c r="A526" s="3" t="s">
        <v>81</v>
      </c>
      <c r="B526" s="1">
        <v>12</v>
      </c>
      <c r="C526" s="20">
        <v>23000</v>
      </c>
      <c r="D526" s="1">
        <v>2</v>
      </c>
      <c r="E526" s="1">
        <v>10</v>
      </c>
      <c r="F526" s="20">
        <f t="shared" si="60"/>
        <v>276000</v>
      </c>
      <c r="G526" s="20">
        <f t="shared" si="60"/>
        <v>46000</v>
      </c>
      <c r="H526" s="20">
        <f t="shared" si="61"/>
        <v>230000</v>
      </c>
      <c r="I526" s="20" t="b">
        <f t="shared" si="62"/>
        <v>1</v>
      </c>
      <c r="J526" s="20"/>
      <c r="K526" s="20"/>
    </row>
    <row r="527" spans="1:11" ht="15.5" x14ac:dyDescent="0.35">
      <c r="A527" s="3" t="s">
        <v>82</v>
      </c>
      <c r="B527" s="1"/>
      <c r="C527" s="20">
        <v>18000</v>
      </c>
      <c r="D527" s="1"/>
      <c r="E527" s="1"/>
      <c r="F527" s="20">
        <f t="shared" si="60"/>
        <v>0</v>
      </c>
      <c r="G527" s="20">
        <f t="shared" si="60"/>
        <v>0</v>
      </c>
      <c r="H527" s="20">
        <f t="shared" si="61"/>
        <v>0</v>
      </c>
      <c r="I527" s="20" t="b">
        <f t="shared" si="62"/>
        <v>1</v>
      </c>
      <c r="J527" s="20"/>
      <c r="K527" s="20"/>
    </row>
    <row r="528" spans="1:11" ht="15.5" x14ac:dyDescent="0.35">
      <c r="A528" s="3" t="s">
        <v>83</v>
      </c>
      <c r="B528" s="1"/>
      <c r="C528" s="20">
        <v>18000</v>
      </c>
      <c r="D528" s="1"/>
      <c r="E528" s="1"/>
      <c r="F528" s="20">
        <f t="shared" si="60"/>
        <v>0</v>
      </c>
      <c r="G528" s="20">
        <f t="shared" si="60"/>
        <v>0</v>
      </c>
      <c r="H528" s="20">
        <f t="shared" si="61"/>
        <v>0</v>
      </c>
      <c r="I528" s="20" t="b">
        <f t="shared" si="62"/>
        <v>1</v>
      </c>
      <c r="J528" s="20"/>
      <c r="K528" s="20"/>
    </row>
    <row r="529" spans="1:11" ht="15.5" x14ac:dyDescent="0.35">
      <c r="A529" s="3" t="s">
        <v>84</v>
      </c>
      <c r="B529" s="1"/>
      <c r="C529" s="20">
        <v>18500</v>
      </c>
      <c r="D529" s="1"/>
      <c r="E529" s="1"/>
      <c r="F529" s="20">
        <f t="shared" si="60"/>
        <v>0</v>
      </c>
      <c r="G529" s="20">
        <f t="shared" si="60"/>
        <v>0</v>
      </c>
      <c r="H529" s="20">
        <f t="shared" si="61"/>
        <v>0</v>
      </c>
      <c r="I529" s="20" t="b">
        <f t="shared" si="62"/>
        <v>1</v>
      </c>
      <c r="J529" s="20"/>
      <c r="K529" s="20"/>
    </row>
    <row r="530" spans="1:11" ht="15.5" x14ac:dyDescent="0.35">
      <c r="A530" s="3" t="s">
        <v>85</v>
      </c>
      <c r="B530" s="1">
        <v>20</v>
      </c>
      <c r="C530" s="20">
        <v>18500</v>
      </c>
      <c r="D530" s="1">
        <v>15</v>
      </c>
      <c r="E530" s="1">
        <v>5</v>
      </c>
      <c r="F530" s="20">
        <f t="shared" si="60"/>
        <v>370000</v>
      </c>
      <c r="G530" s="20">
        <f t="shared" si="60"/>
        <v>277500</v>
      </c>
      <c r="H530" s="20">
        <f t="shared" si="61"/>
        <v>92500</v>
      </c>
      <c r="I530" s="20" t="b">
        <f t="shared" si="62"/>
        <v>1</v>
      </c>
      <c r="J530" s="20"/>
      <c r="K530" s="20"/>
    </row>
    <row r="531" spans="1:11" ht="15.5" x14ac:dyDescent="0.35">
      <c r="A531" s="3" t="s">
        <v>86</v>
      </c>
      <c r="B531" s="1">
        <v>2</v>
      </c>
      <c r="C531" s="20">
        <v>18500</v>
      </c>
      <c r="D531" s="1"/>
      <c r="E531" s="1">
        <v>2</v>
      </c>
      <c r="F531" s="20">
        <f t="shared" si="60"/>
        <v>37000</v>
      </c>
      <c r="G531" s="20">
        <f t="shared" si="60"/>
        <v>0</v>
      </c>
      <c r="H531" s="20">
        <f t="shared" si="61"/>
        <v>37000</v>
      </c>
      <c r="I531" s="20" t="b">
        <f t="shared" si="62"/>
        <v>1</v>
      </c>
      <c r="J531" s="20"/>
      <c r="K531" s="20"/>
    </row>
    <row r="532" spans="1:11" ht="15.5" x14ac:dyDescent="0.35">
      <c r="A532" s="3" t="s">
        <v>87</v>
      </c>
      <c r="B532" s="1">
        <v>2</v>
      </c>
      <c r="C532" s="20">
        <v>18500</v>
      </c>
      <c r="D532" s="1">
        <v>1</v>
      </c>
      <c r="E532" s="1">
        <v>1</v>
      </c>
      <c r="F532" s="20">
        <f t="shared" si="60"/>
        <v>37000</v>
      </c>
      <c r="G532" s="20">
        <f t="shared" si="60"/>
        <v>18500</v>
      </c>
      <c r="H532" s="20">
        <f t="shared" si="61"/>
        <v>18500</v>
      </c>
      <c r="I532" s="20" t="b">
        <f t="shared" si="62"/>
        <v>1</v>
      </c>
      <c r="J532" s="20"/>
      <c r="K532" s="20"/>
    </row>
    <row r="533" spans="1:11" ht="15.5" x14ac:dyDescent="0.35">
      <c r="A533" s="3" t="s">
        <v>88</v>
      </c>
      <c r="B533" s="1"/>
      <c r="C533" s="20">
        <v>18500</v>
      </c>
      <c r="D533" s="1"/>
      <c r="E533" s="1"/>
      <c r="F533" s="20">
        <f t="shared" si="60"/>
        <v>0</v>
      </c>
      <c r="G533" s="20">
        <f t="shared" si="60"/>
        <v>0</v>
      </c>
      <c r="H533" s="20">
        <f t="shared" si="61"/>
        <v>0</v>
      </c>
      <c r="I533" s="20" t="b">
        <f t="shared" si="62"/>
        <v>1</v>
      </c>
      <c r="J533" s="20"/>
      <c r="K533" s="20"/>
    </row>
    <row r="534" spans="1:11" ht="15.5" x14ac:dyDescent="0.35">
      <c r="A534" s="19" t="s">
        <v>89</v>
      </c>
      <c r="B534" s="1"/>
      <c r="C534" s="20"/>
      <c r="D534" s="1"/>
      <c r="E534" s="1"/>
      <c r="F534" s="20"/>
      <c r="G534" s="20"/>
      <c r="H534" s="20">
        <f t="shared" si="61"/>
        <v>0</v>
      </c>
      <c r="I534" s="20" t="b">
        <f t="shared" si="62"/>
        <v>1</v>
      </c>
      <c r="J534" s="20"/>
      <c r="K534" s="20"/>
    </row>
    <row r="535" spans="1:11" ht="15.5" x14ac:dyDescent="0.35">
      <c r="A535" s="3" t="s">
        <v>92</v>
      </c>
      <c r="B535" s="1">
        <v>30</v>
      </c>
      <c r="C535" s="20">
        <v>21500</v>
      </c>
      <c r="D535" s="1">
        <v>10</v>
      </c>
      <c r="E535" s="1">
        <v>20</v>
      </c>
      <c r="F535" s="20">
        <f t="shared" ref="F535:G537" si="63">C535*B535</f>
        <v>645000</v>
      </c>
      <c r="G535" s="20">
        <f t="shared" si="63"/>
        <v>215000</v>
      </c>
      <c r="H535" s="20">
        <f t="shared" si="61"/>
        <v>430000</v>
      </c>
      <c r="I535" s="20" t="b">
        <f t="shared" si="62"/>
        <v>1</v>
      </c>
      <c r="J535" s="20"/>
      <c r="K535" s="20"/>
    </row>
    <row r="536" spans="1:11" ht="15.5" x14ac:dyDescent="0.35">
      <c r="A536" s="3" t="s">
        <v>93</v>
      </c>
      <c r="B536" s="1">
        <v>10</v>
      </c>
      <c r="C536" s="20">
        <v>21500</v>
      </c>
      <c r="D536" s="1">
        <v>6</v>
      </c>
      <c r="E536" s="1">
        <v>4</v>
      </c>
      <c r="F536" s="20">
        <f t="shared" si="63"/>
        <v>215000</v>
      </c>
      <c r="G536" s="20">
        <f t="shared" si="63"/>
        <v>129000</v>
      </c>
      <c r="H536" s="20">
        <f t="shared" si="61"/>
        <v>86000</v>
      </c>
      <c r="I536" s="20" t="b">
        <f t="shared" si="62"/>
        <v>1</v>
      </c>
      <c r="J536" s="20"/>
      <c r="K536" s="20"/>
    </row>
    <row r="537" spans="1:11" ht="15.5" x14ac:dyDescent="0.35">
      <c r="A537" s="3" t="s">
        <v>94</v>
      </c>
      <c r="B537" s="1"/>
      <c r="C537" s="20">
        <v>21500</v>
      </c>
      <c r="D537" s="1"/>
      <c r="E537" s="1"/>
      <c r="F537" s="20">
        <f t="shared" si="63"/>
        <v>0</v>
      </c>
      <c r="G537" s="20">
        <f t="shared" si="63"/>
        <v>0</v>
      </c>
      <c r="H537" s="20">
        <f t="shared" si="61"/>
        <v>0</v>
      </c>
      <c r="I537" s="20" t="b">
        <f t="shared" si="62"/>
        <v>1</v>
      </c>
      <c r="J537" s="20"/>
      <c r="K537" s="20"/>
    </row>
    <row r="538" spans="1:11" ht="15.5" x14ac:dyDescent="0.35">
      <c r="A538" s="19"/>
      <c r="B538" s="22">
        <f>SUM(B521:B537)</f>
        <v>244</v>
      </c>
      <c r="C538" s="20"/>
      <c r="D538" s="1"/>
      <c r="E538" s="1"/>
      <c r="F538" s="23">
        <f>SUM(F521:F537)</f>
        <v>4530000</v>
      </c>
      <c r="G538" s="23">
        <f>SUM(G521:G537)</f>
        <v>2078500</v>
      </c>
      <c r="H538" s="23">
        <f>SUM(H521:H537)</f>
        <v>2451500</v>
      </c>
      <c r="I538" s="23"/>
      <c r="J538" s="23">
        <f>SUM(J521:J537)</f>
        <v>240000</v>
      </c>
      <c r="K538" s="23">
        <f>H538-J538</f>
        <v>2211500</v>
      </c>
    </row>
    <row r="539" spans="1:11" ht="15.5" x14ac:dyDescent="0.35">
      <c r="A539" s="19" t="s">
        <v>95</v>
      </c>
      <c r="B539" s="1"/>
      <c r="C539" s="20"/>
      <c r="D539" s="1"/>
      <c r="E539" s="1"/>
      <c r="F539" s="20"/>
      <c r="G539" s="20"/>
      <c r="H539" s="20" t="s">
        <v>192</v>
      </c>
      <c r="I539" s="20"/>
      <c r="J539" s="20"/>
      <c r="K539" s="20"/>
    </row>
    <row r="540" spans="1:11" ht="15.5" x14ac:dyDescent="0.35">
      <c r="A540" s="3" t="s">
        <v>96</v>
      </c>
      <c r="B540" s="1"/>
      <c r="C540" s="20">
        <v>3000</v>
      </c>
      <c r="D540" s="1"/>
      <c r="E540" s="20"/>
      <c r="F540" s="20">
        <f t="shared" ref="F540:F543" si="64">C540*B540</f>
        <v>0</v>
      </c>
      <c r="G540" s="20"/>
      <c r="H540" s="20"/>
      <c r="I540" s="20"/>
      <c r="J540" s="20"/>
      <c r="K540" s="20"/>
    </row>
    <row r="541" spans="1:11" ht="15.5" x14ac:dyDescent="0.35">
      <c r="A541" s="3" t="s">
        <v>97</v>
      </c>
      <c r="B541" s="1"/>
      <c r="C541" s="20">
        <v>2500</v>
      </c>
      <c r="D541" s="1"/>
      <c r="E541" s="1"/>
      <c r="F541" s="20">
        <f t="shared" si="64"/>
        <v>0</v>
      </c>
      <c r="G541" s="20"/>
      <c r="H541" s="20"/>
      <c r="I541" s="20"/>
      <c r="J541" s="20"/>
      <c r="K541" s="20"/>
    </row>
    <row r="542" spans="1:11" ht="15.5" x14ac:dyDescent="0.35">
      <c r="A542" s="3" t="s">
        <v>98</v>
      </c>
      <c r="B542" s="1"/>
      <c r="C542" s="20">
        <v>1800</v>
      </c>
      <c r="D542" s="1"/>
      <c r="E542" s="1"/>
      <c r="F542" s="20">
        <f t="shared" si="64"/>
        <v>0</v>
      </c>
      <c r="G542" s="20"/>
      <c r="H542" s="20"/>
      <c r="I542" s="20"/>
      <c r="J542" s="20"/>
      <c r="K542" s="20"/>
    </row>
    <row r="543" spans="1:11" ht="15.5" x14ac:dyDescent="0.35">
      <c r="A543" s="3" t="s">
        <v>99</v>
      </c>
      <c r="B543" s="1">
        <v>8</v>
      </c>
      <c r="C543" s="20">
        <v>3500</v>
      </c>
      <c r="D543" s="1">
        <v>4</v>
      </c>
      <c r="E543" s="1">
        <v>4</v>
      </c>
      <c r="F543" s="20">
        <f t="shared" si="64"/>
        <v>28000</v>
      </c>
      <c r="G543" s="20"/>
      <c r="H543" s="20"/>
      <c r="I543" s="20"/>
      <c r="J543" s="20"/>
      <c r="K543" s="20"/>
    </row>
    <row r="544" spans="1:11" ht="15.5" x14ac:dyDescent="0.35">
      <c r="A544" s="18"/>
      <c r="F544" s="21"/>
    </row>
    <row r="545" spans="1:11" ht="15.5" x14ac:dyDescent="0.35">
      <c r="A545" s="24" t="s">
        <v>108</v>
      </c>
      <c r="K545" s="21"/>
    </row>
    <row r="546" spans="1:11" ht="15.5" x14ac:dyDescent="0.35">
      <c r="A546" s="18" t="s">
        <v>114</v>
      </c>
      <c r="B546" s="67">
        <v>60000</v>
      </c>
    </row>
    <row r="547" spans="1:11" ht="15.5" x14ac:dyDescent="0.35">
      <c r="A547" s="18" t="s">
        <v>112</v>
      </c>
      <c r="B547" s="67">
        <v>60000</v>
      </c>
    </row>
    <row r="548" spans="1:11" ht="15.5" x14ac:dyDescent="0.35">
      <c r="A548" s="18" t="s">
        <v>110</v>
      </c>
      <c r="B548" s="67">
        <v>60000</v>
      </c>
    </row>
    <row r="549" spans="1:11" ht="15.5" x14ac:dyDescent="0.35">
      <c r="A549" s="18" t="s">
        <v>111</v>
      </c>
      <c r="B549" s="67">
        <v>60000</v>
      </c>
    </row>
    <row r="550" spans="1:11" ht="15.5" x14ac:dyDescent="0.35">
      <c r="A550" s="24" t="s">
        <v>4</v>
      </c>
      <c r="B550" s="75">
        <f>SUM(B546:B549)</f>
        <v>240000</v>
      </c>
    </row>
    <row r="553" spans="1:11" ht="18.5" x14ac:dyDescent="0.45">
      <c r="A553" s="151" t="s">
        <v>1</v>
      </c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</row>
    <row r="554" spans="1:11" ht="18.5" x14ac:dyDescent="0.45">
      <c r="A554" s="150" t="s">
        <v>74</v>
      </c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</row>
    <row r="555" spans="1:11" ht="18.5" x14ac:dyDescent="0.45">
      <c r="A555" s="149">
        <v>46132</v>
      </c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</row>
    <row r="556" spans="1:11" ht="18.5" x14ac:dyDescent="0.45">
      <c r="A556" s="150"/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</row>
    <row r="557" spans="1:11" ht="18.5" x14ac:dyDescent="0.45">
      <c r="A557" s="2" t="s">
        <v>75</v>
      </c>
      <c r="B557" s="2" t="s">
        <v>3</v>
      </c>
      <c r="C557" s="2" t="s">
        <v>100</v>
      </c>
      <c r="D557" s="2" t="s">
        <v>90</v>
      </c>
      <c r="E557" s="2" t="s">
        <v>91</v>
      </c>
      <c r="F557" s="2" t="s">
        <v>4</v>
      </c>
      <c r="G557" s="2" t="s">
        <v>101</v>
      </c>
      <c r="H557" s="2" t="s">
        <v>104</v>
      </c>
      <c r="I557" s="2"/>
      <c r="J557" s="2" t="s">
        <v>105</v>
      </c>
      <c r="K557" s="2" t="s">
        <v>106</v>
      </c>
    </row>
    <row r="558" spans="1:11" ht="15.5" x14ac:dyDescent="0.35">
      <c r="A558" s="3" t="s">
        <v>76</v>
      </c>
      <c r="B558" s="1">
        <v>137</v>
      </c>
      <c r="C558" s="20">
        <v>17500</v>
      </c>
      <c r="D558" s="1">
        <v>62</v>
      </c>
      <c r="E558" s="1">
        <v>75</v>
      </c>
      <c r="F558" s="20">
        <f>C558*B558</f>
        <v>2397500</v>
      </c>
      <c r="G558" s="20">
        <f>D558*C558</f>
        <v>1085000</v>
      </c>
      <c r="H558" s="20">
        <f>E558*C558</f>
        <v>1312500</v>
      </c>
      <c r="I558" s="20" t="b">
        <f>D558+E558=B558</f>
        <v>1</v>
      </c>
      <c r="J558" s="20">
        <f>B593</f>
        <v>400000</v>
      </c>
      <c r="K558" s="20" t="s">
        <v>117</v>
      </c>
    </row>
    <row r="559" spans="1:11" ht="15.5" x14ac:dyDescent="0.35">
      <c r="A559" s="3" t="s">
        <v>77</v>
      </c>
      <c r="B559" s="1">
        <v>24</v>
      </c>
      <c r="C559" s="20">
        <v>16000</v>
      </c>
      <c r="D559" s="1">
        <v>15</v>
      </c>
      <c r="E559" s="1">
        <v>9</v>
      </c>
      <c r="F559" s="20">
        <f t="shared" ref="F559:G570" si="65">C559*B559</f>
        <v>384000</v>
      </c>
      <c r="G559" s="20">
        <f t="shared" si="65"/>
        <v>240000</v>
      </c>
      <c r="H559" s="20">
        <f t="shared" ref="H559:H574" si="66">E559*C559</f>
        <v>144000</v>
      </c>
      <c r="I559" s="20" t="b">
        <f t="shared" ref="I559:I574" si="67">D559+E559=B559</f>
        <v>1</v>
      </c>
      <c r="J559" s="20">
        <v>30000</v>
      </c>
      <c r="K559" s="20" t="s">
        <v>248</v>
      </c>
    </row>
    <row r="560" spans="1:11" ht="15.5" x14ac:dyDescent="0.35">
      <c r="A560" s="3" t="s">
        <v>78</v>
      </c>
      <c r="B560" s="1">
        <v>43</v>
      </c>
      <c r="C560" s="20">
        <v>17500</v>
      </c>
      <c r="D560" s="1">
        <v>25</v>
      </c>
      <c r="E560" s="1">
        <v>18</v>
      </c>
      <c r="F560" s="20">
        <f t="shared" si="65"/>
        <v>752500</v>
      </c>
      <c r="G560" s="20">
        <f t="shared" si="65"/>
        <v>437500</v>
      </c>
      <c r="H560" s="20">
        <f t="shared" si="66"/>
        <v>315000</v>
      </c>
      <c r="I560" s="20" t="b">
        <f t="shared" si="67"/>
        <v>1</v>
      </c>
      <c r="J560" s="20">
        <v>8000</v>
      </c>
      <c r="K560" s="20" t="s">
        <v>426</v>
      </c>
    </row>
    <row r="561" spans="1:11" ht="15.5" x14ac:dyDescent="0.35">
      <c r="A561" s="3" t="s">
        <v>79</v>
      </c>
      <c r="B561" s="1">
        <v>30</v>
      </c>
      <c r="C561" s="20">
        <v>18500</v>
      </c>
      <c r="D561" s="1">
        <v>13</v>
      </c>
      <c r="E561" s="1">
        <v>17</v>
      </c>
      <c r="F561" s="20">
        <f t="shared" si="65"/>
        <v>555000</v>
      </c>
      <c r="G561" s="20">
        <f t="shared" si="65"/>
        <v>240500</v>
      </c>
      <c r="H561" s="20">
        <f t="shared" si="66"/>
        <v>314500</v>
      </c>
      <c r="I561" s="20" t="b">
        <f t="shared" si="67"/>
        <v>1</v>
      </c>
      <c r="J561" s="20">
        <v>111800</v>
      </c>
      <c r="K561" s="20" t="s">
        <v>427</v>
      </c>
    </row>
    <row r="562" spans="1:11" ht="15.5" x14ac:dyDescent="0.35">
      <c r="A562" s="3" t="s">
        <v>80</v>
      </c>
      <c r="B562" s="1"/>
      <c r="C562" s="20">
        <v>18500</v>
      </c>
      <c r="D562" s="1"/>
      <c r="E562" s="1"/>
      <c r="F562" s="20">
        <f t="shared" si="65"/>
        <v>0</v>
      </c>
      <c r="G562" s="20">
        <f t="shared" si="65"/>
        <v>0</v>
      </c>
      <c r="H562" s="20">
        <f t="shared" si="66"/>
        <v>0</v>
      </c>
      <c r="I562" s="20" t="b">
        <f t="shared" si="67"/>
        <v>1</v>
      </c>
      <c r="J562" s="20">
        <v>20000</v>
      </c>
      <c r="K562" s="20" t="s">
        <v>127</v>
      </c>
    </row>
    <row r="563" spans="1:11" ht="15.5" x14ac:dyDescent="0.35">
      <c r="A563" s="3" t="s">
        <v>81</v>
      </c>
      <c r="B563" s="1"/>
      <c r="C563" s="20">
        <v>23000</v>
      </c>
      <c r="D563" s="1"/>
      <c r="E563" s="1"/>
      <c r="F563" s="20">
        <f t="shared" si="65"/>
        <v>0</v>
      </c>
      <c r="G563" s="20">
        <f t="shared" si="65"/>
        <v>0</v>
      </c>
      <c r="H563" s="20">
        <f t="shared" si="66"/>
        <v>0</v>
      </c>
      <c r="I563" s="20" t="b">
        <f t="shared" si="67"/>
        <v>1</v>
      </c>
      <c r="J563" s="20">
        <v>370000</v>
      </c>
      <c r="K563" s="20" t="s">
        <v>107</v>
      </c>
    </row>
    <row r="564" spans="1:11" ht="15.5" x14ac:dyDescent="0.35">
      <c r="A564" s="3" t="s">
        <v>82</v>
      </c>
      <c r="B564" s="1">
        <v>39</v>
      </c>
      <c r="C564" s="20">
        <v>18000</v>
      </c>
      <c r="D564" s="1">
        <v>13</v>
      </c>
      <c r="E564" s="1">
        <v>26</v>
      </c>
      <c r="F564" s="20">
        <f t="shared" si="65"/>
        <v>702000</v>
      </c>
      <c r="G564" s="20">
        <f t="shared" si="65"/>
        <v>234000</v>
      </c>
      <c r="H564" s="20">
        <f t="shared" si="66"/>
        <v>468000</v>
      </c>
      <c r="I564" s="20" t="b">
        <f t="shared" si="67"/>
        <v>1</v>
      </c>
      <c r="J564" s="20"/>
      <c r="K564" s="20"/>
    </row>
    <row r="565" spans="1:11" ht="15.5" x14ac:dyDescent="0.35">
      <c r="A565" s="3" t="s">
        <v>83</v>
      </c>
      <c r="B565" s="1"/>
      <c r="C565" s="20">
        <v>18000</v>
      </c>
      <c r="D565" s="1"/>
      <c r="E565" s="1"/>
      <c r="F565" s="20">
        <f t="shared" si="65"/>
        <v>0</v>
      </c>
      <c r="G565" s="20">
        <f t="shared" si="65"/>
        <v>0</v>
      </c>
      <c r="H565" s="20">
        <f t="shared" si="66"/>
        <v>0</v>
      </c>
      <c r="I565" s="20" t="b">
        <f t="shared" si="67"/>
        <v>1</v>
      </c>
      <c r="J565" s="20"/>
      <c r="K565" s="20"/>
    </row>
    <row r="566" spans="1:11" ht="15.5" x14ac:dyDescent="0.35">
      <c r="A566" s="3" t="s">
        <v>84</v>
      </c>
      <c r="B566" s="1"/>
      <c r="C566" s="20">
        <v>18500</v>
      </c>
      <c r="D566" s="1"/>
      <c r="E566" s="1"/>
      <c r="F566" s="20">
        <f t="shared" si="65"/>
        <v>0</v>
      </c>
      <c r="G566" s="20">
        <f t="shared" si="65"/>
        <v>0</v>
      </c>
      <c r="H566" s="20">
        <f t="shared" si="66"/>
        <v>0</v>
      </c>
      <c r="I566" s="20" t="b">
        <f t="shared" si="67"/>
        <v>1</v>
      </c>
      <c r="J566" s="20"/>
      <c r="K566" s="20"/>
    </row>
    <row r="567" spans="1:11" ht="15.5" x14ac:dyDescent="0.35">
      <c r="A567" s="3" t="s">
        <v>85</v>
      </c>
      <c r="B567" s="1"/>
      <c r="C567" s="20">
        <v>18500</v>
      </c>
      <c r="D567" s="1"/>
      <c r="E567" s="1"/>
      <c r="F567" s="20">
        <f t="shared" si="65"/>
        <v>0</v>
      </c>
      <c r="G567" s="20">
        <f t="shared" si="65"/>
        <v>0</v>
      </c>
      <c r="H567" s="20">
        <f t="shared" si="66"/>
        <v>0</v>
      </c>
      <c r="I567" s="20" t="b">
        <f t="shared" si="67"/>
        <v>1</v>
      </c>
      <c r="J567" s="20"/>
      <c r="K567" s="20"/>
    </row>
    <row r="568" spans="1:11" ht="15.5" x14ac:dyDescent="0.35">
      <c r="A568" s="3" t="s">
        <v>86</v>
      </c>
      <c r="B568" s="1">
        <v>5</v>
      </c>
      <c r="C568" s="20">
        <v>18500</v>
      </c>
      <c r="D568" s="1">
        <v>3</v>
      </c>
      <c r="E568" s="1">
        <v>2</v>
      </c>
      <c r="F568" s="20">
        <f t="shared" si="65"/>
        <v>92500</v>
      </c>
      <c r="G568" s="20">
        <f t="shared" si="65"/>
        <v>55500</v>
      </c>
      <c r="H568" s="20">
        <f t="shared" si="66"/>
        <v>37000</v>
      </c>
      <c r="I568" s="20" t="b">
        <f t="shared" si="67"/>
        <v>1</v>
      </c>
      <c r="J568" s="20"/>
      <c r="K568" s="20"/>
    </row>
    <row r="569" spans="1:11" ht="15.5" x14ac:dyDescent="0.35">
      <c r="A569" s="3" t="s">
        <v>87</v>
      </c>
      <c r="B569" s="1"/>
      <c r="C569" s="20">
        <v>18500</v>
      </c>
      <c r="D569" s="1"/>
      <c r="E569" s="1"/>
      <c r="F569" s="20">
        <f t="shared" si="65"/>
        <v>0</v>
      </c>
      <c r="G569" s="20">
        <f t="shared" si="65"/>
        <v>0</v>
      </c>
      <c r="H569" s="20">
        <f t="shared" si="66"/>
        <v>0</v>
      </c>
      <c r="I569" s="20" t="b">
        <f t="shared" si="67"/>
        <v>1</v>
      </c>
      <c r="J569" s="20"/>
      <c r="K569" s="20"/>
    </row>
    <row r="570" spans="1:11" ht="15.5" x14ac:dyDescent="0.35">
      <c r="A570" s="3" t="s">
        <v>88</v>
      </c>
      <c r="B570" s="1">
        <v>13</v>
      </c>
      <c r="C570" s="20">
        <v>18500</v>
      </c>
      <c r="D570" s="1">
        <v>7</v>
      </c>
      <c r="E570" s="1">
        <v>6</v>
      </c>
      <c r="F570" s="20">
        <f t="shared" si="65"/>
        <v>240500</v>
      </c>
      <c r="G570" s="20">
        <f t="shared" si="65"/>
        <v>129500</v>
      </c>
      <c r="H570" s="20">
        <f t="shared" si="66"/>
        <v>111000</v>
      </c>
      <c r="I570" s="20" t="b">
        <f t="shared" si="67"/>
        <v>1</v>
      </c>
      <c r="J570" s="20"/>
      <c r="K570" s="20"/>
    </row>
    <row r="571" spans="1:11" ht="15.5" x14ac:dyDescent="0.35">
      <c r="A571" s="19" t="s">
        <v>89</v>
      </c>
      <c r="B571" s="1"/>
      <c r="C571" s="20"/>
      <c r="D571" s="1"/>
      <c r="E571" s="1"/>
      <c r="F571" s="20"/>
      <c r="G571" s="20"/>
      <c r="H571" s="20">
        <f t="shared" si="66"/>
        <v>0</v>
      </c>
      <c r="I571" s="20" t="b">
        <f t="shared" si="67"/>
        <v>1</v>
      </c>
      <c r="J571" s="20"/>
      <c r="K571" s="20"/>
    </row>
    <row r="572" spans="1:11" ht="15.5" x14ac:dyDescent="0.35">
      <c r="A572" s="3" t="s">
        <v>92</v>
      </c>
      <c r="B572" s="1">
        <v>34</v>
      </c>
      <c r="C572" s="20">
        <v>21500</v>
      </c>
      <c r="D572" s="1">
        <v>16</v>
      </c>
      <c r="E572" s="1">
        <v>18</v>
      </c>
      <c r="F572" s="20">
        <f t="shared" ref="F572:G574" si="68">C572*B572</f>
        <v>731000</v>
      </c>
      <c r="G572" s="20">
        <f t="shared" si="68"/>
        <v>344000</v>
      </c>
      <c r="H572" s="20">
        <f t="shared" si="66"/>
        <v>387000</v>
      </c>
      <c r="I572" s="20" t="b">
        <f t="shared" si="67"/>
        <v>1</v>
      </c>
      <c r="J572" s="20"/>
      <c r="K572" s="20"/>
    </row>
    <row r="573" spans="1:11" ht="15.5" x14ac:dyDescent="0.35">
      <c r="A573" s="3" t="s">
        <v>93</v>
      </c>
      <c r="B573" s="1"/>
      <c r="C573" s="20">
        <v>21500</v>
      </c>
      <c r="D573" s="1"/>
      <c r="E573" s="1"/>
      <c r="F573" s="20">
        <f t="shared" si="68"/>
        <v>0</v>
      </c>
      <c r="G573" s="20">
        <f t="shared" si="68"/>
        <v>0</v>
      </c>
      <c r="H573" s="20">
        <f t="shared" si="66"/>
        <v>0</v>
      </c>
      <c r="I573" s="20" t="b">
        <f t="shared" si="67"/>
        <v>1</v>
      </c>
      <c r="J573" s="20"/>
      <c r="K573" s="20"/>
    </row>
    <row r="574" spans="1:11" ht="15.5" x14ac:dyDescent="0.35">
      <c r="A574" s="3" t="s">
        <v>94</v>
      </c>
      <c r="B574" s="1">
        <v>27</v>
      </c>
      <c r="C574" s="20">
        <v>21500</v>
      </c>
      <c r="D574" s="1">
        <v>21</v>
      </c>
      <c r="E574" s="1">
        <v>6</v>
      </c>
      <c r="F574" s="20">
        <f t="shared" si="68"/>
        <v>580500</v>
      </c>
      <c r="G574" s="20">
        <f t="shared" si="68"/>
        <v>451500</v>
      </c>
      <c r="H574" s="20">
        <f t="shared" si="66"/>
        <v>129000</v>
      </c>
      <c r="I574" s="20" t="b">
        <f t="shared" si="67"/>
        <v>1</v>
      </c>
      <c r="J574" s="20"/>
      <c r="K574" s="20"/>
    </row>
    <row r="575" spans="1:11" ht="15.5" x14ac:dyDescent="0.35">
      <c r="A575" s="19"/>
      <c r="B575" s="22">
        <f>SUM(B558:B574)</f>
        <v>352</v>
      </c>
      <c r="C575" s="20"/>
      <c r="D575" s="1"/>
      <c r="E575" s="1"/>
      <c r="F575" s="23">
        <f>SUM(F558:F574)</f>
        <v>6435500</v>
      </c>
      <c r="G575" s="23">
        <f>SUM(G558:G574)</f>
        <v>3217500</v>
      </c>
      <c r="H575" s="23">
        <f>SUM(H558:H574)</f>
        <v>3218000</v>
      </c>
      <c r="I575" s="23"/>
      <c r="J575" s="23">
        <f>SUM(J558:J574)</f>
        <v>939800</v>
      </c>
      <c r="K575" s="23">
        <f>H575-J575</f>
        <v>2278200</v>
      </c>
    </row>
    <row r="576" spans="1:11" ht="15.5" x14ac:dyDescent="0.35">
      <c r="A576" s="19" t="s">
        <v>95</v>
      </c>
      <c r="B576" s="1"/>
      <c r="C576" s="20"/>
      <c r="D576" s="1"/>
      <c r="E576" s="1"/>
      <c r="F576" s="20"/>
      <c r="G576" s="20"/>
      <c r="H576" s="20" t="s">
        <v>192</v>
      </c>
      <c r="I576" s="20"/>
      <c r="J576" s="20"/>
      <c r="K576" s="20"/>
    </row>
    <row r="577" spans="1:11" ht="15.5" x14ac:dyDescent="0.35">
      <c r="A577" s="3" t="s">
        <v>96</v>
      </c>
      <c r="B577" s="1"/>
      <c r="C577" s="20">
        <v>3000</v>
      </c>
      <c r="D577" s="1"/>
      <c r="E577" s="20"/>
      <c r="F577" s="20">
        <f t="shared" ref="F577:F580" si="69">C577*B577</f>
        <v>0</v>
      </c>
      <c r="G577" s="20"/>
      <c r="H577" s="20"/>
      <c r="I577" s="20"/>
      <c r="J577" s="20"/>
      <c r="K577" s="20"/>
    </row>
    <row r="578" spans="1:11" ht="15.5" x14ac:dyDescent="0.35">
      <c r="A578" s="3" t="s">
        <v>97</v>
      </c>
      <c r="B578" s="1"/>
      <c r="C578" s="20">
        <v>2500</v>
      </c>
      <c r="D578" s="1"/>
      <c r="E578" s="1"/>
      <c r="F578" s="20">
        <f t="shared" si="69"/>
        <v>0</v>
      </c>
      <c r="G578" s="20"/>
      <c r="H578" s="20"/>
      <c r="I578" s="20"/>
      <c r="J578" s="20"/>
      <c r="K578" s="20"/>
    </row>
    <row r="579" spans="1:11" ht="15.5" x14ac:dyDescent="0.35">
      <c r="A579" s="3" t="s">
        <v>98</v>
      </c>
      <c r="B579" s="1"/>
      <c r="C579" s="20">
        <v>1800</v>
      </c>
      <c r="D579" s="1"/>
      <c r="E579" s="1"/>
      <c r="F579" s="20">
        <f t="shared" si="69"/>
        <v>0</v>
      </c>
      <c r="G579" s="20"/>
      <c r="H579" s="20"/>
      <c r="I579" s="20"/>
      <c r="J579" s="20"/>
      <c r="K579" s="20"/>
    </row>
    <row r="580" spans="1:11" ht="15.5" x14ac:dyDescent="0.35">
      <c r="A580" s="3" t="s">
        <v>99</v>
      </c>
      <c r="B580" s="1"/>
      <c r="C580" s="20">
        <v>3500</v>
      </c>
      <c r="D580" s="1"/>
      <c r="E580" s="1"/>
      <c r="F580" s="20">
        <f t="shared" si="69"/>
        <v>0</v>
      </c>
      <c r="G580" s="20"/>
      <c r="H580" s="20"/>
      <c r="I580" s="20"/>
      <c r="J580" s="20"/>
      <c r="K580" s="20"/>
    </row>
    <row r="581" spans="1:11" ht="15.5" x14ac:dyDescent="0.35">
      <c r="A581" s="18"/>
      <c r="F581" s="21"/>
    </row>
    <row r="582" spans="1:11" ht="15.5" x14ac:dyDescent="0.35">
      <c r="A582" s="24" t="s">
        <v>108</v>
      </c>
      <c r="K582" s="21"/>
    </row>
    <row r="583" spans="1:11" ht="15.5" x14ac:dyDescent="0.35">
      <c r="A583" s="18" t="s">
        <v>114</v>
      </c>
      <c r="B583" s="67">
        <v>40000</v>
      </c>
    </row>
    <row r="584" spans="1:11" ht="15.5" x14ac:dyDescent="0.35">
      <c r="A584" s="18" t="s">
        <v>112</v>
      </c>
      <c r="B584" s="67">
        <v>40000</v>
      </c>
    </row>
    <row r="585" spans="1:11" ht="15.5" x14ac:dyDescent="0.35">
      <c r="A585" s="18" t="s">
        <v>309</v>
      </c>
      <c r="B585" s="67">
        <v>60000</v>
      </c>
    </row>
    <row r="586" spans="1:11" ht="15.5" x14ac:dyDescent="0.35">
      <c r="A586" s="18" t="s">
        <v>110</v>
      </c>
      <c r="B586" s="67">
        <v>40000</v>
      </c>
    </row>
    <row r="587" spans="1:11" ht="15.5" x14ac:dyDescent="0.35">
      <c r="A587" s="18" t="s">
        <v>111</v>
      </c>
      <c r="B587" s="67">
        <v>40000</v>
      </c>
    </row>
    <row r="588" spans="1:11" ht="15.5" x14ac:dyDescent="0.35">
      <c r="A588" s="18" t="s">
        <v>196</v>
      </c>
      <c r="B588" s="67">
        <v>40000</v>
      </c>
    </row>
    <row r="589" spans="1:11" ht="15.5" x14ac:dyDescent="0.35">
      <c r="A589" s="18" t="s">
        <v>113</v>
      </c>
      <c r="B589" s="67" t="s">
        <v>422</v>
      </c>
    </row>
    <row r="590" spans="1:11" ht="15.5" x14ac:dyDescent="0.35">
      <c r="A590" s="18" t="s">
        <v>209</v>
      </c>
      <c r="B590" s="67">
        <v>40000</v>
      </c>
    </row>
    <row r="591" spans="1:11" ht="15.5" x14ac:dyDescent="0.35">
      <c r="A591" s="18" t="s">
        <v>115</v>
      </c>
      <c r="B591" s="67">
        <v>60000</v>
      </c>
    </row>
    <row r="592" spans="1:11" ht="15.5" x14ac:dyDescent="0.35">
      <c r="A592" s="18" t="s">
        <v>109</v>
      </c>
      <c r="B592" s="67">
        <v>40000</v>
      </c>
    </row>
    <row r="593" spans="1:11" ht="15.5" x14ac:dyDescent="0.35">
      <c r="A593" s="24" t="s">
        <v>4</v>
      </c>
      <c r="B593" s="75">
        <f>SUM(B583:B592)</f>
        <v>400000</v>
      </c>
    </row>
    <row r="596" spans="1:11" ht="18.5" x14ac:dyDescent="0.45">
      <c r="A596" s="151" t="s">
        <v>1</v>
      </c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</row>
    <row r="597" spans="1:11" ht="18.5" x14ac:dyDescent="0.45">
      <c r="A597" s="150" t="s">
        <v>74</v>
      </c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</row>
    <row r="598" spans="1:11" ht="18.5" x14ac:dyDescent="0.45">
      <c r="A598" s="149">
        <v>46133</v>
      </c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</row>
    <row r="599" spans="1:11" ht="18.5" x14ac:dyDescent="0.45">
      <c r="A599" s="150"/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</row>
    <row r="600" spans="1:11" ht="18.5" x14ac:dyDescent="0.45">
      <c r="A600" s="2" t="s">
        <v>75</v>
      </c>
      <c r="B600" s="2" t="s">
        <v>3</v>
      </c>
      <c r="C600" s="2" t="s">
        <v>100</v>
      </c>
      <c r="D600" s="2" t="s">
        <v>90</v>
      </c>
      <c r="E600" s="2" t="s">
        <v>91</v>
      </c>
      <c r="F600" s="2" t="s">
        <v>4</v>
      </c>
      <c r="G600" s="2" t="s">
        <v>101</v>
      </c>
      <c r="H600" s="2" t="s">
        <v>104</v>
      </c>
      <c r="I600" s="2"/>
      <c r="J600" s="2" t="s">
        <v>105</v>
      </c>
      <c r="K600" s="2" t="s">
        <v>106</v>
      </c>
    </row>
    <row r="601" spans="1:11" ht="15.5" x14ac:dyDescent="0.35">
      <c r="A601" s="3" t="s">
        <v>76</v>
      </c>
      <c r="B601" s="1">
        <v>79</v>
      </c>
      <c r="C601" s="20">
        <v>17500</v>
      </c>
      <c r="D601" s="1">
        <v>34</v>
      </c>
      <c r="E601" s="1">
        <v>45</v>
      </c>
      <c r="F601" s="20">
        <f>C601*B601</f>
        <v>1382500</v>
      </c>
      <c r="G601" s="20">
        <f>D601*C601</f>
        <v>595000</v>
      </c>
      <c r="H601" s="20">
        <f>E601*C601</f>
        <v>787500</v>
      </c>
      <c r="I601" s="20" t="b">
        <f>D601+E601=B601</f>
        <v>1</v>
      </c>
      <c r="J601" s="20">
        <f>B636</f>
        <v>400000</v>
      </c>
      <c r="K601" s="20" t="s">
        <v>117</v>
      </c>
    </row>
    <row r="602" spans="1:11" ht="15.5" x14ac:dyDescent="0.35">
      <c r="A602" s="3" t="s">
        <v>77</v>
      </c>
      <c r="B602" s="1">
        <v>10</v>
      </c>
      <c r="C602" s="20">
        <v>16000</v>
      </c>
      <c r="D602" s="1">
        <v>3</v>
      </c>
      <c r="E602" s="1">
        <v>7</v>
      </c>
      <c r="F602" s="20">
        <f t="shared" ref="F602:G613" si="70">C602*B602</f>
        <v>160000</v>
      </c>
      <c r="G602" s="20">
        <f t="shared" si="70"/>
        <v>48000</v>
      </c>
      <c r="H602" s="20">
        <f t="shared" ref="H602:H617" si="71">E602*C602</f>
        <v>112000</v>
      </c>
      <c r="I602" s="20" t="b">
        <f t="shared" ref="I602:I617" si="72">D602+E602=B602</f>
        <v>1</v>
      </c>
      <c r="J602" s="20">
        <v>315000</v>
      </c>
      <c r="K602" s="20" t="s">
        <v>199</v>
      </c>
    </row>
    <row r="603" spans="1:11" ht="15.5" x14ac:dyDescent="0.35">
      <c r="A603" s="3" t="s">
        <v>78</v>
      </c>
      <c r="B603" s="1">
        <v>61</v>
      </c>
      <c r="C603" s="20">
        <v>17500</v>
      </c>
      <c r="D603" s="1">
        <v>43</v>
      </c>
      <c r="E603" s="1">
        <v>18</v>
      </c>
      <c r="F603" s="20">
        <f t="shared" si="70"/>
        <v>1067500</v>
      </c>
      <c r="G603" s="20">
        <f t="shared" si="70"/>
        <v>752500</v>
      </c>
      <c r="H603" s="20">
        <f t="shared" si="71"/>
        <v>315000</v>
      </c>
      <c r="I603" s="20" t="b">
        <f t="shared" si="72"/>
        <v>1</v>
      </c>
      <c r="J603" s="20">
        <v>380000</v>
      </c>
      <c r="K603" s="20" t="s">
        <v>107</v>
      </c>
    </row>
    <row r="604" spans="1:11" ht="15.5" x14ac:dyDescent="0.35">
      <c r="A604" s="3" t="s">
        <v>79</v>
      </c>
      <c r="B604" s="1">
        <v>29</v>
      </c>
      <c r="C604" s="20">
        <v>18500</v>
      </c>
      <c r="D604" s="1">
        <v>18</v>
      </c>
      <c r="E604" s="1">
        <v>11</v>
      </c>
      <c r="F604" s="20">
        <f t="shared" si="70"/>
        <v>536500</v>
      </c>
      <c r="G604" s="20">
        <f t="shared" si="70"/>
        <v>333000</v>
      </c>
      <c r="H604" s="20">
        <f t="shared" si="71"/>
        <v>203500</v>
      </c>
      <c r="I604" s="20" t="b">
        <f t="shared" si="72"/>
        <v>1</v>
      </c>
      <c r="J604" s="20"/>
      <c r="K604" s="20"/>
    </row>
    <row r="605" spans="1:11" ht="15.5" x14ac:dyDescent="0.35">
      <c r="A605" s="3" t="s">
        <v>80</v>
      </c>
      <c r="B605" s="1"/>
      <c r="C605" s="20">
        <v>18500</v>
      </c>
      <c r="D605" s="1"/>
      <c r="E605" s="1"/>
      <c r="F605" s="20">
        <f t="shared" si="70"/>
        <v>0</v>
      </c>
      <c r="G605" s="20">
        <f t="shared" si="70"/>
        <v>0</v>
      </c>
      <c r="H605" s="20">
        <f t="shared" si="71"/>
        <v>0</v>
      </c>
      <c r="I605" s="20" t="b">
        <f t="shared" si="72"/>
        <v>1</v>
      </c>
      <c r="J605" s="20"/>
      <c r="K605" s="20"/>
    </row>
    <row r="606" spans="1:11" ht="15.5" x14ac:dyDescent="0.35">
      <c r="A606" s="3" t="s">
        <v>81</v>
      </c>
      <c r="B606" s="1"/>
      <c r="C606" s="20">
        <v>23000</v>
      </c>
      <c r="D606" s="1"/>
      <c r="E606" s="1"/>
      <c r="F606" s="20">
        <f t="shared" si="70"/>
        <v>0</v>
      </c>
      <c r="G606" s="20">
        <f t="shared" si="70"/>
        <v>0</v>
      </c>
      <c r="H606" s="20">
        <f t="shared" si="71"/>
        <v>0</v>
      </c>
      <c r="I606" s="20" t="b">
        <f t="shared" si="72"/>
        <v>1</v>
      </c>
      <c r="J606" s="20"/>
      <c r="K606" s="20"/>
    </row>
    <row r="607" spans="1:11" ht="15.5" x14ac:dyDescent="0.35">
      <c r="A607" s="3" t="s">
        <v>82</v>
      </c>
      <c r="B607" s="1"/>
      <c r="C607" s="20">
        <v>18000</v>
      </c>
      <c r="D607" s="1"/>
      <c r="E607" s="1"/>
      <c r="F607" s="20">
        <f t="shared" si="70"/>
        <v>0</v>
      </c>
      <c r="G607" s="20">
        <f t="shared" si="70"/>
        <v>0</v>
      </c>
      <c r="H607" s="20">
        <f t="shared" si="71"/>
        <v>0</v>
      </c>
      <c r="I607" s="20" t="b">
        <f t="shared" si="72"/>
        <v>1</v>
      </c>
      <c r="J607" s="20"/>
      <c r="K607" s="20"/>
    </row>
    <row r="608" spans="1:11" ht="15.5" x14ac:dyDescent="0.35">
      <c r="A608" s="3" t="s">
        <v>83</v>
      </c>
      <c r="B608" s="1"/>
      <c r="C608" s="20">
        <v>18000</v>
      </c>
      <c r="D608" s="1"/>
      <c r="E608" s="1"/>
      <c r="F608" s="20">
        <f t="shared" si="70"/>
        <v>0</v>
      </c>
      <c r="G608" s="20">
        <f t="shared" si="70"/>
        <v>0</v>
      </c>
      <c r="H608" s="20">
        <f t="shared" si="71"/>
        <v>0</v>
      </c>
      <c r="I608" s="20" t="b">
        <f t="shared" si="72"/>
        <v>1</v>
      </c>
      <c r="J608" s="20"/>
      <c r="K608" s="20"/>
    </row>
    <row r="609" spans="1:11" ht="15.5" x14ac:dyDescent="0.35">
      <c r="A609" s="3" t="s">
        <v>84</v>
      </c>
      <c r="B609" s="1"/>
      <c r="C609" s="20">
        <v>18500</v>
      </c>
      <c r="D609" s="1"/>
      <c r="E609" s="1"/>
      <c r="F609" s="20">
        <f t="shared" si="70"/>
        <v>0</v>
      </c>
      <c r="G609" s="20">
        <f t="shared" si="70"/>
        <v>0</v>
      </c>
      <c r="H609" s="20">
        <f t="shared" si="71"/>
        <v>0</v>
      </c>
      <c r="I609" s="20" t="b">
        <f t="shared" si="72"/>
        <v>1</v>
      </c>
      <c r="J609" s="20"/>
      <c r="K609" s="20"/>
    </row>
    <row r="610" spans="1:11" ht="15.5" x14ac:dyDescent="0.35">
      <c r="A610" s="3" t="s">
        <v>85</v>
      </c>
      <c r="B610" s="1">
        <v>50</v>
      </c>
      <c r="C610" s="20">
        <v>18500</v>
      </c>
      <c r="D610" s="1">
        <v>30</v>
      </c>
      <c r="E610" s="1">
        <v>20</v>
      </c>
      <c r="F610" s="20">
        <f t="shared" si="70"/>
        <v>925000</v>
      </c>
      <c r="G610" s="20">
        <f t="shared" si="70"/>
        <v>555000</v>
      </c>
      <c r="H610" s="20">
        <f t="shared" si="71"/>
        <v>370000</v>
      </c>
      <c r="I610" s="20" t="b">
        <f t="shared" si="72"/>
        <v>1</v>
      </c>
      <c r="J610" s="20"/>
      <c r="K610" s="20"/>
    </row>
    <row r="611" spans="1:11" ht="15.5" x14ac:dyDescent="0.35">
      <c r="A611" s="3" t="s">
        <v>86</v>
      </c>
      <c r="B611" s="1"/>
      <c r="C611" s="20">
        <v>18500</v>
      </c>
      <c r="D611" s="1"/>
      <c r="E611" s="1"/>
      <c r="F611" s="20">
        <f t="shared" si="70"/>
        <v>0</v>
      </c>
      <c r="G611" s="20">
        <f t="shared" si="70"/>
        <v>0</v>
      </c>
      <c r="H611" s="20">
        <f t="shared" si="71"/>
        <v>0</v>
      </c>
      <c r="I611" s="20" t="b">
        <f t="shared" si="72"/>
        <v>1</v>
      </c>
      <c r="J611" s="20"/>
      <c r="K611" s="20"/>
    </row>
    <row r="612" spans="1:11" ht="15.5" x14ac:dyDescent="0.35">
      <c r="A612" s="3" t="s">
        <v>87</v>
      </c>
      <c r="B612" s="1">
        <v>8</v>
      </c>
      <c r="C612" s="20">
        <v>18500</v>
      </c>
      <c r="D612" s="1">
        <v>4</v>
      </c>
      <c r="E612" s="1">
        <v>4</v>
      </c>
      <c r="F612" s="20">
        <f t="shared" si="70"/>
        <v>148000</v>
      </c>
      <c r="G612" s="20">
        <f t="shared" si="70"/>
        <v>74000</v>
      </c>
      <c r="H612" s="20">
        <f t="shared" si="71"/>
        <v>74000</v>
      </c>
      <c r="I612" s="20" t="b">
        <f t="shared" si="72"/>
        <v>1</v>
      </c>
      <c r="J612" s="20"/>
      <c r="K612" s="20"/>
    </row>
    <row r="613" spans="1:11" ht="15.5" x14ac:dyDescent="0.35">
      <c r="A613" s="3" t="s">
        <v>88</v>
      </c>
      <c r="B613" s="1">
        <v>6</v>
      </c>
      <c r="C613" s="20">
        <v>18500</v>
      </c>
      <c r="D613" s="1">
        <v>4</v>
      </c>
      <c r="E613" s="1">
        <v>2</v>
      </c>
      <c r="F613" s="20">
        <f t="shared" si="70"/>
        <v>111000</v>
      </c>
      <c r="G613" s="20">
        <f t="shared" si="70"/>
        <v>74000</v>
      </c>
      <c r="H613" s="20">
        <f t="shared" si="71"/>
        <v>37000</v>
      </c>
      <c r="I613" s="20" t="b">
        <f t="shared" si="72"/>
        <v>1</v>
      </c>
      <c r="J613" s="20"/>
      <c r="K613" s="20"/>
    </row>
    <row r="614" spans="1:11" ht="15.5" x14ac:dyDescent="0.35">
      <c r="A614" s="19" t="s">
        <v>89</v>
      </c>
      <c r="B614" s="1"/>
      <c r="C614" s="20"/>
      <c r="D614" s="1"/>
      <c r="E614" s="1"/>
      <c r="F614" s="20"/>
      <c r="G614" s="20"/>
      <c r="H614" s="20">
        <f t="shared" si="71"/>
        <v>0</v>
      </c>
      <c r="I614" s="20" t="b">
        <f t="shared" si="72"/>
        <v>1</v>
      </c>
      <c r="J614" s="20"/>
      <c r="K614" s="20"/>
    </row>
    <row r="615" spans="1:11" ht="15.5" x14ac:dyDescent="0.35">
      <c r="A615" s="3" t="s">
        <v>92</v>
      </c>
      <c r="B615" s="1"/>
      <c r="C615" s="20">
        <v>21500</v>
      </c>
      <c r="D615" s="1"/>
      <c r="E615" s="1"/>
      <c r="F615" s="20">
        <f t="shared" ref="F615:G617" si="73">C615*B615</f>
        <v>0</v>
      </c>
      <c r="G615" s="20">
        <f t="shared" si="73"/>
        <v>0</v>
      </c>
      <c r="H615" s="20">
        <f t="shared" si="71"/>
        <v>0</v>
      </c>
      <c r="I615" s="20" t="b">
        <f t="shared" si="72"/>
        <v>1</v>
      </c>
      <c r="J615" s="20"/>
      <c r="K615" s="20"/>
    </row>
    <row r="616" spans="1:11" ht="15.5" x14ac:dyDescent="0.35">
      <c r="A616" s="3" t="s">
        <v>93</v>
      </c>
      <c r="B616" s="1">
        <v>29</v>
      </c>
      <c r="C616" s="20">
        <v>21500</v>
      </c>
      <c r="D616" s="1">
        <v>21</v>
      </c>
      <c r="E616" s="1">
        <v>8</v>
      </c>
      <c r="F616" s="20">
        <f t="shared" si="73"/>
        <v>623500</v>
      </c>
      <c r="G616" s="20">
        <f t="shared" si="73"/>
        <v>451500</v>
      </c>
      <c r="H616" s="20">
        <f t="shared" si="71"/>
        <v>172000</v>
      </c>
      <c r="I616" s="20" t="b">
        <f t="shared" si="72"/>
        <v>1</v>
      </c>
      <c r="J616" s="20"/>
      <c r="K616" s="20"/>
    </row>
    <row r="617" spans="1:11" ht="15.5" x14ac:dyDescent="0.35">
      <c r="A617" s="3" t="s">
        <v>94</v>
      </c>
      <c r="B617" s="1">
        <v>30</v>
      </c>
      <c r="C617" s="20">
        <v>21500</v>
      </c>
      <c r="D617" s="1">
        <v>19</v>
      </c>
      <c r="E617" s="1">
        <v>11</v>
      </c>
      <c r="F617" s="20">
        <f t="shared" si="73"/>
        <v>645000</v>
      </c>
      <c r="G617" s="20">
        <f t="shared" si="73"/>
        <v>408500</v>
      </c>
      <c r="H617" s="20">
        <f t="shared" si="71"/>
        <v>236500</v>
      </c>
      <c r="I617" s="20" t="b">
        <f t="shared" si="72"/>
        <v>1</v>
      </c>
      <c r="J617" s="20"/>
      <c r="K617" s="20"/>
    </row>
    <row r="618" spans="1:11" ht="15.5" x14ac:dyDescent="0.35">
      <c r="A618" s="19"/>
      <c r="B618" s="22">
        <f>SUM(B601:B617)</f>
        <v>302</v>
      </c>
      <c r="C618" s="20"/>
      <c r="D618" s="1"/>
      <c r="E618" s="1"/>
      <c r="F618" s="23">
        <f>SUM(F601:F617)</f>
        <v>5599000</v>
      </c>
      <c r="G618" s="23">
        <f>SUM(G601:G617)</f>
        <v>3291500</v>
      </c>
      <c r="H618" s="23">
        <f>SUM(H601:H617)</f>
        <v>2307500</v>
      </c>
      <c r="I618" s="23"/>
      <c r="J618" s="23">
        <f>SUM(J601:J617)</f>
        <v>1095000</v>
      </c>
      <c r="K618" s="23">
        <f>H618-J618</f>
        <v>1212500</v>
      </c>
    </row>
    <row r="619" spans="1:11" ht="15.5" x14ac:dyDescent="0.35">
      <c r="A619" s="19" t="s">
        <v>95</v>
      </c>
      <c r="B619" s="1"/>
      <c r="C619" s="20"/>
      <c r="D619" s="1"/>
      <c r="E619" s="1"/>
      <c r="F619" s="20"/>
      <c r="G619" s="20"/>
      <c r="H619" s="20" t="s">
        <v>192</v>
      </c>
      <c r="I619" s="20"/>
      <c r="J619" s="20"/>
      <c r="K619" s="20"/>
    </row>
    <row r="620" spans="1:11" ht="15.5" x14ac:dyDescent="0.35">
      <c r="A620" s="3" t="s">
        <v>96</v>
      </c>
      <c r="B620" s="1"/>
      <c r="C620" s="20">
        <v>3000</v>
      </c>
      <c r="D620" s="1"/>
      <c r="E620" s="20"/>
      <c r="F620" s="20">
        <f t="shared" ref="F620:F623" si="74">C620*B620</f>
        <v>0</v>
      </c>
      <c r="G620" s="20"/>
      <c r="H620" s="20"/>
      <c r="I620" s="20"/>
      <c r="J620" s="20"/>
      <c r="K620" s="20"/>
    </row>
    <row r="621" spans="1:11" ht="15.5" x14ac:dyDescent="0.35">
      <c r="A621" s="3" t="s">
        <v>97</v>
      </c>
      <c r="B621" s="1"/>
      <c r="C621" s="20">
        <v>2500</v>
      </c>
      <c r="D621" s="1"/>
      <c r="E621" s="1"/>
      <c r="F621" s="20">
        <f t="shared" si="74"/>
        <v>0</v>
      </c>
      <c r="G621" s="20"/>
      <c r="H621" s="20"/>
      <c r="I621" s="20"/>
      <c r="J621" s="20"/>
      <c r="K621" s="20"/>
    </row>
    <row r="622" spans="1:11" ht="15.5" x14ac:dyDescent="0.35">
      <c r="A622" s="3" t="s">
        <v>98</v>
      </c>
      <c r="B622" s="1"/>
      <c r="C622" s="20">
        <v>1800</v>
      </c>
      <c r="D622" s="1"/>
      <c r="E622" s="1"/>
      <c r="F622" s="20">
        <f t="shared" si="74"/>
        <v>0</v>
      </c>
      <c r="G622" s="20"/>
      <c r="H622" s="20"/>
      <c r="I622" s="20"/>
      <c r="J622" s="20"/>
      <c r="K622" s="20"/>
    </row>
    <row r="623" spans="1:11" ht="15.5" x14ac:dyDescent="0.35">
      <c r="A623" s="3" t="s">
        <v>99</v>
      </c>
      <c r="B623" s="1"/>
      <c r="C623" s="20">
        <v>3500</v>
      </c>
      <c r="D623" s="1"/>
      <c r="E623" s="1"/>
      <c r="F623" s="20">
        <f t="shared" si="74"/>
        <v>0</v>
      </c>
      <c r="G623" s="20"/>
      <c r="H623" s="20"/>
      <c r="I623" s="20"/>
      <c r="J623" s="20"/>
      <c r="K623" s="20"/>
    </row>
    <row r="624" spans="1:11" ht="15.5" x14ac:dyDescent="0.35">
      <c r="A624" s="18"/>
      <c r="F624" s="21"/>
    </row>
    <row r="625" spans="1:11" ht="15.5" x14ac:dyDescent="0.35">
      <c r="A625" s="24" t="s">
        <v>108</v>
      </c>
      <c r="K625" s="21"/>
    </row>
    <row r="626" spans="1:11" ht="15.5" x14ac:dyDescent="0.35">
      <c r="A626" s="18" t="s">
        <v>114</v>
      </c>
      <c r="B626" s="67">
        <v>40000</v>
      </c>
    </row>
    <row r="627" spans="1:11" ht="15.5" x14ac:dyDescent="0.35">
      <c r="A627" s="18" t="s">
        <v>112</v>
      </c>
      <c r="B627" s="67">
        <v>40000</v>
      </c>
    </row>
    <row r="628" spans="1:11" ht="15.5" x14ac:dyDescent="0.35">
      <c r="A628" s="18" t="s">
        <v>309</v>
      </c>
      <c r="B628" s="67">
        <v>60000</v>
      </c>
    </row>
    <row r="629" spans="1:11" ht="15.5" x14ac:dyDescent="0.35">
      <c r="A629" s="18" t="s">
        <v>110</v>
      </c>
      <c r="B629" s="67">
        <v>40000</v>
      </c>
    </row>
    <row r="630" spans="1:11" ht="15.5" x14ac:dyDescent="0.35">
      <c r="A630" s="18" t="s">
        <v>111</v>
      </c>
      <c r="B630" s="67">
        <v>40000</v>
      </c>
    </row>
    <row r="631" spans="1:11" ht="15.5" x14ac:dyDescent="0.35">
      <c r="A631" s="18" t="s">
        <v>196</v>
      </c>
      <c r="B631" s="67">
        <v>40000</v>
      </c>
    </row>
    <row r="632" spans="1:11" ht="15.5" x14ac:dyDescent="0.35">
      <c r="A632" s="18" t="s">
        <v>113</v>
      </c>
      <c r="B632" s="67" t="s">
        <v>422</v>
      </c>
    </row>
    <row r="633" spans="1:11" ht="15.5" x14ac:dyDescent="0.35">
      <c r="A633" s="18" t="s">
        <v>209</v>
      </c>
      <c r="B633" s="67">
        <v>40000</v>
      </c>
    </row>
    <row r="634" spans="1:11" ht="15.5" x14ac:dyDescent="0.35">
      <c r="A634" s="18" t="s">
        <v>115</v>
      </c>
      <c r="B634" s="67">
        <v>60000</v>
      </c>
    </row>
    <row r="635" spans="1:11" ht="15.5" x14ac:dyDescent="0.35">
      <c r="A635" s="18" t="s">
        <v>109</v>
      </c>
      <c r="B635" s="67">
        <v>40000</v>
      </c>
    </row>
    <row r="636" spans="1:11" ht="15.5" x14ac:dyDescent="0.35">
      <c r="A636" s="24" t="s">
        <v>4</v>
      </c>
      <c r="B636" s="75">
        <f>SUM(B626:B635)</f>
        <v>400000</v>
      </c>
    </row>
    <row r="637" spans="1:11" ht="15.5" x14ac:dyDescent="0.35">
      <c r="A637" s="24"/>
      <c r="B637" s="75"/>
    </row>
    <row r="638" spans="1:11" ht="15.5" x14ac:dyDescent="0.35">
      <c r="A638" s="24"/>
      <c r="B638" s="75"/>
    </row>
    <row r="639" spans="1:11" ht="18.5" x14ac:dyDescent="0.45">
      <c r="A639" s="151" t="s">
        <v>1</v>
      </c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</row>
    <row r="640" spans="1:11" ht="18.5" x14ac:dyDescent="0.45">
      <c r="A640" s="150" t="s">
        <v>74</v>
      </c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</row>
    <row r="641" spans="1:14" ht="18.5" x14ac:dyDescent="0.45">
      <c r="A641" s="149">
        <v>46134</v>
      </c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</row>
    <row r="642" spans="1:14" ht="18.5" x14ac:dyDescent="0.45">
      <c r="A642" s="150"/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</row>
    <row r="643" spans="1:14" ht="18.5" x14ac:dyDescent="0.45">
      <c r="A643" s="2" t="s">
        <v>75</v>
      </c>
      <c r="B643" s="2" t="s">
        <v>3</v>
      </c>
      <c r="C643" s="2" t="s">
        <v>100</v>
      </c>
      <c r="D643" s="2" t="s">
        <v>90</v>
      </c>
      <c r="E643" s="2" t="s">
        <v>91</v>
      </c>
      <c r="F643" s="2" t="s">
        <v>4</v>
      </c>
      <c r="G643" s="2" t="s">
        <v>101</v>
      </c>
      <c r="H643" s="2" t="s">
        <v>104</v>
      </c>
      <c r="I643" s="2"/>
      <c r="J643" s="2" t="s">
        <v>105</v>
      </c>
      <c r="K643" s="2" t="s">
        <v>106</v>
      </c>
    </row>
    <row r="644" spans="1:14" ht="15.5" x14ac:dyDescent="0.35">
      <c r="A644" s="3" t="s">
        <v>76</v>
      </c>
      <c r="B644" s="1">
        <v>97</v>
      </c>
      <c r="C644" s="20">
        <v>17500</v>
      </c>
      <c r="D644" s="1">
        <v>49</v>
      </c>
      <c r="E644" s="1">
        <v>48</v>
      </c>
      <c r="F644" s="20">
        <f>C644*B644</f>
        <v>1697500</v>
      </c>
      <c r="G644" s="20">
        <f>D644*C644</f>
        <v>857500</v>
      </c>
      <c r="H644" s="20">
        <f>E644*C644</f>
        <v>840000</v>
      </c>
      <c r="I644" s="20" t="b">
        <f>D644+E644=B644</f>
        <v>1</v>
      </c>
      <c r="J644" s="20">
        <f>B679</f>
        <v>400000</v>
      </c>
      <c r="K644" s="20" t="s">
        <v>117</v>
      </c>
    </row>
    <row r="645" spans="1:14" ht="15.5" x14ac:dyDescent="0.35">
      <c r="A645" s="3" t="s">
        <v>77</v>
      </c>
      <c r="B645" s="1">
        <v>12</v>
      </c>
      <c r="C645" s="20">
        <v>16000</v>
      </c>
      <c r="D645" s="1">
        <v>5</v>
      </c>
      <c r="E645" s="1">
        <v>7</v>
      </c>
      <c r="F645" s="20">
        <f t="shared" ref="F645:G656" si="75">C645*B645</f>
        <v>192000</v>
      </c>
      <c r="G645" s="20">
        <f t="shared" si="75"/>
        <v>80000</v>
      </c>
      <c r="H645" s="20">
        <f t="shared" ref="H645:H660" si="76">E645*C645</f>
        <v>112000</v>
      </c>
      <c r="I645" s="20" t="b">
        <f t="shared" ref="I645:I660" si="77">D645+E645=B645</f>
        <v>1</v>
      </c>
      <c r="J645" s="20">
        <v>30000</v>
      </c>
      <c r="K645" s="20" t="s">
        <v>428</v>
      </c>
    </row>
    <row r="646" spans="1:14" ht="15.5" x14ac:dyDescent="0.35">
      <c r="A646" s="3" t="s">
        <v>78</v>
      </c>
      <c r="B646" s="1">
        <v>54</v>
      </c>
      <c r="C646" s="20">
        <v>17500</v>
      </c>
      <c r="D646" s="1">
        <v>22</v>
      </c>
      <c r="E646" s="1">
        <v>32</v>
      </c>
      <c r="F646" s="20">
        <f t="shared" si="75"/>
        <v>945000</v>
      </c>
      <c r="G646" s="20">
        <f t="shared" si="75"/>
        <v>385000</v>
      </c>
      <c r="H646" s="20">
        <f t="shared" si="76"/>
        <v>560000</v>
      </c>
      <c r="I646" s="20" t="b">
        <f t="shared" si="77"/>
        <v>1</v>
      </c>
      <c r="J646" s="20"/>
      <c r="K646" s="20"/>
      <c r="N646" s="21"/>
    </row>
    <row r="647" spans="1:14" ht="15.5" x14ac:dyDescent="0.35">
      <c r="A647" s="3" t="s">
        <v>79</v>
      </c>
      <c r="B647" s="1"/>
      <c r="C647" s="20">
        <v>18500</v>
      </c>
      <c r="D647" s="1"/>
      <c r="E647" s="1"/>
      <c r="F647" s="20">
        <f t="shared" si="75"/>
        <v>0</v>
      </c>
      <c r="G647" s="20">
        <f t="shared" si="75"/>
        <v>0</v>
      </c>
      <c r="H647" s="20">
        <f t="shared" si="76"/>
        <v>0</v>
      </c>
      <c r="I647" s="20" t="b">
        <f t="shared" si="77"/>
        <v>1</v>
      </c>
      <c r="J647" s="20"/>
      <c r="K647" s="20"/>
    </row>
    <row r="648" spans="1:14" ht="15.5" x14ac:dyDescent="0.35">
      <c r="A648" s="3" t="s">
        <v>80</v>
      </c>
      <c r="B648" s="1">
        <v>41</v>
      </c>
      <c r="C648" s="20">
        <v>18500</v>
      </c>
      <c r="D648" s="1">
        <v>21</v>
      </c>
      <c r="E648" s="1">
        <v>20</v>
      </c>
      <c r="F648" s="20">
        <f t="shared" si="75"/>
        <v>758500</v>
      </c>
      <c r="G648" s="20">
        <f t="shared" si="75"/>
        <v>388500</v>
      </c>
      <c r="H648" s="20">
        <f t="shared" si="76"/>
        <v>370000</v>
      </c>
      <c r="I648" s="20" t="b">
        <f t="shared" si="77"/>
        <v>1</v>
      </c>
      <c r="J648" s="20"/>
      <c r="K648" s="20"/>
    </row>
    <row r="649" spans="1:14" ht="15.5" x14ac:dyDescent="0.35">
      <c r="A649" s="3" t="s">
        <v>81</v>
      </c>
      <c r="B649" s="1"/>
      <c r="C649" s="20">
        <v>23000</v>
      </c>
      <c r="D649" s="1"/>
      <c r="E649" s="1"/>
      <c r="F649" s="20">
        <f t="shared" si="75"/>
        <v>0</v>
      </c>
      <c r="G649" s="20">
        <f t="shared" si="75"/>
        <v>0</v>
      </c>
      <c r="H649" s="20">
        <f t="shared" si="76"/>
        <v>0</v>
      </c>
      <c r="I649" s="20" t="b">
        <f t="shared" si="77"/>
        <v>1</v>
      </c>
      <c r="J649" s="20"/>
      <c r="K649" s="20"/>
    </row>
    <row r="650" spans="1:14" ht="15.5" x14ac:dyDescent="0.35">
      <c r="A650" s="3" t="s">
        <v>82</v>
      </c>
      <c r="B650" s="1"/>
      <c r="C650" s="20">
        <v>18000</v>
      </c>
      <c r="D650" s="1"/>
      <c r="E650" s="1"/>
      <c r="F650" s="20">
        <f t="shared" si="75"/>
        <v>0</v>
      </c>
      <c r="G650" s="20">
        <f t="shared" si="75"/>
        <v>0</v>
      </c>
      <c r="H650" s="20">
        <f t="shared" si="76"/>
        <v>0</v>
      </c>
      <c r="I650" s="20" t="b">
        <f t="shared" si="77"/>
        <v>1</v>
      </c>
      <c r="J650" s="20"/>
      <c r="K650" s="20"/>
    </row>
    <row r="651" spans="1:14" ht="15.5" x14ac:dyDescent="0.35">
      <c r="A651" s="3" t="s">
        <v>83</v>
      </c>
      <c r="B651" s="1">
        <v>20</v>
      </c>
      <c r="C651" s="20">
        <v>18000</v>
      </c>
      <c r="D651" s="1">
        <v>10</v>
      </c>
      <c r="E651" s="1">
        <v>10</v>
      </c>
      <c r="F651" s="20">
        <f t="shared" si="75"/>
        <v>360000</v>
      </c>
      <c r="G651" s="20">
        <f t="shared" si="75"/>
        <v>180000</v>
      </c>
      <c r="H651" s="20">
        <f t="shared" si="76"/>
        <v>180000</v>
      </c>
      <c r="I651" s="20" t="b">
        <f t="shared" si="77"/>
        <v>1</v>
      </c>
      <c r="J651" s="20"/>
      <c r="K651" s="20"/>
    </row>
    <row r="652" spans="1:14" ht="15.5" x14ac:dyDescent="0.35">
      <c r="A652" s="3" t="s">
        <v>84</v>
      </c>
      <c r="B652" s="1"/>
      <c r="C652" s="20">
        <v>18500</v>
      </c>
      <c r="D652" s="1"/>
      <c r="E652" s="1"/>
      <c r="F652" s="20">
        <f t="shared" si="75"/>
        <v>0</v>
      </c>
      <c r="G652" s="20">
        <f t="shared" si="75"/>
        <v>0</v>
      </c>
      <c r="H652" s="20">
        <f t="shared" si="76"/>
        <v>0</v>
      </c>
      <c r="I652" s="20" t="b">
        <f t="shared" si="77"/>
        <v>1</v>
      </c>
      <c r="J652" s="20"/>
      <c r="K652" s="20"/>
    </row>
    <row r="653" spans="1:14" ht="15.5" x14ac:dyDescent="0.35">
      <c r="A653" s="3" t="s">
        <v>85</v>
      </c>
      <c r="B653" s="1"/>
      <c r="C653" s="20">
        <v>18500</v>
      </c>
      <c r="D653" s="1"/>
      <c r="E653" s="1"/>
      <c r="F653" s="20">
        <f t="shared" si="75"/>
        <v>0</v>
      </c>
      <c r="G653" s="20">
        <f t="shared" si="75"/>
        <v>0</v>
      </c>
      <c r="H653" s="20">
        <f t="shared" si="76"/>
        <v>0</v>
      </c>
      <c r="I653" s="20" t="b">
        <f t="shared" si="77"/>
        <v>1</v>
      </c>
      <c r="J653" s="20"/>
      <c r="K653" s="20"/>
    </row>
    <row r="654" spans="1:14" ht="15.5" x14ac:dyDescent="0.35">
      <c r="A654" s="3" t="s">
        <v>86</v>
      </c>
      <c r="B654" s="1">
        <v>7</v>
      </c>
      <c r="C654" s="20">
        <v>18500</v>
      </c>
      <c r="D654" s="1">
        <v>6</v>
      </c>
      <c r="E654" s="1">
        <v>1</v>
      </c>
      <c r="F654" s="20">
        <f t="shared" si="75"/>
        <v>129500</v>
      </c>
      <c r="G654" s="20">
        <f t="shared" si="75"/>
        <v>111000</v>
      </c>
      <c r="H654" s="20">
        <f t="shared" si="76"/>
        <v>18500</v>
      </c>
      <c r="I654" s="20" t="b">
        <f t="shared" si="77"/>
        <v>1</v>
      </c>
      <c r="J654" s="20"/>
      <c r="K654" s="20"/>
    </row>
    <row r="655" spans="1:14" ht="15.5" x14ac:dyDescent="0.35">
      <c r="A655" s="3" t="s">
        <v>87</v>
      </c>
      <c r="B655" s="1"/>
      <c r="C655" s="20">
        <v>18500</v>
      </c>
      <c r="D655" s="1"/>
      <c r="E655" s="1"/>
      <c r="F655" s="20">
        <f t="shared" si="75"/>
        <v>0</v>
      </c>
      <c r="G655" s="20">
        <f t="shared" si="75"/>
        <v>0</v>
      </c>
      <c r="H655" s="20">
        <f t="shared" si="76"/>
        <v>0</v>
      </c>
      <c r="I655" s="20" t="b">
        <f t="shared" si="77"/>
        <v>1</v>
      </c>
      <c r="J655" s="20"/>
      <c r="K655" s="20"/>
    </row>
    <row r="656" spans="1:14" ht="15.5" x14ac:dyDescent="0.35">
      <c r="A656" s="3" t="s">
        <v>88</v>
      </c>
      <c r="B656" s="1">
        <v>13</v>
      </c>
      <c r="C656" s="20">
        <v>18500</v>
      </c>
      <c r="D656" s="1">
        <v>9</v>
      </c>
      <c r="E656" s="1">
        <v>4</v>
      </c>
      <c r="F656" s="20">
        <f t="shared" si="75"/>
        <v>240500</v>
      </c>
      <c r="G656" s="20">
        <f t="shared" si="75"/>
        <v>166500</v>
      </c>
      <c r="H656" s="20">
        <f t="shared" si="76"/>
        <v>74000</v>
      </c>
      <c r="I656" s="20" t="b">
        <f t="shared" si="77"/>
        <v>1</v>
      </c>
      <c r="J656" s="20"/>
      <c r="K656" s="20"/>
    </row>
    <row r="657" spans="1:11" ht="15.5" x14ac:dyDescent="0.35">
      <c r="A657" s="19" t="s">
        <v>89</v>
      </c>
      <c r="B657" s="1"/>
      <c r="C657" s="20"/>
      <c r="D657" s="1"/>
      <c r="E657" s="1"/>
      <c r="F657" s="20"/>
      <c r="G657" s="20"/>
      <c r="H657" s="20">
        <f t="shared" si="76"/>
        <v>0</v>
      </c>
      <c r="I657" s="20" t="b">
        <f t="shared" si="77"/>
        <v>1</v>
      </c>
      <c r="J657" s="20"/>
      <c r="K657" s="20"/>
    </row>
    <row r="658" spans="1:11" ht="15.5" x14ac:dyDescent="0.35">
      <c r="A658" s="3" t="s">
        <v>92</v>
      </c>
      <c r="B658" s="1">
        <v>44</v>
      </c>
      <c r="C658" s="20">
        <v>21500</v>
      </c>
      <c r="D658" s="1">
        <v>15</v>
      </c>
      <c r="E658" s="1">
        <v>29</v>
      </c>
      <c r="F658" s="20">
        <f t="shared" ref="F658:G660" si="78">C658*B658</f>
        <v>946000</v>
      </c>
      <c r="G658" s="20">
        <f t="shared" si="78"/>
        <v>322500</v>
      </c>
      <c r="H658" s="20">
        <f t="shared" si="76"/>
        <v>623500</v>
      </c>
      <c r="I658" s="20" t="b">
        <f t="shared" si="77"/>
        <v>1</v>
      </c>
      <c r="J658" s="20"/>
      <c r="K658" s="20"/>
    </row>
    <row r="659" spans="1:11" ht="15.5" x14ac:dyDescent="0.35">
      <c r="A659" s="3" t="s">
        <v>93</v>
      </c>
      <c r="B659" s="1">
        <v>4</v>
      </c>
      <c r="C659" s="20">
        <v>21500</v>
      </c>
      <c r="D659" s="1">
        <v>1</v>
      </c>
      <c r="E659" s="1">
        <v>3</v>
      </c>
      <c r="F659" s="20">
        <f t="shared" si="78"/>
        <v>86000</v>
      </c>
      <c r="G659" s="20">
        <f t="shared" si="78"/>
        <v>21500</v>
      </c>
      <c r="H659" s="20">
        <f t="shared" si="76"/>
        <v>64500</v>
      </c>
      <c r="I659" s="20" t="b">
        <f t="shared" si="77"/>
        <v>1</v>
      </c>
      <c r="J659" s="20"/>
      <c r="K659" s="20"/>
    </row>
    <row r="660" spans="1:11" ht="15.5" x14ac:dyDescent="0.35">
      <c r="A660" s="3" t="s">
        <v>94</v>
      </c>
      <c r="B660" s="1">
        <v>33</v>
      </c>
      <c r="C660" s="20">
        <v>21500</v>
      </c>
      <c r="D660" s="1">
        <v>17</v>
      </c>
      <c r="E660" s="1">
        <v>16</v>
      </c>
      <c r="F660" s="20">
        <f t="shared" si="78"/>
        <v>709500</v>
      </c>
      <c r="G660" s="20">
        <f t="shared" si="78"/>
        <v>365500</v>
      </c>
      <c r="H660" s="20">
        <f t="shared" si="76"/>
        <v>344000</v>
      </c>
      <c r="I660" s="20" t="b">
        <f t="shared" si="77"/>
        <v>1</v>
      </c>
      <c r="J660" s="20"/>
      <c r="K660" s="20"/>
    </row>
    <row r="661" spans="1:11" ht="15.5" x14ac:dyDescent="0.35">
      <c r="A661" s="19"/>
      <c r="B661" s="22">
        <f>SUM(B644:B660)</f>
        <v>325</v>
      </c>
      <c r="C661" s="20"/>
      <c r="D661" s="1"/>
      <c r="E661" s="1"/>
      <c r="F661" s="23">
        <f>SUM(F644:F660)</f>
        <v>6064500</v>
      </c>
      <c r="G661" s="23">
        <f>SUM(G644:G660)</f>
        <v>2878000</v>
      </c>
      <c r="H661" s="23">
        <f>SUM(H644:H660)</f>
        <v>3186500</v>
      </c>
      <c r="I661" s="23"/>
      <c r="J661" s="23">
        <f>SUM(J644:J660)</f>
        <v>430000</v>
      </c>
      <c r="K661" s="23">
        <f>H661-J661</f>
        <v>2756500</v>
      </c>
    </row>
    <row r="662" spans="1:11" ht="15.5" x14ac:dyDescent="0.35">
      <c r="A662" s="19" t="s">
        <v>95</v>
      </c>
      <c r="B662" s="1"/>
      <c r="C662" s="20"/>
      <c r="D662" s="1"/>
      <c r="E662" s="1"/>
      <c r="F662" s="20"/>
      <c r="G662" s="20"/>
      <c r="H662" s="20" t="s">
        <v>192</v>
      </c>
      <c r="I662" s="20"/>
      <c r="J662" s="20"/>
      <c r="K662" s="20"/>
    </row>
    <row r="663" spans="1:11" ht="15.5" x14ac:dyDescent="0.35">
      <c r="A663" s="3" t="s">
        <v>96</v>
      </c>
      <c r="B663" s="1"/>
      <c r="C663" s="20">
        <v>3000</v>
      </c>
      <c r="D663" s="1"/>
      <c r="E663" s="20"/>
      <c r="F663" s="20">
        <f t="shared" ref="F663:F666" si="79">C663*B663</f>
        <v>0</v>
      </c>
      <c r="G663" s="20"/>
      <c r="H663" s="20"/>
      <c r="I663" s="20"/>
      <c r="J663" s="20"/>
      <c r="K663" s="20"/>
    </row>
    <row r="664" spans="1:11" ht="15.5" x14ac:dyDescent="0.35">
      <c r="A664" s="3" t="s">
        <v>97</v>
      </c>
      <c r="B664" s="1"/>
      <c r="C664" s="20">
        <v>2500</v>
      </c>
      <c r="D664" s="1"/>
      <c r="E664" s="1"/>
      <c r="F664" s="20">
        <f t="shared" si="79"/>
        <v>0</v>
      </c>
      <c r="G664" s="20"/>
      <c r="H664" s="20"/>
      <c r="I664" s="20"/>
      <c r="J664" s="20"/>
      <c r="K664" s="20"/>
    </row>
    <row r="665" spans="1:11" ht="15.5" x14ac:dyDescent="0.35">
      <c r="A665" s="3" t="s">
        <v>98</v>
      </c>
      <c r="B665" s="1"/>
      <c r="C665" s="20">
        <v>1800</v>
      </c>
      <c r="D665" s="1"/>
      <c r="E665" s="1"/>
      <c r="F665" s="20">
        <f t="shared" si="79"/>
        <v>0</v>
      </c>
      <c r="G665" s="20"/>
      <c r="H665" s="20"/>
      <c r="I665" s="20"/>
      <c r="J665" s="20"/>
      <c r="K665" s="20"/>
    </row>
    <row r="666" spans="1:11" ht="15.5" x14ac:dyDescent="0.35">
      <c r="A666" s="3" t="s">
        <v>99</v>
      </c>
      <c r="B666" s="1"/>
      <c r="C666" s="20">
        <v>3500</v>
      </c>
      <c r="D666" s="1"/>
      <c r="E666" s="1"/>
      <c r="F666" s="20">
        <f t="shared" si="79"/>
        <v>0</v>
      </c>
      <c r="G666" s="20"/>
      <c r="H666" s="20"/>
      <c r="I666" s="20"/>
      <c r="J666" s="20"/>
      <c r="K666" s="20"/>
    </row>
    <row r="667" spans="1:11" ht="15.5" x14ac:dyDescent="0.35">
      <c r="A667" s="18"/>
      <c r="F667" s="21"/>
    </row>
    <row r="668" spans="1:11" ht="15.5" x14ac:dyDescent="0.35">
      <c r="A668" s="24" t="s">
        <v>108</v>
      </c>
      <c r="K668" s="21"/>
    </row>
    <row r="669" spans="1:11" ht="15.5" x14ac:dyDescent="0.35">
      <c r="A669" s="18" t="s">
        <v>114</v>
      </c>
      <c r="B669" s="67">
        <v>40000</v>
      </c>
    </row>
    <row r="670" spans="1:11" ht="15.5" x14ac:dyDescent="0.35">
      <c r="A670" s="18" t="s">
        <v>112</v>
      </c>
      <c r="B670" s="67">
        <v>40000</v>
      </c>
    </row>
    <row r="671" spans="1:11" ht="15.5" x14ac:dyDescent="0.35">
      <c r="A671" s="18" t="s">
        <v>309</v>
      </c>
      <c r="B671" s="67">
        <v>60000</v>
      </c>
    </row>
    <row r="672" spans="1:11" ht="15.5" x14ac:dyDescent="0.35">
      <c r="A672" s="18" t="s">
        <v>110</v>
      </c>
      <c r="B672" s="67">
        <v>40000</v>
      </c>
    </row>
    <row r="673" spans="1:11" ht="15.5" x14ac:dyDescent="0.35">
      <c r="A673" s="18" t="s">
        <v>111</v>
      </c>
      <c r="B673" s="67">
        <v>40000</v>
      </c>
    </row>
    <row r="674" spans="1:11" ht="15.5" x14ac:dyDescent="0.35">
      <c r="A674" s="18" t="s">
        <v>196</v>
      </c>
      <c r="B674" s="67">
        <v>40000</v>
      </c>
    </row>
    <row r="675" spans="1:11" ht="15.5" x14ac:dyDescent="0.35">
      <c r="A675" s="18" t="s">
        <v>113</v>
      </c>
      <c r="B675" s="67" t="s">
        <v>422</v>
      </c>
    </row>
    <row r="676" spans="1:11" ht="15.5" x14ac:dyDescent="0.35">
      <c r="A676" s="18" t="s">
        <v>209</v>
      </c>
      <c r="B676" s="67">
        <v>40000</v>
      </c>
    </row>
    <row r="677" spans="1:11" ht="15.5" x14ac:dyDescent="0.35">
      <c r="A677" s="18" t="s">
        <v>115</v>
      </c>
      <c r="B677" s="67">
        <v>60000</v>
      </c>
    </row>
    <row r="678" spans="1:11" ht="15.5" x14ac:dyDescent="0.35">
      <c r="A678" s="18" t="s">
        <v>109</v>
      </c>
      <c r="B678" s="67">
        <v>40000</v>
      </c>
    </row>
    <row r="679" spans="1:11" ht="15.5" x14ac:dyDescent="0.35">
      <c r="A679" s="24" t="s">
        <v>4</v>
      </c>
      <c r="B679" s="75">
        <f>SUM(B669:B678)</f>
        <v>400000</v>
      </c>
    </row>
    <row r="682" spans="1:11" ht="18.5" x14ac:dyDescent="0.45">
      <c r="A682" s="151" t="s">
        <v>1</v>
      </c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</row>
    <row r="683" spans="1:11" ht="18.5" x14ac:dyDescent="0.45">
      <c r="A683" s="150" t="s">
        <v>74</v>
      </c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</row>
    <row r="684" spans="1:11" ht="18.5" x14ac:dyDescent="0.45">
      <c r="A684" s="149">
        <v>46135</v>
      </c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</row>
    <row r="685" spans="1:11" ht="18.5" x14ac:dyDescent="0.45">
      <c r="A685" s="150"/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</row>
    <row r="686" spans="1:11" ht="18.5" x14ac:dyDescent="0.45">
      <c r="A686" s="2" t="s">
        <v>75</v>
      </c>
      <c r="B686" s="2" t="s">
        <v>3</v>
      </c>
      <c r="C686" s="2" t="s">
        <v>100</v>
      </c>
      <c r="D686" s="2" t="s">
        <v>90</v>
      </c>
      <c r="E686" s="2" t="s">
        <v>91</v>
      </c>
      <c r="F686" s="2" t="s">
        <v>4</v>
      </c>
      <c r="G686" s="2" t="s">
        <v>101</v>
      </c>
      <c r="H686" s="2" t="s">
        <v>104</v>
      </c>
      <c r="I686" s="2"/>
      <c r="J686" s="2" t="s">
        <v>105</v>
      </c>
      <c r="K686" s="2" t="s">
        <v>106</v>
      </c>
    </row>
    <row r="687" spans="1:11" ht="15.5" x14ac:dyDescent="0.35">
      <c r="A687" s="3" t="s">
        <v>76</v>
      </c>
      <c r="B687" s="1">
        <v>85</v>
      </c>
      <c r="C687" s="20">
        <v>17500</v>
      </c>
      <c r="D687" s="1">
        <v>33</v>
      </c>
      <c r="E687" s="1">
        <v>52</v>
      </c>
      <c r="F687" s="20">
        <f>C687*B687</f>
        <v>1487500</v>
      </c>
      <c r="G687" s="20">
        <f>D687*C687</f>
        <v>577500</v>
      </c>
      <c r="H687" s="20">
        <f>E687*C687</f>
        <v>910000</v>
      </c>
      <c r="I687" s="20" t="b">
        <f>D687+E687=B687</f>
        <v>1</v>
      </c>
      <c r="J687" s="20">
        <f>B722</f>
        <v>400000</v>
      </c>
      <c r="K687" s="20"/>
    </row>
    <row r="688" spans="1:11" ht="15.5" x14ac:dyDescent="0.35">
      <c r="A688" s="3" t="s">
        <v>77</v>
      </c>
      <c r="B688" s="1">
        <v>19</v>
      </c>
      <c r="C688" s="20">
        <v>16000</v>
      </c>
      <c r="D688" s="1">
        <v>8</v>
      </c>
      <c r="E688" s="1">
        <v>11</v>
      </c>
      <c r="F688" s="20">
        <f t="shared" ref="F688:G699" si="80">C688*B688</f>
        <v>304000</v>
      </c>
      <c r="G688" s="20">
        <f t="shared" si="80"/>
        <v>128000</v>
      </c>
      <c r="H688" s="20">
        <f t="shared" ref="H688:H703" si="81">E688*C688</f>
        <v>176000</v>
      </c>
      <c r="I688" s="20" t="b">
        <f t="shared" ref="I688:I703" si="82">D688+E688=B688</f>
        <v>1</v>
      </c>
      <c r="J688" s="20"/>
      <c r="K688" s="20"/>
    </row>
    <row r="689" spans="1:11" ht="15.5" x14ac:dyDescent="0.35">
      <c r="A689" s="3" t="s">
        <v>78</v>
      </c>
      <c r="B689" s="1">
        <v>56</v>
      </c>
      <c r="C689" s="20">
        <v>17500</v>
      </c>
      <c r="D689" s="1">
        <v>21</v>
      </c>
      <c r="E689" s="1">
        <v>35</v>
      </c>
      <c r="F689" s="20">
        <f t="shared" si="80"/>
        <v>980000</v>
      </c>
      <c r="G689" s="20">
        <f t="shared" si="80"/>
        <v>367500</v>
      </c>
      <c r="H689" s="20">
        <f t="shared" si="81"/>
        <v>612500</v>
      </c>
      <c r="I689" s="20" t="b">
        <f t="shared" si="82"/>
        <v>1</v>
      </c>
      <c r="J689" s="20"/>
      <c r="K689" s="20"/>
    </row>
    <row r="690" spans="1:11" ht="15.5" x14ac:dyDescent="0.35">
      <c r="A690" s="3" t="s">
        <v>79</v>
      </c>
      <c r="B690" s="1">
        <v>26</v>
      </c>
      <c r="C690" s="20">
        <v>18500</v>
      </c>
      <c r="D690" s="1">
        <v>5</v>
      </c>
      <c r="E690" s="1">
        <v>21</v>
      </c>
      <c r="F690" s="20">
        <f t="shared" si="80"/>
        <v>481000</v>
      </c>
      <c r="G690" s="20">
        <f t="shared" si="80"/>
        <v>92500</v>
      </c>
      <c r="H690" s="20">
        <f t="shared" si="81"/>
        <v>388500</v>
      </c>
      <c r="I690" s="20" t="b">
        <f t="shared" si="82"/>
        <v>1</v>
      </c>
      <c r="J690" s="20"/>
      <c r="K690" s="20"/>
    </row>
    <row r="691" spans="1:11" ht="15.5" x14ac:dyDescent="0.35">
      <c r="A691" s="3" t="s">
        <v>80</v>
      </c>
      <c r="B691" s="1"/>
      <c r="C691" s="20">
        <v>18500</v>
      </c>
      <c r="D691" s="1"/>
      <c r="E691" s="1"/>
      <c r="F691" s="20">
        <f t="shared" si="80"/>
        <v>0</v>
      </c>
      <c r="G691" s="20">
        <f t="shared" si="80"/>
        <v>0</v>
      </c>
      <c r="H691" s="20">
        <f t="shared" si="81"/>
        <v>0</v>
      </c>
      <c r="I691" s="20" t="b">
        <f t="shared" si="82"/>
        <v>1</v>
      </c>
      <c r="J691" s="20"/>
      <c r="K691" s="20"/>
    </row>
    <row r="692" spans="1:11" ht="15.5" x14ac:dyDescent="0.35">
      <c r="A692" s="3" t="s">
        <v>81</v>
      </c>
      <c r="B692" s="1"/>
      <c r="C692" s="20">
        <v>23000</v>
      </c>
      <c r="D692" s="1"/>
      <c r="E692" s="1"/>
      <c r="F692" s="20">
        <f t="shared" si="80"/>
        <v>0</v>
      </c>
      <c r="G692" s="20">
        <f t="shared" si="80"/>
        <v>0</v>
      </c>
      <c r="H692" s="20">
        <f t="shared" si="81"/>
        <v>0</v>
      </c>
      <c r="I692" s="20" t="b">
        <f t="shared" si="82"/>
        <v>1</v>
      </c>
      <c r="J692" s="20"/>
      <c r="K692" s="20"/>
    </row>
    <row r="693" spans="1:11" ht="15.5" x14ac:dyDescent="0.35">
      <c r="A693" s="3" t="s">
        <v>82</v>
      </c>
      <c r="B693" s="1"/>
      <c r="C693" s="20">
        <v>18000</v>
      </c>
      <c r="D693" s="1"/>
      <c r="E693" s="1"/>
      <c r="F693" s="20">
        <f t="shared" si="80"/>
        <v>0</v>
      </c>
      <c r="G693" s="20">
        <f t="shared" si="80"/>
        <v>0</v>
      </c>
      <c r="H693" s="20">
        <f t="shared" si="81"/>
        <v>0</v>
      </c>
      <c r="I693" s="20" t="b">
        <f t="shared" si="82"/>
        <v>1</v>
      </c>
      <c r="J693" s="20"/>
      <c r="K693" s="20"/>
    </row>
    <row r="694" spans="1:11" ht="15.5" x14ac:dyDescent="0.35">
      <c r="A694" s="3" t="s">
        <v>83</v>
      </c>
      <c r="B694" s="1"/>
      <c r="C694" s="20">
        <v>18000</v>
      </c>
      <c r="D694" s="1"/>
      <c r="E694" s="1"/>
      <c r="F694" s="20">
        <f t="shared" si="80"/>
        <v>0</v>
      </c>
      <c r="G694" s="20">
        <f t="shared" si="80"/>
        <v>0</v>
      </c>
      <c r="H694" s="20">
        <f t="shared" si="81"/>
        <v>0</v>
      </c>
      <c r="I694" s="20" t="b">
        <f t="shared" si="82"/>
        <v>1</v>
      </c>
      <c r="J694" s="20"/>
      <c r="K694" s="20"/>
    </row>
    <row r="695" spans="1:11" ht="15.5" x14ac:dyDescent="0.35">
      <c r="A695" s="3" t="s">
        <v>84</v>
      </c>
      <c r="B695" s="1">
        <v>51</v>
      </c>
      <c r="C695" s="20">
        <v>18500</v>
      </c>
      <c r="D695" s="1">
        <v>19</v>
      </c>
      <c r="E695" s="1">
        <v>32</v>
      </c>
      <c r="F695" s="20">
        <f t="shared" si="80"/>
        <v>943500</v>
      </c>
      <c r="G695" s="20">
        <f t="shared" si="80"/>
        <v>351500</v>
      </c>
      <c r="H695" s="20">
        <f t="shared" si="81"/>
        <v>592000</v>
      </c>
      <c r="I695" s="20" t="b">
        <f t="shared" si="82"/>
        <v>1</v>
      </c>
      <c r="J695" s="20"/>
      <c r="K695" s="20"/>
    </row>
    <row r="696" spans="1:11" ht="15.5" x14ac:dyDescent="0.35">
      <c r="A696" s="3" t="s">
        <v>85</v>
      </c>
      <c r="B696" s="1"/>
      <c r="C696" s="20">
        <v>18500</v>
      </c>
      <c r="D696" s="1"/>
      <c r="E696" s="1"/>
      <c r="F696" s="20">
        <f t="shared" si="80"/>
        <v>0</v>
      </c>
      <c r="G696" s="20">
        <f t="shared" si="80"/>
        <v>0</v>
      </c>
      <c r="H696" s="20">
        <f t="shared" si="81"/>
        <v>0</v>
      </c>
      <c r="I696" s="20" t="b">
        <f t="shared" si="82"/>
        <v>1</v>
      </c>
      <c r="J696" s="20"/>
      <c r="K696" s="20"/>
    </row>
    <row r="697" spans="1:11" ht="15.5" x14ac:dyDescent="0.35">
      <c r="A697" s="3" t="s">
        <v>86</v>
      </c>
      <c r="B697" s="1"/>
      <c r="C697" s="20">
        <v>18500</v>
      </c>
      <c r="D697" s="1"/>
      <c r="E697" s="1"/>
      <c r="F697" s="20">
        <f t="shared" si="80"/>
        <v>0</v>
      </c>
      <c r="G697" s="20">
        <f t="shared" si="80"/>
        <v>0</v>
      </c>
      <c r="H697" s="20">
        <f t="shared" si="81"/>
        <v>0</v>
      </c>
      <c r="I697" s="20" t="b">
        <f t="shared" si="82"/>
        <v>1</v>
      </c>
      <c r="J697" s="20"/>
      <c r="K697" s="20"/>
    </row>
    <row r="698" spans="1:11" ht="15.5" x14ac:dyDescent="0.35">
      <c r="A698" s="3" t="s">
        <v>87</v>
      </c>
      <c r="B698" s="1">
        <v>9</v>
      </c>
      <c r="C698" s="20">
        <v>18500</v>
      </c>
      <c r="D698" s="1">
        <v>2</v>
      </c>
      <c r="E698" s="1">
        <v>7</v>
      </c>
      <c r="F698" s="20">
        <f t="shared" si="80"/>
        <v>166500</v>
      </c>
      <c r="G698" s="20">
        <f t="shared" si="80"/>
        <v>37000</v>
      </c>
      <c r="H698" s="20">
        <f t="shared" si="81"/>
        <v>129500</v>
      </c>
      <c r="I698" s="20" t="b">
        <f t="shared" si="82"/>
        <v>1</v>
      </c>
      <c r="J698" s="20"/>
      <c r="K698" s="20"/>
    </row>
    <row r="699" spans="1:11" ht="15.5" x14ac:dyDescent="0.35">
      <c r="A699" s="3" t="s">
        <v>88</v>
      </c>
      <c r="B699" s="1">
        <v>10</v>
      </c>
      <c r="C699" s="20">
        <v>18500</v>
      </c>
      <c r="D699" s="1">
        <v>6</v>
      </c>
      <c r="E699" s="1">
        <v>4</v>
      </c>
      <c r="F699" s="20">
        <f t="shared" si="80"/>
        <v>185000</v>
      </c>
      <c r="G699" s="20">
        <f t="shared" si="80"/>
        <v>111000</v>
      </c>
      <c r="H699" s="20">
        <f t="shared" si="81"/>
        <v>74000</v>
      </c>
      <c r="I699" s="20" t="b">
        <f t="shared" si="82"/>
        <v>1</v>
      </c>
      <c r="J699" s="20"/>
      <c r="K699" s="20"/>
    </row>
    <row r="700" spans="1:11" ht="15.5" x14ac:dyDescent="0.35">
      <c r="A700" s="19" t="s">
        <v>89</v>
      </c>
      <c r="B700" s="1"/>
      <c r="C700" s="20"/>
      <c r="D700" s="1"/>
      <c r="E700" s="1"/>
      <c r="F700" s="20"/>
      <c r="G700" s="20"/>
      <c r="H700" s="20">
        <f t="shared" si="81"/>
        <v>0</v>
      </c>
      <c r="I700" s="20" t="b">
        <f t="shared" si="82"/>
        <v>1</v>
      </c>
      <c r="J700" s="20"/>
      <c r="K700" s="20"/>
    </row>
    <row r="701" spans="1:11" ht="15.5" x14ac:dyDescent="0.35">
      <c r="A701" s="3" t="s">
        <v>92</v>
      </c>
      <c r="B701" s="1"/>
      <c r="C701" s="20">
        <v>21500</v>
      </c>
      <c r="D701" s="1"/>
      <c r="E701" s="1"/>
      <c r="F701" s="20">
        <f t="shared" ref="F701:G703" si="83">C701*B701</f>
        <v>0</v>
      </c>
      <c r="G701" s="20">
        <f t="shared" si="83"/>
        <v>0</v>
      </c>
      <c r="H701" s="20">
        <f t="shared" si="81"/>
        <v>0</v>
      </c>
      <c r="I701" s="20" t="b">
        <f t="shared" si="82"/>
        <v>1</v>
      </c>
      <c r="J701" s="20"/>
      <c r="K701" s="20"/>
    </row>
    <row r="702" spans="1:11" ht="15.5" x14ac:dyDescent="0.35">
      <c r="A702" s="3" t="s">
        <v>93</v>
      </c>
      <c r="B702" s="1">
        <v>30</v>
      </c>
      <c r="C702" s="20">
        <v>21500</v>
      </c>
      <c r="D702" s="1">
        <v>19</v>
      </c>
      <c r="E702" s="1">
        <v>11</v>
      </c>
      <c r="F702" s="20">
        <f t="shared" si="83"/>
        <v>645000</v>
      </c>
      <c r="G702" s="20">
        <f t="shared" si="83"/>
        <v>408500</v>
      </c>
      <c r="H702" s="20">
        <f t="shared" si="81"/>
        <v>236500</v>
      </c>
      <c r="I702" s="20" t="b">
        <f t="shared" si="82"/>
        <v>1</v>
      </c>
      <c r="J702" s="20"/>
      <c r="K702" s="20"/>
    </row>
    <row r="703" spans="1:11" ht="15.5" x14ac:dyDescent="0.35">
      <c r="A703" s="3" t="s">
        <v>94</v>
      </c>
      <c r="B703" s="1">
        <v>30</v>
      </c>
      <c r="C703" s="20">
        <v>21500</v>
      </c>
      <c r="D703" s="1">
        <v>15</v>
      </c>
      <c r="E703" s="1">
        <v>15</v>
      </c>
      <c r="F703" s="20">
        <f t="shared" si="83"/>
        <v>645000</v>
      </c>
      <c r="G703" s="20">
        <f t="shared" si="83"/>
        <v>322500</v>
      </c>
      <c r="H703" s="20">
        <f t="shared" si="81"/>
        <v>322500</v>
      </c>
      <c r="I703" s="20" t="b">
        <f t="shared" si="82"/>
        <v>1</v>
      </c>
      <c r="J703" s="20"/>
      <c r="K703" s="20"/>
    </row>
    <row r="704" spans="1:11" ht="15.5" x14ac:dyDescent="0.35">
      <c r="A704" s="19"/>
      <c r="B704" s="22">
        <f>SUM(B687:B703)</f>
        <v>316</v>
      </c>
      <c r="C704" s="20"/>
      <c r="D704" s="1"/>
      <c r="E704" s="1"/>
      <c r="F704" s="23">
        <f>SUM(F687:F703)</f>
        <v>5837500</v>
      </c>
      <c r="G704" s="23">
        <f>SUM(G687:G703)</f>
        <v>2396000</v>
      </c>
      <c r="H704" s="23">
        <f>SUM(H687:H703)</f>
        <v>3441500</v>
      </c>
      <c r="I704" s="23"/>
      <c r="J704" s="23">
        <f>SUM(J687:J703)</f>
        <v>400000</v>
      </c>
      <c r="K704" s="23">
        <f>H704-J704</f>
        <v>3041500</v>
      </c>
    </row>
    <row r="705" spans="1:11" ht="15.5" x14ac:dyDescent="0.35">
      <c r="A705" s="19" t="s">
        <v>95</v>
      </c>
      <c r="B705" s="1"/>
      <c r="C705" s="20"/>
      <c r="D705" s="1"/>
      <c r="E705" s="1"/>
      <c r="F705" s="20"/>
      <c r="G705" s="20"/>
      <c r="H705" s="20" t="s">
        <v>192</v>
      </c>
      <c r="I705" s="20"/>
      <c r="J705" s="20"/>
      <c r="K705" s="20"/>
    </row>
    <row r="706" spans="1:11" ht="15.5" x14ac:dyDescent="0.35">
      <c r="A706" s="3" t="s">
        <v>96</v>
      </c>
      <c r="B706" s="1"/>
      <c r="C706" s="20">
        <v>3000</v>
      </c>
      <c r="D706" s="1"/>
      <c r="E706" s="20"/>
      <c r="F706" s="20">
        <f t="shared" ref="F706:F709" si="84">C706*B706</f>
        <v>0</v>
      </c>
      <c r="G706" s="20"/>
      <c r="H706" s="20"/>
      <c r="I706" s="20"/>
      <c r="J706" s="20"/>
      <c r="K706" s="20"/>
    </row>
    <row r="707" spans="1:11" ht="15.5" x14ac:dyDescent="0.35">
      <c r="A707" s="3" t="s">
        <v>97</v>
      </c>
      <c r="B707" s="1"/>
      <c r="C707" s="20">
        <v>2500</v>
      </c>
      <c r="D707" s="1"/>
      <c r="E707" s="1"/>
      <c r="F707" s="20">
        <f t="shared" si="84"/>
        <v>0</v>
      </c>
      <c r="G707" s="20"/>
      <c r="H707" s="20"/>
      <c r="I707" s="20"/>
      <c r="J707" s="20"/>
      <c r="K707" s="20"/>
    </row>
    <row r="708" spans="1:11" ht="15.5" x14ac:dyDescent="0.35">
      <c r="A708" s="3" t="s">
        <v>98</v>
      </c>
      <c r="B708" s="1"/>
      <c r="C708" s="20">
        <v>1800</v>
      </c>
      <c r="D708" s="1"/>
      <c r="E708" s="1"/>
      <c r="F708" s="20">
        <f t="shared" si="84"/>
        <v>0</v>
      </c>
      <c r="G708" s="20"/>
      <c r="H708" s="20"/>
      <c r="I708" s="20"/>
      <c r="J708" s="20"/>
      <c r="K708" s="20"/>
    </row>
    <row r="709" spans="1:11" ht="15.5" x14ac:dyDescent="0.35">
      <c r="A709" s="3" t="s">
        <v>99</v>
      </c>
      <c r="B709" s="1"/>
      <c r="C709" s="20">
        <v>3500</v>
      </c>
      <c r="D709" s="1"/>
      <c r="E709" s="1"/>
      <c r="F709" s="20">
        <f t="shared" si="84"/>
        <v>0</v>
      </c>
      <c r="G709" s="20"/>
      <c r="H709" s="20"/>
      <c r="I709" s="20"/>
      <c r="J709" s="20"/>
      <c r="K709" s="20"/>
    </row>
    <row r="710" spans="1:11" ht="15.5" x14ac:dyDescent="0.35">
      <c r="A710" s="18"/>
      <c r="F710" s="21"/>
    </row>
    <row r="711" spans="1:11" ht="15.5" x14ac:dyDescent="0.35">
      <c r="A711" s="24" t="s">
        <v>108</v>
      </c>
      <c r="K711" s="21"/>
    </row>
    <row r="712" spans="1:11" ht="15.5" x14ac:dyDescent="0.35">
      <c r="A712" s="18" t="s">
        <v>114</v>
      </c>
      <c r="B712" s="67">
        <v>40000</v>
      </c>
    </row>
    <row r="713" spans="1:11" ht="15.5" x14ac:dyDescent="0.35">
      <c r="A713" s="18" t="s">
        <v>112</v>
      </c>
      <c r="B713" s="67">
        <v>40000</v>
      </c>
    </row>
    <row r="714" spans="1:11" ht="15.5" x14ac:dyDescent="0.35">
      <c r="A714" s="18" t="s">
        <v>309</v>
      </c>
      <c r="B714" s="67">
        <v>60000</v>
      </c>
    </row>
    <row r="715" spans="1:11" ht="15.5" x14ac:dyDescent="0.35">
      <c r="A715" s="18" t="s">
        <v>110</v>
      </c>
      <c r="B715" s="67">
        <v>40000</v>
      </c>
    </row>
    <row r="716" spans="1:11" ht="15.5" x14ac:dyDescent="0.35">
      <c r="A716" s="18" t="s">
        <v>111</v>
      </c>
      <c r="B716" s="67">
        <v>40000</v>
      </c>
    </row>
    <row r="717" spans="1:11" ht="15.5" x14ac:dyDescent="0.35">
      <c r="A717" s="18" t="s">
        <v>196</v>
      </c>
      <c r="B717" s="67">
        <v>40000</v>
      </c>
    </row>
    <row r="718" spans="1:11" ht="15.5" x14ac:dyDescent="0.35">
      <c r="A718" s="18" t="s">
        <v>113</v>
      </c>
      <c r="B718" s="67" t="s">
        <v>422</v>
      </c>
    </row>
    <row r="719" spans="1:11" ht="15.5" x14ac:dyDescent="0.35">
      <c r="A719" s="18" t="s">
        <v>209</v>
      </c>
      <c r="B719" s="67">
        <v>40000</v>
      </c>
    </row>
    <row r="720" spans="1:11" ht="15.5" x14ac:dyDescent="0.35">
      <c r="A720" s="18" t="s">
        <v>115</v>
      </c>
      <c r="B720" s="67">
        <v>60000</v>
      </c>
    </row>
    <row r="721" spans="1:11" ht="15.5" x14ac:dyDescent="0.35">
      <c r="A721" s="18" t="s">
        <v>109</v>
      </c>
      <c r="B721" s="67">
        <v>40000</v>
      </c>
    </row>
    <row r="722" spans="1:11" ht="15.5" x14ac:dyDescent="0.35">
      <c r="A722" s="24" t="s">
        <v>4</v>
      </c>
      <c r="B722" s="75">
        <f>SUM(B712:B721)</f>
        <v>400000</v>
      </c>
    </row>
    <row r="725" spans="1:11" ht="18.5" x14ac:dyDescent="0.45">
      <c r="A725" s="151" t="s">
        <v>1</v>
      </c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</row>
    <row r="726" spans="1:11" ht="18.5" x14ac:dyDescent="0.45">
      <c r="A726" s="150" t="s">
        <v>74</v>
      </c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</row>
    <row r="727" spans="1:11" ht="18.5" x14ac:dyDescent="0.45">
      <c r="A727" s="149">
        <v>46136</v>
      </c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</row>
    <row r="728" spans="1:11" ht="18.5" x14ac:dyDescent="0.45">
      <c r="A728" s="150"/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</row>
    <row r="729" spans="1:11" ht="18.5" x14ac:dyDescent="0.45">
      <c r="A729" s="2" t="s">
        <v>75</v>
      </c>
      <c r="B729" s="2" t="s">
        <v>3</v>
      </c>
      <c r="C729" s="2" t="s">
        <v>100</v>
      </c>
      <c r="D729" s="2" t="s">
        <v>90</v>
      </c>
      <c r="E729" s="2" t="s">
        <v>91</v>
      </c>
      <c r="F729" s="2" t="s">
        <v>4</v>
      </c>
      <c r="G729" s="2" t="s">
        <v>101</v>
      </c>
      <c r="H729" s="2" t="s">
        <v>104</v>
      </c>
      <c r="I729" s="2"/>
      <c r="J729" s="2" t="s">
        <v>105</v>
      </c>
      <c r="K729" s="2" t="s">
        <v>106</v>
      </c>
    </row>
    <row r="730" spans="1:11" ht="15.5" x14ac:dyDescent="0.35">
      <c r="A730" s="3" t="s">
        <v>76</v>
      </c>
      <c r="B730" s="1"/>
      <c r="C730" s="20">
        <v>17500</v>
      </c>
      <c r="D730" s="1"/>
      <c r="E730" s="1"/>
      <c r="F730" s="20">
        <f>C730*B730</f>
        <v>0</v>
      </c>
      <c r="G730" s="20">
        <f>D730*C730</f>
        <v>0</v>
      </c>
      <c r="H730" s="20">
        <f>E730*C730</f>
        <v>0</v>
      </c>
      <c r="I730" s="20" t="b">
        <f>D730+E730=B730</f>
        <v>1</v>
      </c>
      <c r="J730" s="20">
        <f>B765</f>
        <v>400000</v>
      </c>
      <c r="K730" s="20" t="s">
        <v>117</v>
      </c>
    </row>
    <row r="731" spans="1:11" ht="15.5" x14ac:dyDescent="0.35">
      <c r="A731" s="3" t="s">
        <v>77</v>
      </c>
      <c r="B731" s="1"/>
      <c r="C731" s="20">
        <v>16000</v>
      </c>
      <c r="D731" s="1"/>
      <c r="E731" s="1"/>
      <c r="F731" s="20">
        <f t="shared" ref="F731:G742" si="85">C731*B731</f>
        <v>0</v>
      </c>
      <c r="G731" s="20">
        <f t="shared" si="85"/>
        <v>0</v>
      </c>
      <c r="H731" s="20">
        <f t="shared" ref="H731:H746" si="86">E731*C731</f>
        <v>0</v>
      </c>
      <c r="I731" s="20" t="b">
        <f t="shared" ref="I731:I746" si="87">D731+E731=B731</f>
        <v>1</v>
      </c>
      <c r="J731" s="20">
        <v>118500</v>
      </c>
      <c r="K731" s="20" t="s">
        <v>212</v>
      </c>
    </row>
    <row r="732" spans="1:11" ht="15.5" x14ac:dyDescent="0.35">
      <c r="A732" s="3" t="s">
        <v>78</v>
      </c>
      <c r="B732" s="1"/>
      <c r="C732" s="20">
        <v>17500</v>
      </c>
      <c r="D732" s="1"/>
      <c r="E732" s="1"/>
      <c r="F732" s="20">
        <f t="shared" si="85"/>
        <v>0</v>
      </c>
      <c r="G732" s="20">
        <f t="shared" si="85"/>
        <v>0</v>
      </c>
      <c r="H732" s="20">
        <f t="shared" si="86"/>
        <v>0</v>
      </c>
      <c r="I732" s="20" t="b">
        <f t="shared" si="87"/>
        <v>1</v>
      </c>
      <c r="J732" s="20">
        <v>366000</v>
      </c>
      <c r="K732" s="20" t="s">
        <v>107</v>
      </c>
    </row>
    <row r="733" spans="1:11" ht="15.5" x14ac:dyDescent="0.35">
      <c r="A733" s="3" t="s">
        <v>79</v>
      </c>
      <c r="B733" s="1"/>
      <c r="C733" s="20">
        <v>18500</v>
      </c>
      <c r="D733" s="1"/>
      <c r="E733" s="1"/>
      <c r="F733" s="20">
        <f t="shared" si="85"/>
        <v>0</v>
      </c>
      <c r="G733" s="20">
        <f t="shared" si="85"/>
        <v>0</v>
      </c>
      <c r="H733" s="20">
        <f t="shared" si="86"/>
        <v>0</v>
      </c>
      <c r="I733" s="20" t="b">
        <f t="shared" si="87"/>
        <v>1</v>
      </c>
      <c r="J733" s="20"/>
      <c r="K733" s="20"/>
    </row>
    <row r="734" spans="1:11" ht="15.5" x14ac:dyDescent="0.35">
      <c r="A734" s="3" t="s">
        <v>80</v>
      </c>
      <c r="B734" s="1"/>
      <c r="C734" s="20">
        <v>18500</v>
      </c>
      <c r="D734" s="1"/>
      <c r="E734" s="1"/>
      <c r="F734" s="20">
        <f t="shared" si="85"/>
        <v>0</v>
      </c>
      <c r="G734" s="20">
        <f t="shared" si="85"/>
        <v>0</v>
      </c>
      <c r="H734" s="20">
        <f t="shared" si="86"/>
        <v>0</v>
      </c>
      <c r="I734" s="20" t="b">
        <f t="shared" si="87"/>
        <v>1</v>
      </c>
      <c r="J734" s="20"/>
      <c r="K734" s="20"/>
    </row>
    <row r="735" spans="1:11" ht="15.5" x14ac:dyDescent="0.35">
      <c r="A735" s="3" t="s">
        <v>81</v>
      </c>
      <c r="B735" s="1"/>
      <c r="C735" s="20">
        <v>23000</v>
      </c>
      <c r="D735" s="1"/>
      <c r="E735" s="1"/>
      <c r="F735" s="20">
        <f t="shared" si="85"/>
        <v>0</v>
      </c>
      <c r="G735" s="20">
        <f t="shared" si="85"/>
        <v>0</v>
      </c>
      <c r="H735" s="20">
        <f t="shared" si="86"/>
        <v>0</v>
      </c>
      <c r="I735" s="20" t="b">
        <f t="shared" si="87"/>
        <v>1</v>
      </c>
      <c r="J735" s="20"/>
      <c r="K735" s="20"/>
    </row>
    <row r="736" spans="1:11" ht="15.5" x14ac:dyDescent="0.35">
      <c r="A736" s="3" t="s">
        <v>82</v>
      </c>
      <c r="B736" s="1"/>
      <c r="C736" s="20">
        <v>18000</v>
      </c>
      <c r="D736" s="1"/>
      <c r="E736" s="1"/>
      <c r="F736" s="20">
        <f t="shared" si="85"/>
        <v>0</v>
      </c>
      <c r="G736" s="20">
        <f t="shared" si="85"/>
        <v>0</v>
      </c>
      <c r="H736" s="20">
        <f t="shared" si="86"/>
        <v>0</v>
      </c>
      <c r="I736" s="20" t="b">
        <f t="shared" si="87"/>
        <v>1</v>
      </c>
      <c r="J736" s="20"/>
      <c r="K736" s="20"/>
    </row>
    <row r="737" spans="1:11" ht="15.5" x14ac:dyDescent="0.35">
      <c r="A737" s="3" t="s">
        <v>83</v>
      </c>
      <c r="B737" s="1"/>
      <c r="C737" s="20">
        <v>18000</v>
      </c>
      <c r="D737" s="1"/>
      <c r="E737" s="1"/>
      <c r="F737" s="20">
        <f t="shared" si="85"/>
        <v>0</v>
      </c>
      <c r="G737" s="20">
        <f t="shared" si="85"/>
        <v>0</v>
      </c>
      <c r="H737" s="20">
        <f t="shared" si="86"/>
        <v>0</v>
      </c>
      <c r="I737" s="20" t="b">
        <f t="shared" si="87"/>
        <v>1</v>
      </c>
      <c r="J737" s="20"/>
      <c r="K737" s="20"/>
    </row>
    <row r="738" spans="1:11" ht="15.5" x14ac:dyDescent="0.35">
      <c r="A738" s="3" t="s">
        <v>84</v>
      </c>
      <c r="B738" s="1"/>
      <c r="C738" s="20">
        <v>18500</v>
      </c>
      <c r="D738" s="1"/>
      <c r="E738" s="1"/>
      <c r="F738" s="20">
        <f t="shared" si="85"/>
        <v>0</v>
      </c>
      <c r="G738" s="20">
        <f t="shared" si="85"/>
        <v>0</v>
      </c>
      <c r="H738" s="20">
        <f t="shared" si="86"/>
        <v>0</v>
      </c>
      <c r="I738" s="20" t="b">
        <f t="shared" si="87"/>
        <v>1</v>
      </c>
      <c r="J738" s="20"/>
      <c r="K738" s="20"/>
    </row>
    <row r="739" spans="1:11" ht="15.5" x14ac:dyDescent="0.35">
      <c r="A739" s="3" t="s">
        <v>85</v>
      </c>
      <c r="B739" s="1"/>
      <c r="C739" s="20">
        <v>18500</v>
      </c>
      <c r="D739" s="1"/>
      <c r="E739" s="1"/>
      <c r="F739" s="20">
        <f t="shared" si="85"/>
        <v>0</v>
      </c>
      <c r="G739" s="20">
        <f t="shared" si="85"/>
        <v>0</v>
      </c>
      <c r="H739" s="20">
        <f t="shared" si="86"/>
        <v>0</v>
      </c>
      <c r="I739" s="20" t="b">
        <f t="shared" si="87"/>
        <v>1</v>
      </c>
      <c r="J739" s="20"/>
      <c r="K739" s="20"/>
    </row>
    <row r="740" spans="1:11" ht="15.5" x14ac:dyDescent="0.35">
      <c r="A740" s="3" t="s">
        <v>86</v>
      </c>
      <c r="B740" s="1"/>
      <c r="C740" s="20">
        <v>18500</v>
      </c>
      <c r="D740" s="1"/>
      <c r="E740" s="1"/>
      <c r="F740" s="20">
        <f t="shared" si="85"/>
        <v>0</v>
      </c>
      <c r="G740" s="20">
        <f t="shared" si="85"/>
        <v>0</v>
      </c>
      <c r="H740" s="20">
        <f t="shared" si="86"/>
        <v>0</v>
      </c>
      <c r="I740" s="20" t="b">
        <f t="shared" si="87"/>
        <v>1</v>
      </c>
      <c r="J740" s="20"/>
      <c r="K740" s="20"/>
    </row>
    <row r="741" spans="1:11" ht="15.5" x14ac:dyDescent="0.35">
      <c r="A741" s="3" t="s">
        <v>87</v>
      </c>
      <c r="B741" s="1"/>
      <c r="C741" s="20">
        <v>18500</v>
      </c>
      <c r="D741" s="1"/>
      <c r="E741" s="1"/>
      <c r="F741" s="20">
        <f t="shared" si="85"/>
        <v>0</v>
      </c>
      <c r="G741" s="20">
        <f t="shared" si="85"/>
        <v>0</v>
      </c>
      <c r="H741" s="20">
        <f t="shared" si="86"/>
        <v>0</v>
      </c>
      <c r="I741" s="20" t="b">
        <f t="shared" si="87"/>
        <v>1</v>
      </c>
      <c r="J741" s="20"/>
      <c r="K741" s="20"/>
    </row>
    <row r="742" spans="1:11" ht="15.5" x14ac:dyDescent="0.35">
      <c r="A742" s="3" t="s">
        <v>88</v>
      </c>
      <c r="B742" s="1"/>
      <c r="C742" s="20">
        <v>18500</v>
      </c>
      <c r="D742" s="1"/>
      <c r="E742" s="1"/>
      <c r="F742" s="20">
        <f t="shared" si="85"/>
        <v>0</v>
      </c>
      <c r="G742" s="20">
        <f t="shared" si="85"/>
        <v>0</v>
      </c>
      <c r="H742" s="20">
        <f t="shared" si="86"/>
        <v>0</v>
      </c>
      <c r="I742" s="20" t="b">
        <f t="shared" si="87"/>
        <v>1</v>
      </c>
      <c r="J742" s="20"/>
      <c r="K742" s="20"/>
    </row>
    <row r="743" spans="1:11" ht="15.5" x14ac:dyDescent="0.35">
      <c r="A743" s="19" t="s">
        <v>89</v>
      </c>
      <c r="B743" s="1"/>
      <c r="C743" s="20"/>
      <c r="D743" s="1"/>
      <c r="E743" s="1"/>
      <c r="F743" s="20"/>
      <c r="G743" s="20"/>
      <c r="H743" s="20">
        <f t="shared" si="86"/>
        <v>0</v>
      </c>
      <c r="I743" s="20" t="b">
        <f t="shared" si="87"/>
        <v>1</v>
      </c>
      <c r="J743" s="20"/>
      <c r="K743" s="20"/>
    </row>
    <row r="744" spans="1:11" ht="15.5" x14ac:dyDescent="0.35">
      <c r="A744" s="3" t="s">
        <v>92</v>
      </c>
      <c r="B744" s="1"/>
      <c r="C744" s="20">
        <v>21500</v>
      </c>
      <c r="D744" s="1"/>
      <c r="E744" s="1"/>
      <c r="F744" s="20">
        <f t="shared" ref="F744:G746" si="88">C744*B744</f>
        <v>0</v>
      </c>
      <c r="G744" s="20">
        <f t="shared" si="88"/>
        <v>0</v>
      </c>
      <c r="H744" s="20">
        <f t="shared" si="86"/>
        <v>0</v>
      </c>
      <c r="I744" s="20" t="b">
        <f t="shared" si="87"/>
        <v>1</v>
      </c>
      <c r="J744" s="20"/>
      <c r="K744" s="20"/>
    </row>
    <row r="745" spans="1:11" ht="15.5" x14ac:dyDescent="0.35">
      <c r="A745" s="3" t="s">
        <v>93</v>
      </c>
      <c r="B745" s="1"/>
      <c r="C745" s="20">
        <v>21500</v>
      </c>
      <c r="D745" s="1"/>
      <c r="E745" s="1"/>
      <c r="F745" s="20">
        <f t="shared" si="88"/>
        <v>0</v>
      </c>
      <c r="G745" s="20">
        <f t="shared" si="88"/>
        <v>0</v>
      </c>
      <c r="H745" s="20">
        <f t="shared" si="86"/>
        <v>0</v>
      </c>
      <c r="I745" s="20" t="b">
        <f t="shared" si="87"/>
        <v>1</v>
      </c>
      <c r="J745" s="20"/>
      <c r="K745" s="20"/>
    </row>
    <row r="746" spans="1:11" ht="15.5" x14ac:dyDescent="0.35">
      <c r="A746" s="3" t="s">
        <v>94</v>
      </c>
      <c r="B746" s="1"/>
      <c r="C746" s="20">
        <v>21500</v>
      </c>
      <c r="D746" s="1"/>
      <c r="E746" s="1"/>
      <c r="F746" s="20">
        <f t="shared" si="88"/>
        <v>0</v>
      </c>
      <c r="G746" s="20">
        <f t="shared" si="88"/>
        <v>0</v>
      </c>
      <c r="H746" s="20">
        <f t="shared" si="86"/>
        <v>0</v>
      </c>
      <c r="I746" s="20" t="b">
        <f t="shared" si="87"/>
        <v>1</v>
      </c>
      <c r="J746" s="20"/>
      <c r="K746" s="20"/>
    </row>
    <row r="747" spans="1:11" ht="15.5" x14ac:dyDescent="0.35">
      <c r="A747" s="19"/>
      <c r="B747" s="22">
        <f>SUM(B730:B746)</f>
        <v>0</v>
      </c>
      <c r="C747" s="20"/>
      <c r="D747" s="1"/>
      <c r="E747" s="1"/>
      <c r="F747" s="23">
        <f>SUM(F730:F746)</f>
        <v>0</v>
      </c>
      <c r="G747" s="23">
        <f>SUM(G730:G746)</f>
        <v>0</v>
      </c>
      <c r="H747" s="23">
        <f>SUM(H730:H746)</f>
        <v>0</v>
      </c>
      <c r="I747" s="23"/>
      <c r="J747" s="23">
        <f>SUM(J730:J746)</f>
        <v>884500</v>
      </c>
      <c r="K747" s="23">
        <f>H747-J747</f>
        <v>-884500</v>
      </c>
    </row>
    <row r="748" spans="1:11" ht="15.5" x14ac:dyDescent="0.35">
      <c r="A748" s="19" t="s">
        <v>95</v>
      </c>
      <c r="B748" s="1"/>
      <c r="C748" s="20"/>
      <c r="D748" s="1"/>
      <c r="E748" s="1"/>
      <c r="F748" s="20"/>
      <c r="G748" s="20"/>
      <c r="H748" s="20" t="s">
        <v>192</v>
      </c>
      <c r="I748" s="20"/>
      <c r="J748" s="20"/>
      <c r="K748" s="20"/>
    </row>
    <row r="749" spans="1:11" ht="15.5" x14ac:dyDescent="0.35">
      <c r="A749" s="3" t="s">
        <v>96</v>
      </c>
      <c r="B749" s="1"/>
      <c r="C749" s="20">
        <v>3000</v>
      </c>
      <c r="D749" s="1"/>
      <c r="E749" s="20"/>
      <c r="F749" s="20">
        <f t="shared" ref="F749:F752" si="89">C749*B749</f>
        <v>0</v>
      </c>
      <c r="G749" s="20"/>
      <c r="H749" s="20"/>
      <c r="I749" s="20"/>
      <c r="J749" s="20"/>
      <c r="K749" s="20"/>
    </row>
    <row r="750" spans="1:11" ht="15.5" x14ac:dyDescent="0.35">
      <c r="A750" s="3" t="s">
        <v>97</v>
      </c>
      <c r="B750" s="1"/>
      <c r="C750" s="20">
        <v>2500</v>
      </c>
      <c r="D750" s="1"/>
      <c r="E750" s="1"/>
      <c r="F750" s="20">
        <f t="shared" si="89"/>
        <v>0</v>
      </c>
      <c r="G750" s="20"/>
      <c r="H750" s="20"/>
      <c r="I750" s="20"/>
      <c r="J750" s="20"/>
      <c r="K750" s="20"/>
    </row>
    <row r="751" spans="1:11" ht="15.5" x14ac:dyDescent="0.35">
      <c r="A751" s="3" t="s">
        <v>98</v>
      </c>
      <c r="B751" s="1"/>
      <c r="C751" s="20">
        <v>1800</v>
      </c>
      <c r="D751" s="1"/>
      <c r="E751" s="1"/>
      <c r="F751" s="20">
        <f t="shared" si="89"/>
        <v>0</v>
      </c>
      <c r="G751" s="20"/>
      <c r="H751" s="20"/>
      <c r="I751" s="20"/>
      <c r="J751" s="20"/>
      <c r="K751" s="20"/>
    </row>
    <row r="752" spans="1:11" ht="15.5" x14ac:dyDescent="0.35">
      <c r="A752" s="3" t="s">
        <v>99</v>
      </c>
      <c r="B752" s="1"/>
      <c r="C752" s="20">
        <v>3500</v>
      </c>
      <c r="D752" s="1"/>
      <c r="E752" s="1"/>
      <c r="F752" s="20">
        <f t="shared" si="89"/>
        <v>0</v>
      </c>
      <c r="G752" s="20"/>
      <c r="H752" s="20"/>
      <c r="I752" s="20"/>
      <c r="J752" s="20"/>
      <c r="K752" s="20"/>
    </row>
    <row r="753" spans="1:11" ht="15.5" x14ac:dyDescent="0.35">
      <c r="A753" s="18"/>
      <c r="F753" s="21"/>
    </row>
    <row r="754" spans="1:11" ht="15.5" x14ac:dyDescent="0.35">
      <c r="A754" s="24" t="s">
        <v>108</v>
      </c>
      <c r="K754" s="21"/>
    </row>
    <row r="755" spans="1:11" ht="15.5" x14ac:dyDescent="0.35">
      <c r="A755" s="18" t="s">
        <v>114</v>
      </c>
      <c r="B755" s="67">
        <v>40000</v>
      </c>
    </row>
    <row r="756" spans="1:11" ht="15.5" x14ac:dyDescent="0.35">
      <c r="A756" s="18" t="s">
        <v>112</v>
      </c>
      <c r="B756" s="67">
        <v>40000</v>
      </c>
    </row>
    <row r="757" spans="1:11" ht="15.5" x14ac:dyDescent="0.35">
      <c r="A757" s="18" t="s">
        <v>309</v>
      </c>
      <c r="B757" s="67">
        <v>60000</v>
      </c>
    </row>
    <row r="758" spans="1:11" ht="15.5" x14ac:dyDescent="0.35">
      <c r="A758" s="18" t="s">
        <v>110</v>
      </c>
      <c r="B758" s="67">
        <v>40000</v>
      </c>
    </row>
    <row r="759" spans="1:11" ht="15.5" x14ac:dyDescent="0.35">
      <c r="A759" s="18" t="s">
        <v>111</v>
      </c>
      <c r="B759" s="67">
        <v>40000</v>
      </c>
    </row>
    <row r="760" spans="1:11" ht="15.5" x14ac:dyDescent="0.35">
      <c r="A760" s="18" t="s">
        <v>196</v>
      </c>
      <c r="B760" s="67">
        <v>40000</v>
      </c>
    </row>
    <row r="761" spans="1:11" ht="15.5" x14ac:dyDescent="0.35">
      <c r="A761" s="18" t="s">
        <v>113</v>
      </c>
      <c r="B761" s="67" t="s">
        <v>422</v>
      </c>
    </row>
    <row r="762" spans="1:11" ht="15.5" x14ac:dyDescent="0.35">
      <c r="A762" s="18" t="s">
        <v>209</v>
      </c>
      <c r="B762" s="67">
        <v>40000</v>
      </c>
    </row>
    <row r="763" spans="1:11" ht="15.5" x14ac:dyDescent="0.35">
      <c r="A763" s="18" t="s">
        <v>115</v>
      </c>
      <c r="B763" s="67">
        <v>60000</v>
      </c>
    </row>
    <row r="764" spans="1:11" ht="15.5" x14ac:dyDescent="0.35">
      <c r="A764" s="18" t="s">
        <v>109</v>
      </c>
      <c r="B764" s="67">
        <v>40000</v>
      </c>
    </row>
    <row r="765" spans="1:11" ht="15.5" x14ac:dyDescent="0.35">
      <c r="A765" s="24" t="s">
        <v>4</v>
      </c>
      <c r="B765" s="75">
        <f>SUM(B755:B764)</f>
        <v>400000</v>
      </c>
    </row>
    <row r="768" spans="1:11" ht="18.5" x14ac:dyDescent="0.45">
      <c r="A768" s="151" t="s">
        <v>1</v>
      </c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</row>
    <row r="769" spans="1:11" ht="18.5" x14ac:dyDescent="0.45">
      <c r="A769" s="150" t="s">
        <v>74</v>
      </c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</row>
    <row r="770" spans="1:11" ht="18.5" x14ac:dyDescent="0.45">
      <c r="A770" s="149">
        <v>46137</v>
      </c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</row>
    <row r="771" spans="1:11" ht="18.5" x14ac:dyDescent="0.45">
      <c r="A771" s="150"/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</row>
    <row r="772" spans="1:11" ht="18.5" x14ac:dyDescent="0.45">
      <c r="A772" s="2" t="s">
        <v>75</v>
      </c>
      <c r="B772" s="2" t="s">
        <v>3</v>
      </c>
      <c r="C772" s="2" t="s">
        <v>100</v>
      </c>
      <c r="D772" s="2" t="s">
        <v>90</v>
      </c>
      <c r="E772" s="2" t="s">
        <v>91</v>
      </c>
      <c r="F772" s="2" t="s">
        <v>4</v>
      </c>
      <c r="G772" s="2" t="s">
        <v>101</v>
      </c>
      <c r="H772" s="2" t="s">
        <v>104</v>
      </c>
      <c r="I772" s="2"/>
      <c r="J772" s="2" t="s">
        <v>105</v>
      </c>
      <c r="K772" s="2" t="s">
        <v>106</v>
      </c>
    </row>
    <row r="773" spans="1:11" ht="15.5" x14ac:dyDescent="0.35">
      <c r="A773" s="3" t="s">
        <v>76</v>
      </c>
      <c r="B773" s="1"/>
      <c r="C773" s="20">
        <v>17500</v>
      </c>
      <c r="D773" s="1"/>
      <c r="E773" s="1"/>
      <c r="F773" s="20">
        <f>C773*B773</f>
        <v>0</v>
      </c>
      <c r="G773" s="20">
        <f>D773*C773</f>
        <v>0</v>
      </c>
      <c r="H773" s="20">
        <f>E773*C773</f>
        <v>0</v>
      </c>
      <c r="I773" s="20" t="b">
        <f>D773+E773=B773</f>
        <v>1</v>
      </c>
      <c r="J773" s="20">
        <f>B802</f>
        <v>240000</v>
      </c>
      <c r="K773" s="20" t="s">
        <v>117</v>
      </c>
    </row>
    <row r="774" spans="1:11" ht="15.5" x14ac:dyDescent="0.35">
      <c r="A774" s="3" t="s">
        <v>77</v>
      </c>
      <c r="B774" s="1"/>
      <c r="C774" s="20">
        <v>16000</v>
      </c>
      <c r="D774" s="1"/>
      <c r="E774" s="1"/>
      <c r="F774" s="20">
        <f t="shared" ref="F774:G785" si="90">C774*B774</f>
        <v>0</v>
      </c>
      <c r="G774" s="20">
        <f t="shared" si="90"/>
        <v>0</v>
      </c>
      <c r="H774" s="20">
        <f t="shared" ref="H774:H789" si="91">E774*C774</f>
        <v>0</v>
      </c>
      <c r="I774" s="20" t="b">
        <f t="shared" ref="I774:I789" si="92">D774+E774=B774</f>
        <v>1</v>
      </c>
      <c r="J774" s="20">
        <v>223000</v>
      </c>
      <c r="K774" s="20" t="s">
        <v>199</v>
      </c>
    </row>
    <row r="775" spans="1:11" ht="15.5" x14ac:dyDescent="0.35">
      <c r="A775" s="3" t="s">
        <v>78</v>
      </c>
      <c r="B775" s="1"/>
      <c r="C775" s="20">
        <v>17500</v>
      </c>
      <c r="D775" s="1"/>
      <c r="E775" s="1"/>
      <c r="F775" s="20">
        <f t="shared" si="90"/>
        <v>0</v>
      </c>
      <c r="G775" s="20">
        <f t="shared" si="90"/>
        <v>0</v>
      </c>
      <c r="H775" s="20">
        <f t="shared" si="91"/>
        <v>0</v>
      </c>
      <c r="I775" s="20" t="b">
        <f t="shared" si="92"/>
        <v>1</v>
      </c>
      <c r="J775" s="20">
        <v>280000</v>
      </c>
      <c r="K775" s="20" t="s">
        <v>429</v>
      </c>
    </row>
    <row r="776" spans="1:11" ht="15.5" x14ac:dyDescent="0.35">
      <c r="A776" s="3" t="s">
        <v>79</v>
      </c>
      <c r="B776" s="1"/>
      <c r="C776" s="20">
        <v>18500</v>
      </c>
      <c r="D776" s="1"/>
      <c r="E776" s="1"/>
      <c r="F776" s="20">
        <f t="shared" si="90"/>
        <v>0</v>
      </c>
      <c r="G776" s="20">
        <f t="shared" si="90"/>
        <v>0</v>
      </c>
      <c r="H776" s="20">
        <f t="shared" si="91"/>
        <v>0</v>
      </c>
      <c r="I776" s="20" t="b">
        <f t="shared" si="92"/>
        <v>1</v>
      </c>
      <c r="J776" s="20">
        <v>114000</v>
      </c>
      <c r="K776" s="20" t="s">
        <v>107</v>
      </c>
    </row>
    <row r="777" spans="1:11" ht="15.5" x14ac:dyDescent="0.35">
      <c r="A777" s="3" t="s">
        <v>80</v>
      </c>
      <c r="B777" s="1"/>
      <c r="C777" s="20">
        <v>18500</v>
      </c>
      <c r="D777" s="1"/>
      <c r="E777" s="1"/>
      <c r="F777" s="20">
        <f t="shared" si="90"/>
        <v>0</v>
      </c>
      <c r="G777" s="20">
        <f t="shared" si="90"/>
        <v>0</v>
      </c>
      <c r="H777" s="20">
        <f t="shared" si="91"/>
        <v>0</v>
      </c>
      <c r="I777" s="20" t="b">
        <f t="shared" si="92"/>
        <v>1</v>
      </c>
      <c r="J777" s="20"/>
      <c r="K777" s="20"/>
    </row>
    <row r="778" spans="1:11" ht="15.5" x14ac:dyDescent="0.35">
      <c r="A778" s="3" t="s">
        <v>81</v>
      </c>
      <c r="B778" s="1"/>
      <c r="C778" s="20">
        <v>23000</v>
      </c>
      <c r="D778" s="1"/>
      <c r="E778" s="1"/>
      <c r="F778" s="20">
        <f t="shared" si="90"/>
        <v>0</v>
      </c>
      <c r="G778" s="20">
        <f t="shared" si="90"/>
        <v>0</v>
      </c>
      <c r="H778" s="20">
        <f t="shared" si="91"/>
        <v>0</v>
      </c>
      <c r="I778" s="20" t="b">
        <f t="shared" si="92"/>
        <v>1</v>
      </c>
      <c r="J778" s="20"/>
      <c r="K778" s="20"/>
    </row>
    <row r="779" spans="1:11" ht="15.5" x14ac:dyDescent="0.35">
      <c r="A779" s="3" t="s">
        <v>82</v>
      </c>
      <c r="B779" s="1"/>
      <c r="C779" s="20">
        <v>18000</v>
      </c>
      <c r="D779" s="1"/>
      <c r="E779" s="1"/>
      <c r="F779" s="20">
        <f t="shared" si="90"/>
        <v>0</v>
      </c>
      <c r="G779" s="20">
        <f t="shared" si="90"/>
        <v>0</v>
      </c>
      <c r="H779" s="20">
        <f t="shared" si="91"/>
        <v>0</v>
      </c>
      <c r="I779" s="20" t="b">
        <f t="shared" si="92"/>
        <v>1</v>
      </c>
      <c r="J779" s="20"/>
      <c r="K779" s="20"/>
    </row>
    <row r="780" spans="1:11" ht="15.5" x14ac:dyDescent="0.35">
      <c r="A780" s="3" t="s">
        <v>83</v>
      </c>
      <c r="B780" s="1"/>
      <c r="C780" s="20">
        <v>18000</v>
      </c>
      <c r="D780" s="1"/>
      <c r="E780" s="1"/>
      <c r="F780" s="20">
        <f t="shared" si="90"/>
        <v>0</v>
      </c>
      <c r="G780" s="20">
        <f t="shared" si="90"/>
        <v>0</v>
      </c>
      <c r="H780" s="20">
        <f t="shared" si="91"/>
        <v>0</v>
      </c>
      <c r="I780" s="20" t="b">
        <f t="shared" si="92"/>
        <v>1</v>
      </c>
      <c r="J780" s="20"/>
      <c r="K780" s="20"/>
    </row>
    <row r="781" spans="1:11" ht="15.5" x14ac:dyDescent="0.35">
      <c r="A781" s="3" t="s">
        <v>84</v>
      </c>
      <c r="B781" s="1"/>
      <c r="C781" s="20">
        <v>18500</v>
      </c>
      <c r="D781" s="1"/>
      <c r="E781" s="1"/>
      <c r="F781" s="20">
        <f t="shared" si="90"/>
        <v>0</v>
      </c>
      <c r="G781" s="20">
        <f t="shared" si="90"/>
        <v>0</v>
      </c>
      <c r="H781" s="20">
        <f t="shared" si="91"/>
        <v>0</v>
      </c>
      <c r="I781" s="20" t="b">
        <f t="shared" si="92"/>
        <v>1</v>
      </c>
      <c r="J781" s="20"/>
      <c r="K781" s="20"/>
    </row>
    <row r="782" spans="1:11" ht="15.5" x14ac:dyDescent="0.35">
      <c r="A782" s="3" t="s">
        <v>85</v>
      </c>
      <c r="B782" s="1"/>
      <c r="C782" s="20">
        <v>18500</v>
      </c>
      <c r="D782" s="1"/>
      <c r="E782" s="1"/>
      <c r="F782" s="20">
        <f t="shared" si="90"/>
        <v>0</v>
      </c>
      <c r="G782" s="20">
        <f t="shared" si="90"/>
        <v>0</v>
      </c>
      <c r="H782" s="20">
        <f t="shared" si="91"/>
        <v>0</v>
      </c>
      <c r="I782" s="20" t="b">
        <f t="shared" si="92"/>
        <v>1</v>
      </c>
      <c r="J782" s="20"/>
      <c r="K782" s="20"/>
    </row>
    <row r="783" spans="1:11" ht="15.5" x14ac:dyDescent="0.35">
      <c r="A783" s="3" t="s">
        <v>86</v>
      </c>
      <c r="B783" s="1"/>
      <c r="C783" s="20">
        <v>18500</v>
      </c>
      <c r="D783" s="1"/>
      <c r="E783" s="1"/>
      <c r="F783" s="20">
        <f t="shared" si="90"/>
        <v>0</v>
      </c>
      <c r="G783" s="20">
        <f t="shared" si="90"/>
        <v>0</v>
      </c>
      <c r="H783" s="20">
        <f t="shared" si="91"/>
        <v>0</v>
      </c>
      <c r="I783" s="20" t="b">
        <f t="shared" si="92"/>
        <v>1</v>
      </c>
      <c r="J783" s="20"/>
      <c r="K783" s="20"/>
    </row>
    <row r="784" spans="1:11" ht="15.5" x14ac:dyDescent="0.35">
      <c r="A784" s="3" t="s">
        <v>87</v>
      </c>
      <c r="B784" s="1"/>
      <c r="C784" s="20">
        <v>18500</v>
      </c>
      <c r="D784" s="1"/>
      <c r="E784" s="1"/>
      <c r="F784" s="20">
        <f t="shared" si="90"/>
        <v>0</v>
      </c>
      <c r="G784" s="20">
        <f t="shared" si="90"/>
        <v>0</v>
      </c>
      <c r="H784" s="20">
        <f t="shared" si="91"/>
        <v>0</v>
      </c>
      <c r="I784" s="20" t="b">
        <f t="shared" si="92"/>
        <v>1</v>
      </c>
      <c r="J784" s="20"/>
      <c r="K784" s="20"/>
    </row>
    <row r="785" spans="1:11" ht="15.5" x14ac:dyDescent="0.35">
      <c r="A785" s="3" t="s">
        <v>88</v>
      </c>
      <c r="B785" s="1"/>
      <c r="C785" s="20">
        <v>18500</v>
      </c>
      <c r="D785" s="1"/>
      <c r="E785" s="1"/>
      <c r="F785" s="20">
        <f t="shared" si="90"/>
        <v>0</v>
      </c>
      <c r="G785" s="20">
        <f t="shared" si="90"/>
        <v>0</v>
      </c>
      <c r="H785" s="20">
        <f t="shared" si="91"/>
        <v>0</v>
      </c>
      <c r="I785" s="20" t="b">
        <f t="shared" si="92"/>
        <v>1</v>
      </c>
      <c r="J785" s="20"/>
      <c r="K785" s="20"/>
    </row>
    <row r="786" spans="1:11" ht="15.5" x14ac:dyDescent="0.35">
      <c r="A786" s="19" t="s">
        <v>89</v>
      </c>
      <c r="B786" s="1"/>
      <c r="C786" s="20"/>
      <c r="D786" s="1"/>
      <c r="E786" s="1"/>
      <c r="F786" s="20"/>
      <c r="G786" s="20"/>
      <c r="H786" s="20">
        <f t="shared" si="91"/>
        <v>0</v>
      </c>
      <c r="I786" s="20" t="b">
        <f t="shared" si="92"/>
        <v>1</v>
      </c>
      <c r="J786" s="20"/>
      <c r="K786" s="20"/>
    </row>
    <row r="787" spans="1:11" ht="15.5" x14ac:dyDescent="0.35">
      <c r="A787" s="3" t="s">
        <v>92</v>
      </c>
      <c r="B787" s="1"/>
      <c r="C787" s="20">
        <v>21500</v>
      </c>
      <c r="D787" s="1"/>
      <c r="E787" s="1"/>
      <c r="F787" s="20">
        <f t="shared" ref="F787:G789" si="93">C787*B787</f>
        <v>0</v>
      </c>
      <c r="G787" s="20">
        <f t="shared" si="93"/>
        <v>0</v>
      </c>
      <c r="H787" s="20">
        <f t="shared" si="91"/>
        <v>0</v>
      </c>
      <c r="I787" s="20" t="b">
        <f t="shared" si="92"/>
        <v>1</v>
      </c>
      <c r="J787" s="20"/>
      <c r="K787" s="20"/>
    </row>
    <row r="788" spans="1:11" ht="15.5" x14ac:dyDescent="0.35">
      <c r="A788" s="3" t="s">
        <v>93</v>
      </c>
      <c r="B788" s="1"/>
      <c r="C788" s="20">
        <v>21500</v>
      </c>
      <c r="D788" s="1"/>
      <c r="E788" s="1"/>
      <c r="F788" s="20">
        <f t="shared" si="93"/>
        <v>0</v>
      </c>
      <c r="G788" s="20">
        <f t="shared" si="93"/>
        <v>0</v>
      </c>
      <c r="H788" s="20">
        <f t="shared" si="91"/>
        <v>0</v>
      </c>
      <c r="I788" s="20" t="b">
        <f t="shared" si="92"/>
        <v>1</v>
      </c>
      <c r="J788" s="20"/>
      <c r="K788" s="20"/>
    </row>
    <row r="789" spans="1:11" ht="15.5" x14ac:dyDescent="0.35">
      <c r="A789" s="3" t="s">
        <v>94</v>
      </c>
      <c r="B789" s="1"/>
      <c r="C789" s="20">
        <v>21500</v>
      </c>
      <c r="D789" s="1"/>
      <c r="E789" s="1"/>
      <c r="F789" s="20">
        <f t="shared" si="93"/>
        <v>0</v>
      </c>
      <c r="G789" s="20">
        <f t="shared" si="93"/>
        <v>0</v>
      </c>
      <c r="H789" s="20">
        <f t="shared" si="91"/>
        <v>0</v>
      </c>
      <c r="I789" s="20" t="b">
        <f t="shared" si="92"/>
        <v>1</v>
      </c>
      <c r="J789" s="20"/>
      <c r="K789" s="20"/>
    </row>
    <row r="790" spans="1:11" ht="15.5" x14ac:dyDescent="0.35">
      <c r="A790" s="19"/>
      <c r="B790" s="22">
        <f>SUM(B773:B789)</f>
        <v>0</v>
      </c>
      <c r="C790" s="20"/>
      <c r="D790" s="1"/>
      <c r="E790" s="1"/>
      <c r="F790" s="23">
        <f>SUM(F773:F789)</f>
        <v>0</v>
      </c>
      <c r="G790" s="23">
        <f>SUM(G773:G789)</f>
        <v>0</v>
      </c>
      <c r="H790" s="23">
        <f>SUM(H773:H789)</f>
        <v>0</v>
      </c>
      <c r="I790" s="23"/>
      <c r="J790" s="23">
        <f>SUM(J773:J789)</f>
        <v>857000</v>
      </c>
      <c r="K790" s="23">
        <f>H790-J790</f>
        <v>-857000</v>
      </c>
    </row>
    <row r="791" spans="1:11" ht="15.5" x14ac:dyDescent="0.35">
      <c r="A791" s="19" t="s">
        <v>95</v>
      </c>
      <c r="B791" s="1"/>
      <c r="C791" s="20"/>
      <c r="D791" s="1"/>
      <c r="E791" s="1"/>
      <c r="F791" s="20"/>
      <c r="G791" s="20"/>
      <c r="H791" s="20" t="s">
        <v>192</v>
      </c>
      <c r="I791" s="20"/>
      <c r="J791" s="20"/>
      <c r="K791" s="20"/>
    </row>
    <row r="792" spans="1:11" ht="15.5" x14ac:dyDescent="0.35">
      <c r="A792" s="3" t="s">
        <v>96</v>
      </c>
      <c r="B792" s="1"/>
      <c r="C792" s="20">
        <v>3000</v>
      </c>
      <c r="D792" s="1"/>
      <c r="E792" s="20"/>
      <c r="F792" s="20">
        <f t="shared" ref="F792:F795" si="94">C792*B792</f>
        <v>0</v>
      </c>
      <c r="G792" s="20"/>
      <c r="H792" s="20"/>
      <c r="I792" s="20"/>
      <c r="J792" s="20"/>
      <c r="K792" s="20"/>
    </row>
    <row r="793" spans="1:11" ht="15.5" x14ac:dyDescent="0.35">
      <c r="A793" s="3" t="s">
        <v>97</v>
      </c>
      <c r="B793" s="1"/>
      <c r="C793" s="20">
        <v>2500</v>
      </c>
      <c r="D793" s="1"/>
      <c r="E793" s="1"/>
      <c r="F793" s="20">
        <f t="shared" si="94"/>
        <v>0</v>
      </c>
      <c r="G793" s="20"/>
      <c r="H793" s="20"/>
      <c r="I793" s="20"/>
      <c r="J793" s="20"/>
      <c r="K793" s="20"/>
    </row>
    <row r="794" spans="1:11" ht="15.5" x14ac:dyDescent="0.35">
      <c r="A794" s="3" t="s">
        <v>98</v>
      </c>
      <c r="B794" s="1"/>
      <c r="C794" s="20">
        <v>1800</v>
      </c>
      <c r="D794" s="1"/>
      <c r="E794" s="1"/>
      <c r="F794" s="20">
        <f t="shared" si="94"/>
        <v>0</v>
      </c>
      <c r="G794" s="20"/>
      <c r="H794" s="20"/>
      <c r="I794" s="20"/>
      <c r="J794" s="20"/>
      <c r="K794" s="20"/>
    </row>
    <row r="795" spans="1:11" ht="15.5" x14ac:dyDescent="0.35">
      <c r="A795" s="3" t="s">
        <v>99</v>
      </c>
      <c r="B795" s="1"/>
      <c r="C795" s="20">
        <v>3500</v>
      </c>
      <c r="D795" s="1"/>
      <c r="E795" s="1"/>
      <c r="F795" s="20">
        <f t="shared" si="94"/>
        <v>0</v>
      </c>
      <c r="G795" s="20"/>
      <c r="H795" s="20"/>
      <c r="I795" s="20"/>
      <c r="J795" s="20"/>
      <c r="K795" s="20"/>
    </row>
    <row r="796" spans="1:11" ht="15.5" x14ac:dyDescent="0.35">
      <c r="A796" s="18"/>
      <c r="F796" s="21"/>
    </row>
    <row r="797" spans="1:11" ht="15.5" x14ac:dyDescent="0.35">
      <c r="A797" s="24" t="s">
        <v>108</v>
      </c>
      <c r="K797" s="21"/>
    </row>
    <row r="798" spans="1:11" ht="15.5" x14ac:dyDescent="0.35">
      <c r="A798" s="18" t="s">
        <v>114</v>
      </c>
      <c r="B798" s="67">
        <v>60000</v>
      </c>
    </row>
    <row r="799" spans="1:11" ht="15.5" x14ac:dyDescent="0.35">
      <c r="A799" s="18" t="s">
        <v>112</v>
      </c>
      <c r="B799" s="67">
        <v>60000</v>
      </c>
    </row>
    <row r="800" spans="1:11" ht="15.5" x14ac:dyDescent="0.35">
      <c r="A800" s="18" t="s">
        <v>110</v>
      </c>
      <c r="B800" s="67">
        <v>60000</v>
      </c>
    </row>
    <row r="801" spans="1:11" ht="15.5" x14ac:dyDescent="0.35">
      <c r="A801" s="18" t="s">
        <v>111</v>
      </c>
      <c r="B801" s="67">
        <v>60000</v>
      </c>
    </row>
    <row r="802" spans="1:11" ht="15.5" x14ac:dyDescent="0.35">
      <c r="A802" s="24" t="s">
        <v>4</v>
      </c>
      <c r="B802" s="75">
        <f>SUM(B798:B801)</f>
        <v>240000</v>
      </c>
    </row>
    <row r="805" spans="1:11" ht="18.5" x14ac:dyDescent="0.45">
      <c r="A805" s="151" t="s">
        <v>1</v>
      </c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</row>
    <row r="806" spans="1:11" ht="18.5" x14ac:dyDescent="0.45">
      <c r="A806" s="150" t="s">
        <v>74</v>
      </c>
      <c r="B806" s="150"/>
      <c r="C806" s="150"/>
      <c r="D806" s="150"/>
      <c r="E806" s="150"/>
      <c r="F806" s="150"/>
      <c r="G806" s="150"/>
      <c r="H806" s="150"/>
      <c r="I806" s="150"/>
      <c r="J806" s="150"/>
      <c r="K806" s="150"/>
    </row>
    <row r="807" spans="1:11" ht="18.5" x14ac:dyDescent="0.45">
      <c r="A807" s="149">
        <v>46139</v>
      </c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</row>
    <row r="808" spans="1:11" ht="18.5" x14ac:dyDescent="0.45">
      <c r="A808" s="150"/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</row>
    <row r="809" spans="1:11" ht="18.5" x14ac:dyDescent="0.45">
      <c r="A809" s="2" t="s">
        <v>75</v>
      </c>
      <c r="B809" s="2" t="s">
        <v>3</v>
      </c>
      <c r="C809" s="2" t="s">
        <v>100</v>
      </c>
      <c r="D809" s="2" t="s">
        <v>90</v>
      </c>
      <c r="E809" s="2" t="s">
        <v>91</v>
      </c>
      <c r="F809" s="2" t="s">
        <v>4</v>
      </c>
      <c r="G809" s="2" t="s">
        <v>101</v>
      </c>
      <c r="H809" s="2" t="s">
        <v>104</v>
      </c>
      <c r="I809" s="2"/>
      <c r="J809" s="2" t="s">
        <v>105</v>
      </c>
      <c r="K809" s="2" t="s">
        <v>106</v>
      </c>
    </row>
    <row r="810" spans="1:11" ht="15.5" x14ac:dyDescent="0.35">
      <c r="A810" s="3" t="s">
        <v>76</v>
      </c>
      <c r="B810" s="1"/>
      <c r="C810" s="20">
        <v>17500</v>
      </c>
      <c r="D810" s="1"/>
      <c r="E810" s="1"/>
      <c r="F810" s="20">
        <f>C810*B810</f>
        <v>0</v>
      </c>
      <c r="G810" s="20">
        <f>D810*C810</f>
        <v>0</v>
      </c>
      <c r="H810" s="20">
        <f>E810*C810</f>
        <v>0</v>
      </c>
      <c r="I810" s="20" t="b">
        <f>D810+E810=B810</f>
        <v>1</v>
      </c>
      <c r="J810" s="20">
        <f>B845</f>
        <v>400000</v>
      </c>
      <c r="K810" s="20" t="s">
        <v>117</v>
      </c>
    </row>
    <row r="811" spans="1:11" ht="15.5" x14ac:dyDescent="0.35">
      <c r="A811" s="3" t="s">
        <v>77</v>
      </c>
      <c r="B811" s="1"/>
      <c r="C811" s="20">
        <v>16000</v>
      </c>
      <c r="D811" s="1"/>
      <c r="E811" s="1"/>
      <c r="F811" s="20">
        <f t="shared" ref="F811:G822" si="95">C811*B811</f>
        <v>0</v>
      </c>
      <c r="G811" s="20">
        <f t="shared" si="95"/>
        <v>0</v>
      </c>
      <c r="H811" s="20">
        <f t="shared" ref="H811:H826" si="96">E811*C811</f>
        <v>0</v>
      </c>
      <c r="I811" s="20" t="b">
        <f t="shared" ref="I811:I826" si="97">D811+E811=B811</f>
        <v>1</v>
      </c>
      <c r="J811" s="20">
        <v>30000</v>
      </c>
      <c r="K811" s="20" t="s">
        <v>431</v>
      </c>
    </row>
    <row r="812" spans="1:11" ht="15.5" x14ac:dyDescent="0.35">
      <c r="A812" s="3" t="s">
        <v>78</v>
      </c>
      <c r="B812" s="1"/>
      <c r="C812" s="20">
        <v>17500</v>
      </c>
      <c r="D812" s="1"/>
      <c r="E812" s="1"/>
      <c r="F812" s="20">
        <f t="shared" si="95"/>
        <v>0</v>
      </c>
      <c r="G812" s="20">
        <f t="shared" si="95"/>
        <v>0</v>
      </c>
      <c r="H812" s="20">
        <f t="shared" si="96"/>
        <v>0</v>
      </c>
      <c r="I812" s="20" t="b">
        <f t="shared" si="97"/>
        <v>1</v>
      </c>
      <c r="J812" s="20">
        <v>315000</v>
      </c>
      <c r="K812" s="20" t="s">
        <v>199</v>
      </c>
    </row>
    <row r="813" spans="1:11" ht="15.5" x14ac:dyDescent="0.35">
      <c r="A813" s="3" t="s">
        <v>79</v>
      </c>
      <c r="B813" s="1"/>
      <c r="C813" s="20">
        <v>18500</v>
      </c>
      <c r="D813" s="1"/>
      <c r="E813" s="1"/>
      <c r="F813" s="20">
        <f t="shared" si="95"/>
        <v>0</v>
      </c>
      <c r="G813" s="20">
        <f t="shared" si="95"/>
        <v>0</v>
      </c>
      <c r="H813" s="20">
        <f t="shared" si="96"/>
        <v>0</v>
      </c>
      <c r="I813" s="20" t="b">
        <f t="shared" si="97"/>
        <v>1</v>
      </c>
      <c r="J813" s="20">
        <v>370000</v>
      </c>
      <c r="K813" s="20" t="s">
        <v>107</v>
      </c>
    </row>
    <row r="814" spans="1:11" ht="15.5" x14ac:dyDescent="0.35">
      <c r="A814" s="3" t="s">
        <v>80</v>
      </c>
      <c r="B814" s="1"/>
      <c r="C814" s="20">
        <v>18500</v>
      </c>
      <c r="D814" s="1"/>
      <c r="E814" s="1"/>
      <c r="F814" s="20">
        <f t="shared" si="95"/>
        <v>0</v>
      </c>
      <c r="G814" s="20">
        <f t="shared" si="95"/>
        <v>0</v>
      </c>
      <c r="H814" s="20">
        <f t="shared" si="96"/>
        <v>0</v>
      </c>
      <c r="I814" s="20" t="b">
        <f t="shared" si="97"/>
        <v>1</v>
      </c>
      <c r="J814" s="20"/>
      <c r="K814" s="20"/>
    </row>
    <row r="815" spans="1:11" ht="15.5" x14ac:dyDescent="0.35">
      <c r="A815" s="3" t="s">
        <v>81</v>
      </c>
      <c r="B815" s="1"/>
      <c r="C815" s="20">
        <v>23000</v>
      </c>
      <c r="D815" s="1"/>
      <c r="E815" s="1"/>
      <c r="F815" s="20">
        <f t="shared" si="95"/>
        <v>0</v>
      </c>
      <c r="G815" s="20">
        <f t="shared" si="95"/>
        <v>0</v>
      </c>
      <c r="H815" s="20">
        <f t="shared" si="96"/>
        <v>0</v>
      </c>
      <c r="I815" s="20" t="b">
        <f t="shared" si="97"/>
        <v>1</v>
      </c>
      <c r="J815" s="20"/>
      <c r="K815" s="20"/>
    </row>
    <row r="816" spans="1:11" ht="15.5" x14ac:dyDescent="0.35">
      <c r="A816" s="3" t="s">
        <v>82</v>
      </c>
      <c r="B816" s="1"/>
      <c r="C816" s="20">
        <v>18000</v>
      </c>
      <c r="D816" s="1"/>
      <c r="E816" s="1"/>
      <c r="F816" s="20">
        <f t="shared" si="95"/>
        <v>0</v>
      </c>
      <c r="G816" s="20">
        <f t="shared" si="95"/>
        <v>0</v>
      </c>
      <c r="H816" s="20">
        <f t="shared" si="96"/>
        <v>0</v>
      </c>
      <c r="I816" s="20" t="b">
        <f t="shared" si="97"/>
        <v>1</v>
      </c>
      <c r="J816" s="20"/>
      <c r="K816" s="20"/>
    </row>
    <row r="817" spans="1:11" ht="15.5" x14ac:dyDescent="0.35">
      <c r="A817" s="3" t="s">
        <v>83</v>
      </c>
      <c r="B817" s="1"/>
      <c r="C817" s="20">
        <v>18000</v>
      </c>
      <c r="D817" s="1"/>
      <c r="E817" s="1"/>
      <c r="F817" s="20">
        <f t="shared" si="95"/>
        <v>0</v>
      </c>
      <c r="G817" s="20">
        <f t="shared" si="95"/>
        <v>0</v>
      </c>
      <c r="H817" s="20">
        <f t="shared" si="96"/>
        <v>0</v>
      </c>
      <c r="I817" s="20" t="b">
        <f t="shared" si="97"/>
        <v>1</v>
      </c>
      <c r="J817" s="20"/>
      <c r="K817" s="20"/>
    </row>
    <row r="818" spans="1:11" ht="15.5" x14ac:dyDescent="0.35">
      <c r="A818" s="3" t="s">
        <v>84</v>
      </c>
      <c r="B818" s="1"/>
      <c r="C818" s="20">
        <v>18500</v>
      </c>
      <c r="D818" s="1"/>
      <c r="E818" s="1"/>
      <c r="F818" s="20">
        <f t="shared" si="95"/>
        <v>0</v>
      </c>
      <c r="G818" s="20">
        <f t="shared" si="95"/>
        <v>0</v>
      </c>
      <c r="H818" s="20">
        <f t="shared" si="96"/>
        <v>0</v>
      </c>
      <c r="I818" s="20" t="b">
        <f t="shared" si="97"/>
        <v>1</v>
      </c>
      <c r="J818" s="20"/>
      <c r="K818" s="20"/>
    </row>
    <row r="819" spans="1:11" ht="15.5" x14ac:dyDescent="0.35">
      <c r="A819" s="3" t="s">
        <v>85</v>
      </c>
      <c r="B819" s="1"/>
      <c r="C819" s="20">
        <v>18500</v>
      </c>
      <c r="D819" s="1"/>
      <c r="E819" s="1"/>
      <c r="F819" s="20">
        <f t="shared" si="95"/>
        <v>0</v>
      </c>
      <c r="G819" s="20">
        <f t="shared" si="95"/>
        <v>0</v>
      </c>
      <c r="H819" s="20">
        <f t="shared" si="96"/>
        <v>0</v>
      </c>
      <c r="I819" s="20" t="b">
        <f t="shared" si="97"/>
        <v>1</v>
      </c>
      <c r="J819" s="20"/>
      <c r="K819" s="20"/>
    </row>
    <row r="820" spans="1:11" ht="15.5" x14ac:dyDescent="0.35">
      <c r="A820" s="3" t="s">
        <v>86</v>
      </c>
      <c r="B820" s="1"/>
      <c r="C820" s="20">
        <v>18500</v>
      </c>
      <c r="D820" s="1"/>
      <c r="E820" s="1"/>
      <c r="F820" s="20">
        <f t="shared" si="95"/>
        <v>0</v>
      </c>
      <c r="G820" s="20">
        <f t="shared" si="95"/>
        <v>0</v>
      </c>
      <c r="H820" s="20">
        <f t="shared" si="96"/>
        <v>0</v>
      </c>
      <c r="I820" s="20" t="b">
        <f t="shared" si="97"/>
        <v>1</v>
      </c>
      <c r="J820" s="20"/>
      <c r="K820" s="20"/>
    </row>
    <row r="821" spans="1:11" ht="15.5" x14ac:dyDescent="0.35">
      <c r="A821" s="3" t="s">
        <v>87</v>
      </c>
      <c r="B821" s="1"/>
      <c r="C821" s="20">
        <v>18500</v>
      </c>
      <c r="D821" s="1"/>
      <c r="E821" s="1"/>
      <c r="F821" s="20">
        <f t="shared" si="95"/>
        <v>0</v>
      </c>
      <c r="G821" s="20">
        <f t="shared" si="95"/>
        <v>0</v>
      </c>
      <c r="H821" s="20">
        <f t="shared" si="96"/>
        <v>0</v>
      </c>
      <c r="I821" s="20" t="b">
        <f t="shared" si="97"/>
        <v>1</v>
      </c>
      <c r="J821" s="20"/>
      <c r="K821" s="20"/>
    </row>
    <row r="822" spans="1:11" ht="15.5" x14ac:dyDescent="0.35">
      <c r="A822" s="3" t="s">
        <v>88</v>
      </c>
      <c r="B822" s="1"/>
      <c r="C822" s="20">
        <v>18500</v>
      </c>
      <c r="D822" s="1"/>
      <c r="E822" s="1"/>
      <c r="F822" s="20">
        <f t="shared" si="95"/>
        <v>0</v>
      </c>
      <c r="G822" s="20">
        <f t="shared" si="95"/>
        <v>0</v>
      </c>
      <c r="H822" s="20">
        <f t="shared" si="96"/>
        <v>0</v>
      </c>
      <c r="I822" s="20" t="b">
        <f t="shared" si="97"/>
        <v>1</v>
      </c>
      <c r="J822" s="20"/>
      <c r="K822" s="20"/>
    </row>
    <row r="823" spans="1:11" ht="15.5" x14ac:dyDescent="0.35">
      <c r="A823" s="19" t="s">
        <v>89</v>
      </c>
      <c r="B823" s="1"/>
      <c r="C823" s="20"/>
      <c r="D823" s="1"/>
      <c r="E823" s="1"/>
      <c r="F823" s="20"/>
      <c r="G823" s="20"/>
      <c r="H823" s="20">
        <f t="shared" si="96"/>
        <v>0</v>
      </c>
      <c r="I823" s="20" t="b">
        <f t="shared" si="97"/>
        <v>1</v>
      </c>
      <c r="J823" s="20"/>
      <c r="K823" s="20"/>
    </row>
    <row r="824" spans="1:11" ht="15.5" x14ac:dyDescent="0.35">
      <c r="A824" s="3" t="s">
        <v>92</v>
      </c>
      <c r="B824" s="1"/>
      <c r="C824" s="20">
        <v>21500</v>
      </c>
      <c r="D824" s="1"/>
      <c r="E824" s="1"/>
      <c r="F824" s="20">
        <f t="shared" ref="F824:G826" si="98">C824*B824</f>
        <v>0</v>
      </c>
      <c r="G824" s="20">
        <f t="shared" si="98"/>
        <v>0</v>
      </c>
      <c r="H824" s="20">
        <f t="shared" si="96"/>
        <v>0</v>
      </c>
      <c r="I824" s="20" t="b">
        <f t="shared" si="97"/>
        <v>1</v>
      </c>
      <c r="J824" s="20"/>
      <c r="K824" s="20"/>
    </row>
    <row r="825" spans="1:11" ht="15.5" x14ac:dyDescent="0.35">
      <c r="A825" s="3" t="s">
        <v>93</v>
      </c>
      <c r="B825" s="1"/>
      <c r="C825" s="20">
        <v>21500</v>
      </c>
      <c r="D825" s="1"/>
      <c r="E825" s="1"/>
      <c r="F825" s="20">
        <f t="shared" si="98"/>
        <v>0</v>
      </c>
      <c r="G825" s="20">
        <f t="shared" si="98"/>
        <v>0</v>
      </c>
      <c r="H825" s="20">
        <f t="shared" si="96"/>
        <v>0</v>
      </c>
      <c r="I825" s="20" t="b">
        <f t="shared" si="97"/>
        <v>1</v>
      </c>
      <c r="J825" s="20"/>
      <c r="K825" s="20"/>
    </row>
    <row r="826" spans="1:11" ht="15.5" x14ac:dyDescent="0.35">
      <c r="A826" s="3" t="s">
        <v>94</v>
      </c>
      <c r="B826" s="1"/>
      <c r="C826" s="20">
        <v>21500</v>
      </c>
      <c r="D826" s="1"/>
      <c r="E826" s="1"/>
      <c r="F826" s="20">
        <f t="shared" si="98"/>
        <v>0</v>
      </c>
      <c r="G826" s="20">
        <f t="shared" si="98"/>
        <v>0</v>
      </c>
      <c r="H826" s="20">
        <f t="shared" si="96"/>
        <v>0</v>
      </c>
      <c r="I826" s="20" t="b">
        <f t="shared" si="97"/>
        <v>1</v>
      </c>
      <c r="J826" s="20"/>
      <c r="K826" s="20"/>
    </row>
    <row r="827" spans="1:11" ht="15.5" x14ac:dyDescent="0.35">
      <c r="A827" s="19"/>
      <c r="B827" s="22">
        <f>SUM(B810:B826)</f>
        <v>0</v>
      </c>
      <c r="C827" s="20"/>
      <c r="D827" s="1"/>
      <c r="E827" s="1"/>
      <c r="F827" s="23">
        <f>SUM(F810:F826)</f>
        <v>0</v>
      </c>
      <c r="G827" s="23">
        <f>SUM(G810:G826)</f>
        <v>0</v>
      </c>
      <c r="H827" s="23">
        <f>SUM(H810:H826)</f>
        <v>0</v>
      </c>
      <c r="I827" s="23"/>
      <c r="J827" s="23">
        <f>SUM(J810:J826)</f>
        <v>1115000</v>
      </c>
      <c r="K827" s="23">
        <f>H827-J827</f>
        <v>-1115000</v>
      </c>
    </row>
    <row r="828" spans="1:11" ht="15.5" x14ac:dyDescent="0.35">
      <c r="A828" s="19" t="s">
        <v>95</v>
      </c>
      <c r="B828" s="1"/>
      <c r="C828" s="20"/>
      <c r="D828" s="1"/>
      <c r="E828" s="1"/>
      <c r="F828" s="20"/>
      <c r="G828" s="20"/>
      <c r="H828" s="20" t="s">
        <v>192</v>
      </c>
      <c r="I828" s="20"/>
      <c r="J828" s="20"/>
      <c r="K828" s="20"/>
    </row>
    <row r="829" spans="1:11" ht="15.5" x14ac:dyDescent="0.35">
      <c r="A829" s="3" t="s">
        <v>96</v>
      </c>
      <c r="B829" s="1"/>
      <c r="C829" s="20">
        <v>3000</v>
      </c>
      <c r="D829" s="1"/>
      <c r="E829" s="20"/>
      <c r="F829" s="20">
        <f t="shared" ref="F829:F832" si="99">C829*B829</f>
        <v>0</v>
      </c>
      <c r="G829" s="20"/>
      <c r="H829" s="20"/>
      <c r="I829" s="20"/>
      <c r="J829" s="20"/>
      <c r="K829" s="20"/>
    </row>
    <row r="830" spans="1:11" ht="15.5" x14ac:dyDescent="0.35">
      <c r="A830" s="3" t="s">
        <v>97</v>
      </c>
      <c r="B830" s="1"/>
      <c r="C830" s="20">
        <v>2500</v>
      </c>
      <c r="D830" s="1"/>
      <c r="E830" s="1"/>
      <c r="F830" s="20">
        <f t="shared" si="99"/>
        <v>0</v>
      </c>
      <c r="G830" s="20"/>
      <c r="H830" s="20"/>
      <c r="I830" s="20"/>
      <c r="J830" s="20"/>
      <c r="K830" s="20"/>
    </row>
    <row r="831" spans="1:11" ht="15.5" x14ac:dyDescent="0.35">
      <c r="A831" s="3" t="s">
        <v>98</v>
      </c>
      <c r="B831" s="1"/>
      <c r="C831" s="20">
        <v>1800</v>
      </c>
      <c r="D831" s="1"/>
      <c r="E831" s="1"/>
      <c r="F831" s="20">
        <f t="shared" si="99"/>
        <v>0</v>
      </c>
      <c r="G831" s="20"/>
      <c r="H831" s="20"/>
      <c r="I831" s="20"/>
      <c r="J831" s="20"/>
      <c r="K831" s="20"/>
    </row>
    <row r="832" spans="1:11" ht="15.5" x14ac:dyDescent="0.35">
      <c r="A832" s="3" t="s">
        <v>99</v>
      </c>
      <c r="B832" s="1"/>
      <c r="C832" s="20">
        <v>3500</v>
      </c>
      <c r="D832" s="1"/>
      <c r="E832" s="1"/>
      <c r="F832" s="20">
        <f t="shared" si="99"/>
        <v>0</v>
      </c>
      <c r="G832" s="20"/>
      <c r="H832" s="20"/>
      <c r="I832" s="20"/>
      <c r="J832" s="20"/>
      <c r="K832" s="20"/>
    </row>
    <row r="833" spans="1:11" ht="15.5" x14ac:dyDescent="0.35">
      <c r="A833" s="18"/>
      <c r="F833" s="21"/>
    </row>
    <row r="834" spans="1:11" ht="15.5" x14ac:dyDescent="0.35">
      <c r="A834" s="24" t="s">
        <v>108</v>
      </c>
      <c r="K834" s="21"/>
    </row>
    <row r="835" spans="1:11" ht="15.5" x14ac:dyDescent="0.35">
      <c r="A835" s="18" t="s">
        <v>114</v>
      </c>
      <c r="B835" s="67">
        <v>40000</v>
      </c>
    </row>
    <row r="836" spans="1:11" ht="15.5" x14ac:dyDescent="0.35">
      <c r="A836" s="18" t="s">
        <v>112</v>
      </c>
      <c r="B836" s="67">
        <v>40000</v>
      </c>
    </row>
    <row r="837" spans="1:11" ht="15.5" x14ac:dyDescent="0.35">
      <c r="A837" s="18" t="s">
        <v>430</v>
      </c>
      <c r="B837" s="67">
        <v>60000</v>
      </c>
    </row>
    <row r="838" spans="1:11" ht="15.5" x14ac:dyDescent="0.35">
      <c r="A838" s="18" t="s">
        <v>110</v>
      </c>
      <c r="B838" s="67">
        <v>40000</v>
      </c>
    </row>
    <row r="839" spans="1:11" ht="15.5" x14ac:dyDescent="0.35">
      <c r="A839" s="18" t="s">
        <v>111</v>
      </c>
      <c r="B839" s="67">
        <v>40000</v>
      </c>
    </row>
    <row r="840" spans="1:11" ht="15.5" x14ac:dyDescent="0.35">
      <c r="A840" s="18" t="s">
        <v>196</v>
      </c>
      <c r="B840" s="67">
        <v>40000</v>
      </c>
    </row>
    <row r="841" spans="1:11" ht="15.5" x14ac:dyDescent="0.35">
      <c r="A841" s="18" t="s">
        <v>113</v>
      </c>
      <c r="B841" s="67" t="s">
        <v>422</v>
      </c>
    </row>
    <row r="842" spans="1:11" ht="15.5" x14ac:dyDescent="0.35">
      <c r="A842" s="18" t="s">
        <v>209</v>
      </c>
      <c r="B842" s="67">
        <v>40000</v>
      </c>
    </row>
    <row r="843" spans="1:11" ht="15.5" x14ac:dyDescent="0.35">
      <c r="A843" s="18" t="s">
        <v>115</v>
      </c>
      <c r="B843" s="67">
        <v>60000</v>
      </c>
    </row>
    <row r="844" spans="1:11" ht="15.5" x14ac:dyDescent="0.35">
      <c r="A844" s="18" t="s">
        <v>109</v>
      </c>
      <c r="B844" s="67">
        <v>40000</v>
      </c>
    </row>
    <row r="845" spans="1:11" ht="15.5" x14ac:dyDescent="0.35">
      <c r="A845" s="24" t="s">
        <v>4</v>
      </c>
      <c r="B845" s="75">
        <f>SUM(B835:B844)</f>
        <v>400000</v>
      </c>
    </row>
    <row r="848" spans="1:11" ht="18.5" x14ac:dyDescent="0.45">
      <c r="A848" s="151" t="s">
        <v>1</v>
      </c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</row>
    <row r="849" spans="1:11" ht="18.5" x14ac:dyDescent="0.45">
      <c r="A849" s="150" t="s">
        <v>74</v>
      </c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</row>
    <row r="850" spans="1:11" ht="18.5" x14ac:dyDescent="0.45">
      <c r="A850" s="149">
        <v>46140</v>
      </c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</row>
    <row r="851" spans="1:11" ht="18.5" x14ac:dyDescent="0.45">
      <c r="A851" s="150"/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</row>
    <row r="852" spans="1:11" ht="18.5" x14ac:dyDescent="0.45">
      <c r="A852" s="2" t="s">
        <v>75</v>
      </c>
      <c r="B852" s="2" t="s">
        <v>3</v>
      </c>
      <c r="C852" s="2" t="s">
        <v>100</v>
      </c>
      <c r="D852" s="2" t="s">
        <v>90</v>
      </c>
      <c r="E852" s="2" t="s">
        <v>91</v>
      </c>
      <c r="F852" s="2" t="s">
        <v>4</v>
      </c>
      <c r="G852" s="2" t="s">
        <v>101</v>
      </c>
      <c r="H852" s="2" t="s">
        <v>104</v>
      </c>
      <c r="I852" s="2"/>
      <c r="J852" s="2" t="s">
        <v>105</v>
      </c>
      <c r="K852" s="2" t="s">
        <v>106</v>
      </c>
    </row>
    <row r="853" spans="1:11" ht="15.5" x14ac:dyDescent="0.35">
      <c r="A853" s="3" t="s">
        <v>76</v>
      </c>
      <c r="B853" s="1"/>
      <c r="C853" s="20">
        <v>17500</v>
      </c>
      <c r="D853" s="1"/>
      <c r="E853" s="1"/>
      <c r="F853" s="20">
        <f>C853*B853</f>
        <v>0</v>
      </c>
      <c r="G853" s="20">
        <f>D853*C853</f>
        <v>0</v>
      </c>
      <c r="H853" s="20">
        <f>E853*C853</f>
        <v>0</v>
      </c>
      <c r="I853" s="20" t="b">
        <f>D853+E853=B853</f>
        <v>1</v>
      </c>
      <c r="J853" s="20">
        <f>B888</f>
        <v>400000</v>
      </c>
      <c r="K853" s="20" t="s">
        <v>117</v>
      </c>
    </row>
    <row r="854" spans="1:11" ht="15.5" x14ac:dyDescent="0.35">
      <c r="A854" s="3" t="s">
        <v>77</v>
      </c>
      <c r="B854" s="1"/>
      <c r="C854" s="20">
        <v>16000</v>
      </c>
      <c r="D854" s="1"/>
      <c r="E854" s="1"/>
      <c r="F854" s="20">
        <f t="shared" ref="F854:G865" si="100">C854*B854</f>
        <v>0</v>
      </c>
      <c r="G854" s="20">
        <f t="shared" si="100"/>
        <v>0</v>
      </c>
      <c r="H854" s="20">
        <f t="shared" ref="H854:H869" si="101">E854*C854</f>
        <v>0</v>
      </c>
      <c r="I854" s="20" t="b">
        <f t="shared" ref="I854:I869" si="102">D854+E854=B854</f>
        <v>1</v>
      </c>
      <c r="J854" s="20">
        <v>280000</v>
      </c>
      <c r="K854" s="20" t="s">
        <v>107</v>
      </c>
    </row>
    <row r="855" spans="1:11" ht="15.5" x14ac:dyDescent="0.35">
      <c r="A855" s="3" t="s">
        <v>78</v>
      </c>
      <c r="B855" s="1"/>
      <c r="C855" s="20">
        <v>17500</v>
      </c>
      <c r="D855" s="1"/>
      <c r="E855" s="1"/>
      <c r="F855" s="20">
        <f t="shared" si="100"/>
        <v>0</v>
      </c>
      <c r="G855" s="20">
        <f t="shared" si="100"/>
        <v>0</v>
      </c>
      <c r="H855" s="20">
        <f t="shared" si="101"/>
        <v>0</v>
      </c>
      <c r="I855" s="20" t="b">
        <f t="shared" si="102"/>
        <v>1</v>
      </c>
      <c r="J855" s="20"/>
      <c r="K855" s="20"/>
    </row>
    <row r="856" spans="1:11" ht="15.5" x14ac:dyDescent="0.35">
      <c r="A856" s="3" t="s">
        <v>79</v>
      </c>
      <c r="B856" s="1"/>
      <c r="C856" s="20">
        <v>18500</v>
      </c>
      <c r="D856" s="1"/>
      <c r="E856" s="1"/>
      <c r="F856" s="20">
        <f t="shared" si="100"/>
        <v>0</v>
      </c>
      <c r="G856" s="20">
        <f t="shared" si="100"/>
        <v>0</v>
      </c>
      <c r="H856" s="20">
        <f t="shared" si="101"/>
        <v>0</v>
      </c>
      <c r="I856" s="20" t="b">
        <f t="shared" si="102"/>
        <v>1</v>
      </c>
      <c r="J856" s="20"/>
      <c r="K856" s="20"/>
    </row>
    <row r="857" spans="1:11" ht="15.5" x14ac:dyDescent="0.35">
      <c r="A857" s="3" t="s">
        <v>80</v>
      </c>
      <c r="B857" s="1"/>
      <c r="C857" s="20">
        <v>18500</v>
      </c>
      <c r="D857" s="1"/>
      <c r="E857" s="1"/>
      <c r="F857" s="20">
        <f t="shared" si="100"/>
        <v>0</v>
      </c>
      <c r="G857" s="20">
        <f t="shared" si="100"/>
        <v>0</v>
      </c>
      <c r="H857" s="20">
        <f t="shared" si="101"/>
        <v>0</v>
      </c>
      <c r="I857" s="20" t="b">
        <f t="shared" si="102"/>
        <v>1</v>
      </c>
      <c r="J857" s="20"/>
      <c r="K857" s="20"/>
    </row>
    <row r="858" spans="1:11" ht="15.5" x14ac:dyDescent="0.35">
      <c r="A858" s="3" t="s">
        <v>81</v>
      </c>
      <c r="B858" s="1"/>
      <c r="C858" s="20">
        <v>23000</v>
      </c>
      <c r="D858" s="1"/>
      <c r="E858" s="1"/>
      <c r="F858" s="20">
        <f t="shared" si="100"/>
        <v>0</v>
      </c>
      <c r="G858" s="20">
        <f t="shared" si="100"/>
        <v>0</v>
      </c>
      <c r="H858" s="20">
        <f t="shared" si="101"/>
        <v>0</v>
      </c>
      <c r="I858" s="20" t="b">
        <f t="shared" si="102"/>
        <v>1</v>
      </c>
      <c r="J858" s="20"/>
      <c r="K858" s="20"/>
    </row>
    <row r="859" spans="1:11" ht="15.5" x14ac:dyDescent="0.35">
      <c r="A859" s="3" t="s">
        <v>82</v>
      </c>
      <c r="B859" s="1"/>
      <c r="C859" s="20">
        <v>18000</v>
      </c>
      <c r="D859" s="1"/>
      <c r="E859" s="1"/>
      <c r="F859" s="20">
        <f t="shared" si="100"/>
        <v>0</v>
      </c>
      <c r="G859" s="20">
        <f t="shared" si="100"/>
        <v>0</v>
      </c>
      <c r="H859" s="20">
        <f t="shared" si="101"/>
        <v>0</v>
      </c>
      <c r="I859" s="20" t="b">
        <f t="shared" si="102"/>
        <v>1</v>
      </c>
      <c r="J859" s="20"/>
      <c r="K859" s="20"/>
    </row>
    <row r="860" spans="1:11" ht="15.5" x14ac:dyDescent="0.35">
      <c r="A860" s="3" t="s">
        <v>83</v>
      </c>
      <c r="B860" s="1"/>
      <c r="C860" s="20">
        <v>18000</v>
      </c>
      <c r="D860" s="1"/>
      <c r="E860" s="1"/>
      <c r="F860" s="20">
        <f t="shared" si="100"/>
        <v>0</v>
      </c>
      <c r="G860" s="20">
        <f t="shared" si="100"/>
        <v>0</v>
      </c>
      <c r="H860" s="20">
        <f t="shared" si="101"/>
        <v>0</v>
      </c>
      <c r="I860" s="20" t="b">
        <f t="shared" si="102"/>
        <v>1</v>
      </c>
      <c r="J860" s="20"/>
      <c r="K860" s="20"/>
    </row>
    <row r="861" spans="1:11" ht="15.5" x14ac:dyDescent="0.35">
      <c r="A861" s="3" t="s">
        <v>84</v>
      </c>
      <c r="B861" s="1"/>
      <c r="C861" s="20">
        <v>18500</v>
      </c>
      <c r="D861" s="1"/>
      <c r="E861" s="1"/>
      <c r="F861" s="20">
        <f t="shared" si="100"/>
        <v>0</v>
      </c>
      <c r="G861" s="20">
        <f t="shared" si="100"/>
        <v>0</v>
      </c>
      <c r="H861" s="20">
        <f t="shared" si="101"/>
        <v>0</v>
      </c>
      <c r="I861" s="20" t="b">
        <f t="shared" si="102"/>
        <v>1</v>
      </c>
      <c r="J861" s="20"/>
      <c r="K861" s="20"/>
    </row>
    <row r="862" spans="1:11" ht="15.5" x14ac:dyDescent="0.35">
      <c r="A862" s="3" t="s">
        <v>85</v>
      </c>
      <c r="B862" s="1"/>
      <c r="C862" s="20">
        <v>18500</v>
      </c>
      <c r="D862" s="1"/>
      <c r="E862" s="1"/>
      <c r="F862" s="20">
        <f t="shared" si="100"/>
        <v>0</v>
      </c>
      <c r="G862" s="20">
        <f t="shared" si="100"/>
        <v>0</v>
      </c>
      <c r="H862" s="20">
        <f t="shared" si="101"/>
        <v>0</v>
      </c>
      <c r="I862" s="20" t="b">
        <f t="shared" si="102"/>
        <v>1</v>
      </c>
      <c r="J862" s="20"/>
      <c r="K862" s="20"/>
    </row>
    <row r="863" spans="1:11" ht="15.5" x14ac:dyDescent="0.35">
      <c r="A863" s="3" t="s">
        <v>86</v>
      </c>
      <c r="B863" s="1"/>
      <c r="C863" s="20">
        <v>18500</v>
      </c>
      <c r="D863" s="1"/>
      <c r="E863" s="1"/>
      <c r="F863" s="20">
        <f t="shared" si="100"/>
        <v>0</v>
      </c>
      <c r="G863" s="20">
        <f t="shared" si="100"/>
        <v>0</v>
      </c>
      <c r="H863" s="20">
        <f t="shared" si="101"/>
        <v>0</v>
      </c>
      <c r="I863" s="20" t="b">
        <f t="shared" si="102"/>
        <v>1</v>
      </c>
      <c r="J863" s="20"/>
      <c r="K863" s="20"/>
    </row>
    <row r="864" spans="1:11" ht="15.5" x14ac:dyDescent="0.35">
      <c r="A864" s="3" t="s">
        <v>87</v>
      </c>
      <c r="B864" s="1"/>
      <c r="C864" s="20">
        <v>18500</v>
      </c>
      <c r="D864" s="1"/>
      <c r="E864" s="1"/>
      <c r="F864" s="20">
        <f t="shared" si="100"/>
        <v>0</v>
      </c>
      <c r="G864" s="20">
        <f t="shared" si="100"/>
        <v>0</v>
      </c>
      <c r="H864" s="20">
        <f t="shared" si="101"/>
        <v>0</v>
      </c>
      <c r="I864" s="20" t="b">
        <f t="shared" si="102"/>
        <v>1</v>
      </c>
      <c r="J864" s="20"/>
      <c r="K864" s="20"/>
    </row>
    <row r="865" spans="1:11" ht="15.5" x14ac:dyDescent="0.35">
      <c r="A865" s="3" t="s">
        <v>88</v>
      </c>
      <c r="B865" s="1"/>
      <c r="C865" s="20">
        <v>18500</v>
      </c>
      <c r="D865" s="1"/>
      <c r="E865" s="1"/>
      <c r="F865" s="20">
        <f t="shared" si="100"/>
        <v>0</v>
      </c>
      <c r="G865" s="20">
        <f t="shared" si="100"/>
        <v>0</v>
      </c>
      <c r="H865" s="20">
        <f t="shared" si="101"/>
        <v>0</v>
      </c>
      <c r="I865" s="20" t="b">
        <f t="shared" si="102"/>
        <v>1</v>
      </c>
      <c r="J865" s="20"/>
      <c r="K865" s="20"/>
    </row>
    <row r="866" spans="1:11" ht="15.5" x14ac:dyDescent="0.35">
      <c r="A866" s="19" t="s">
        <v>89</v>
      </c>
      <c r="B866" s="1"/>
      <c r="C866" s="20"/>
      <c r="D866" s="1"/>
      <c r="E866" s="1"/>
      <c r="F866" s="20"/>
      <c r="G866" s="20"/>
      <c r="H866" s="20">
        <f t="shared" si="101"/>
        <v>0</v>
      </c>
      <c r="I866" s="20" t="b">
        <f t="shared" si="102"/>
        <v>1</v>
      </c>
      <c r="J866" s="20"/>
      <c r="K866" s="20"/>
    </row>
    <row r="867" spans="1:11" ht="15.5" x14ac:dyDescent="0.35">
      <c r="A867" s="3" t="s">
        <v>92</v>
      </c>
      <c r="B867" s="1"/>
      <c r="C867" s="20">
        <v>21500</v>
      </c>
      <c r="D867" s="1"/>
      <c r="E867" s="1"/>
      <c r="F867" s="20">
        <f t="shared" ref="F867:G869" si="103">C867*B867</f>
        <v>0</v>
      </c>
      <c r="G867" s="20">
        <f t="shared" si="103"/>
        <v>0</v>
      </c>
      <c r="H867" s="20">
        <f t="shared" si="101"/>
        <v>0</v>
      </c>
      <c r="I867" s="20" t="b">
        <f t="shared" si="102"/>
        <v>1</v>
      </c>
      <c r="J867" s="20"/>
      <c r="K867" s="20"/>
    </row>
    <row r="868" spans="1:11" ht="15.5" x14ac:dyDescent="0.35">
      <c r="A868" s="3" t="s">
        <v>93</v>
      </c>
      <c r="B868" s="1"/>
      <c r="C868" s="20">
        <v>21500</v>
      </c>
      <c r="D868" s="1"/>
      <c r="E868" s="1"/>
      <c r="F868" s="20">
        <f t="shared" si="103"/>
        <v>0</v>
      </c>
      <c r="G868" s="20">
        <f t="shared" si="103"/>
        <v>0</v>
      </c>
      <c r="H868" s="20">
        <f t="shared" si="101"/>
        <v>0</v>
      </c>
      <c r="I868" s="20" t="b">
        <f t="shared" si="102"/>
        <v>1</v>
      </c>
      <c r="J868" s="20"/>
      <c r="K868" s="20"/>
    </row>
    <row r="869" spans="1:11" ht="15.5" x14ac:dyDescent="0.35">
      <c r="A869" s="3" t="s">
        <v>94</v>
      </c>
      <c r="B869" s="1"/>
      <c r="C869" s="20">
        <v>21500</v>
      </c>
      <c r="D869" s="1"/>
      <c r="E869" s="1"/>
      <c r="F869" s="20">
        <f t="shared" si="103"/>
        <v>0</v>
      </c>
      <c r="G869" s="20">
        <f t="shared" si="103"/>
        <v>0</v>
      </c>
      <c r="H869" s="20">
        <f t="shared" si="101"/>
        <v>0</v>
      </c>
      <c r="I869" s="20" t="b">
        <f t="shared" si="102"/>
        <v>1</v>
      </c>
      <c r="J869" s="20"/>
      <c r="K869" s="20"/>
    </row>
    <row r="870" spans="1:11" ht="15.5" x14ac:dyDescent="0.35">
      <c r="A870" s="19"/>
      <c r="B870" s="22">
        <f>SUM(B853:B869)</f>
        <v>0</v>
      </c>
      <c r="C870" s="20"/>
      <c r="D870" s="1"/>
      <c r="E870" s="1"/>
      <c r="F870" s="23">
        <f>SUM(F853:F869)</f>
        <v>0</v>
      </c>
      <c r="G870" s="23">
        <f>SUM(G853:G869)</f>
        <v>0</v>
      </c>
      <c r="H870" s="23">
        <f>SUM(H853:H869)</f>
        <v>0</v>
      </c>
      <c r="I870" s="23"/>
      <c r="J870" s="23">
        <f>SUM(J853:J869)</f>
        <v>680000</v>
      </c>
      <c r="K870" s="23">
        <f>H870-J870</f>
        <v>-680000</v>
      </c>
    </row>
    <row r="871" spans="1:11" ht="15.5" x14ac:dyDescent="0.35">
      <c r="A871" s="19" t="s">
        <v>95</v>
      </c>
      <c r="B871" s="1"/>
      <c r="C871" s="20"/>
      <c r="D871" s="1"/>
      <c r="E871" s="1"/>
      <c r="F871" s="20"/>
      <c r="G871" s="20"/>
      <c r="H871" s="20" t="s">
        <v>192</v>
      </c>
      <c r="I871" s="20"/>
      <c r="J871" s="20"/>
      <c r="K871" s="20"/>
    </row>
    <row r="872" spans="1:11" ht="15.5" x14ac:dyDescent="0.35">
      <c r="A872" s="3" t="s">
        <v>96</v>
      </c>
      <c r="B872" s="1"/>
      <c r="C872" s="20">
        <v>3000</v>
      </c>
      <c r="D872" s="1"/>
      <c r="E872" s="20"/>
      <c r="F872" s="20">
        <f t="shared" ref="F872:F875" si="104">C872*B872</f>
        <v>0</v>
      </c>
      <c r="G872" s="20"/>
      <c r="H872" s="20"/>
      <c r="I872" s="20"/>
      <c r="J872" s="20"/>
      <c r="K872" s="20"/>
    </row>
    <row r="873" spans="1:11" ht="15.5" x14ac:dyDescent="0.35">
      <c r="A873" s="3" t="s">
        <v>97</v>
      </c>
      <c r="B873" s="1"/>
      <c r="C873" s="20">
        <v>2500</v>
      </c>
      <c r="D873" s="1"/>
      <c r="E873" s="1"/>
      <c r="F873" s="20">
        <f t="shared" si="104"/>
        <v>0</v>
      </c>
      <c r="G873" s="20"/>
      <c r="H873" s="20"/>
      <c r="I873" s="20"/>
      <c r="J873" s="20"/>
      <c r="K873" s="20"/>
    </row>
    <row r="874" spans="1:11" ht="15.5" x14ac:dyDescent="0.35">
      <c r="A874" s="3" t="s">
        <v>98</v>
      </c>
      <c r="B874" s="1"/>
      <c r="C874" s="20">
        <v>1800</v>
      </c>
      <c r="D874" s="1"/>
      <c r="E874" s="1"/>
      <c r="F874" s="20">
        <f t="shared" si="104"/>
        <v>0</v>
      </c>
      <c r="G874" s="20"/>
      <c r="H874" s="20"/>
      <c r="I874" s="20"/>
      <c r="J874" s="20"/>
      <c r="K874" s="20"/>
    </row>
    <row r="875" spans="1:11" ht="15.5" x14ac:dyDescent="0.35">
      <c r="A875" s="3" t="s">
        <v>99</v>
      </c>
      <c r="B875" s="1"/>
      <c r="C875" s="20">
        <v>3500</v>
      </c>
      <c r="D875" s="1"/>
      <c r="E875" s="1"/>
      <c r="F875" s="20">
        <f t="shared" si="104"/>
        <v>0</v>
      </c>
      <c r="G875" s="20"/>
      <c r="H875" s="20"/>
      <c r="I875" s="20"/>
      <c r="J875" s="20"/>
      <c r="K875" s="20"/>
    </row>
    <row r="876" spans="1:11" ht="15.5" x14ac:dyDescent="0.35">
      <c r="A876" s="18"/>
      <c r="F876" s="21"/>
    </row>
    <row r="877" spans="1:11" ht="15.5" x14ac:dyDescent="0.35">
      <c r="A877" s="24" t="s">
        <v>108</v>
      </c>
      <c r="K877" s="21"/>
    </row>
    <row r="878" spans="1:11" ht="15.5" x14ac:dyDescent="0.35">
      <c r="A878" s="18" t="s">
        <v>114</v>
      </c>
      <c r="B878" s="67">
        <v>40000</v>
      </c>
    </row>
    <row r="879" spans="1:11" ht="15.5" x14ac:dyDescent="0.35">
      <c r="A879" s="18" t="s">
        <v>112</v>
      </c>
      <c r="B879" s="67">
        <v>40000</v>
      </c>
    </row>
    <row r="880" spans="1:11" ht="15.5" x14ac:dyDescent="0.35">
      <c r="A880" s="18" t="s">
        <v>309</v>
      </c>
      <c r="B880" s="67">
        <v>60000</v>
      </c>
    </row>
    <row r="881" spans="1:11" ht="15.5" x14ac:dyDescent="0.35">
      <c r="A881" s="18" t="s">
        <v>110</v>
      </c>
      <c r="B881" s="67">
        <v>40000</v>
      </c>
    </row>
    <row r="882" spans="1:11" ht="15.5" x14ac:dyDescent="0.35">
      <c r="A882" s="18" t="s">
        <v>111</v>
      </c>
      <c r="B882" s="67">
        <v>40000</v>
      </c>
    </row>
    <row r="883" spans="1:11" ht="15.5" x14ac:dyDescent="0.35">
      <c r="A883" s="18" t="s">
        <v>196</v>
      </c>
      <c r="B883" s="67">
        <v>40000</v>
      </c>
    </row>
    <row r="884" spans="1:11" ht="15.5" x14ac:dyDescent="0.35">
      <c r="A884" s="18" t="s">
        <v>113</v>
      </c>
      <c r="B884" s="67" t="s">
        <v>422</v>
      </c>
    </row>
    <row r="885" spans="1:11" ht="15.5" x14ac:dyDescent="0.35">
      <c r="A885" s="18" t="s">
        <v>209</v>
      </c>
      <c r="B885" s="67">
        <v>40000</v>
      </c>
    </row>
    <row r="886" spans="1:11" ht="15.5" x14ac:dyDescent="0.35">
      <c r="A886" s="18" t="s">
        <v>115</v>
      </c>
      <c r="B886" s="67">
        <v>60000</v>
      </c>
    </row>
    <row r="887" spans="1:11" ht="15.5" x14ac:dyDescent="0.35">
      <c r="A887" s="18" t="s">
        <v>109</v>
      </c>
      <c r="B887" s="67">
        <v>40000</v>
      </c>
    </row>
    <row r="888" spans="1:11" ht="15.5" x14ac:dyDescent="0.35">
      <c r="A888" s="24" t="s">
        <v>4</v>
      </c>
      <c r="B888" s="75">
        <f>SUM(B878:B887)</f>
        <v>400000</v>
      </c>
    </row>
    <row r="889" spans="1:11" ht="15.5" x14ac:dyDescent="0.35">
      <c r="A889" s="24"/>
      <c r="B889" s="75"/>
    </row>
    <row r="890" spans="1:11" ht="15.5" x14ac:dyDescent="0.35">
      <c r="A890" s="24"/>
      <c r="B890" s="75"/>
    </row>
    <row r="891" spans="1:11" ht="18.5" x14ac:dyDescent="0.45">
      <c r="A891" s="151" t="s">
        <v>1</v>
      </c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</row>
    <row r="892" spans="1:11" ht="18.5" x14ac:dyDescent="0.45">
      <c r="A892" s="150" t="s">
        <v>74</v>
      </c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</row>
    <row r="893" spans="1:11" ht="18.5" x14ac:dyDescent="0.45">
      <c r="A893" s="149">
        <v>46141</v>
      </c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</row>
    <row r="894" spans="1:11" ht="18.5" x14ac:dyDescent="0.45">
      <c r="A894" s="150"/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</row>
    <row r="895" spans="1:11" ht="18.5" x14ac:dyDescent="0.45">
      <c r="A895" s="2" t="s">
        <v>75</v>
      </c>
      <c r="B895" s="2" t="s">
        <v>3</v>
      </c>
      <c r="C895" s="2" t="s">
        <v>100</v>
      </c>
      <c r="D895" s="2" t="s">
        <v>90</v>
      </c>
      <c r="E895" s="2" t="s">
        <v>91</v>
      </c>
      <c r="F895" s="2" t="s">
        <v>4</v>
      </c>
      <c r="G895" s="2" t="s">
        <v>101</v>
      </c>
      <c r="H895" s="2" t="s">
        <v>104</v>
      </c>
      <c r="I895" s="2"/>
      <c r="J895" s="2" t="s">
        <v>105</v>
      </c>
      <c r="K895" s="2" t="s">
        <v>106</v>
      </c>
    </row>
    <row r="896" spans="1:11" ht="15.5" x14ac:dyDescent="0.35">
      <c r="A896" s="3" t="s">
        <v>76</v>
      </c>
      <c r="B896" s="1"/>
      <c r="C896" s="20">
        <v>17500</v>
      </c>
      <c r="D896" s="1"/>
      <c r="E896" s="1"/>
      <c r="F896" s="20">
        <f>C896*B896</f>
        <v>0</v>
      </c>
      <c r="G896" s="20">
        <f>D896*C896</f>
        <v>0</v>
      </c>
      <c r="H896" s="20">
        <f>E896*C896</f>
        <v>0</v>
      </c>
      <c r="I896" s="20" t="b">
        <f>D896+E896=B896</f>
        <v>1</v>
      </c>
      <c r="J896" s="20">
        <f>B931</f>
        <v>400000</v>
      </c>
      <c r="K896" s="20" t="s">
        <v>117</v>
      </c>
    </row>
    <row r="897" spans="1:11" ht="15.5" x14ac:dyDescent="0.35">
      <c r="A897" s="3" t="s">
        <v>77</v>
      </c>
      <c r="B897" s="1"/>
      <c r="C897" s="20">
        <v>16000</v>
      </c>
      <c r="D897" s="1"/>
      <c r="E897" s="1"/>
      <c r="F897" s="20">
        <f t="shared" ref="F897:G908" si="105">C897*B897</f>
        <v>0</v>
      </c>
      <c r="G897" s="20">
        <f t="shared" si="105"/>
        <v>0</v>
      </c>
      <c r="H897" s="20">
        <f t="shared" ref="H897:H912" si="106">E897*C897</f>
        <v>0</v>
      </c>
      <c r="I897" s="20" t="b">
        <f t="shared" ref="I897:I912" si="107">D897+E897=B897</f>
        <v>1</v>
      </c>
      <c r="J897" s="20">
        <v>38000</v>
      </c>
      <c r="K897" s="20" t="s">
        <v>432</v>
      </c>
    </row>
    <row r="898" spans="1:11" ht="15.5" x14ac:dyDescent="0.35">
      <c r="A898" s="3" t="s">
        <v>78</v>
      </c>
      <c r="B898" s="1"/>
      <c r="C898" s="20">
        <v>17500</v>
      </c>
      <c r="D898" s="1"/>
      <c r="E898" s="1"/>
      <c r="F898" s="20">
        <f t="shared" si="105"/>
        <v>0</v>
      </c>
      <c r="G898" s="20">
        <f t="shared" si="105"/>
        <v>0</v>
      </c>
      <c r="H898" s="20">
        <f t="shared" si="106"/>
        <v>0</v>
      </c>
      <c r="I898" s="20" t="b">
        <f t="shared" si="107"/>
        <v>1</v>
      </c>
      <c r="J898" s="20"/>
      <c r="K898" s="20"/>
    </row>
    <row r="899" spans="1:11" ht="15.5" x14ac:dyDescent="0.35">
      <c r="A899" s="3" t="s">
        <v>79</v>
      </c>
      <c r="B899" s="1"/>
      <c r="C899" s="20">
        <v>18500</v>
      </c>
      <c r="D899" s="1"/>
      <c r="E899" s="1"/>
      <c r="F899" s="20">
        <f t="shared" si="105"/>
        <v>0</v>
      </c>
      <c r="G899" s="20">
        <f t="shared" si="105"/>
        <v>0</v>
      </c>
      <c r="H899" s="20">
        <f t="shared" si="106"/>
        <v>0</v>
      </c>
      <c r="I899" s="20" t="b">
        <f t="shared" si="107"/>
        <v>1</v>
      </c>
      <c r="J899" s="20"/>
      <c r="K899" s="20"/>
    </row>
    <row r="900" spans="1:11" ht="15.5" x14ac:dyDescent="0.35">
      <c r="A900" s="3" t="s">
        <v>80</v>
      </c>
      <c r="B900" s="1"/>
      <c r="C900" s="20">
        <v>18500</v>
      </c>
      <c r="D900" s="1"/>
      <c r="E900" s="1"/>
      <c r="F900" s="20">
        <f t="shared" si="105"/>
        <v>0</v>
      </c>
      <c r="G900" s="20">
        <f t="shared" si="105"/>
        <v>0</v>
      </c>
      <c r="H900" s="20">
        <f t="shared" si="106"/>
        <v>0</v>
      </c>
      <c r="I900" s="20" t="b">
        <f t="shared" si="107"/>
        <v>1</v>
      </c>
      <c r="J900" s="20"/>
      <c r="K900" s="20"/>
    </row>
    <row r="901" spans="1:11" ht="15.5" x14ac:dyDescent="0.35">
      <c r="A901" s="3" t="s">
        <v>81</v>
      </c>
      <c r="B901" s="1"/>
      <c r="C901" s="20">
        <v>23000</v>
      </c>
      <c r="D901" s="1"/>
      <c r="E901" s="1"/>
      <c r="F901" s="20">
        <f t="shared" si="105"/>
        <v>0</v>
      </c>
      <c r="G901" s="20">
        <f t="shared" si="105"/>
        <v>0</v>
      </c>
      <c r="H901" s="20">
        <f t="shared" si="106"/>
        <v>0</v>
      </c>
      <c r="I901" s="20" t="b">
        <f t="shared" si="107"/>
        <v>1</v>
      </c>
      <c r="J901" s="20"/>
      <c r="K901" s="20"/>
    </row>
    <row r="902" spans="1:11" ht="15.5" x14ac:dyDescent="0.35">
      <c r="A902" s="3" t="s">
        <v>82</v>
      </c>
      <c r="B902" s="1"/>
      <c r="C902" s="20">
        <v>18000</v>
      </c>
      <c r="D902" s="1"/>
      <c r="E902" s="1"/>
      <c r="F902" s="20">
        <f t="shared" si="105"/>
        <v>0</v>
      </c>
      <c r="G902" s="20">
        <f t="shared" si="105"/>
        <v>0</v>
      </c>
      <c r="H902" s="20">
        <f t="shared" si="106"/>
        <v>0</v>
      </c>
      <c r="I902" s="20" t="b">
        <f t="shared" si="107"/>
        <v>1</v>
      </c>
      <c r="J902" s="20"/>
      <c r="K902" s="20"/>
    </row>
    <row r="903" spans="1:11" ht="15.5" x14ac:dyDescent="0.35">
      <c r="A903" s="3" t="s">
        <v>83</v>
      </c>
      <c r="B903" s="1"/>
      <c r="C903" s="20">
        <v>18000</v>
      </c>
      <c r="D903" s="1"/>
      <c r="E903" s="1"/>
      <c r="F903" s="20">
        <f t="shared" si="105"/>
        <v>0</v>
      </c>
      <c r="G903" s="20">
        <f t="shared" si="105"/>
        <v>0</v>
      </c>
      <c r="H903" s="20">
        <f t="shared" si="106"/>
        <v>0</v>
      </c>
      <c r="I903" s="20" t="b">
        <f t="shared" si="107"/>
        <v>1</v>
      </c>
      <c r="J903" s="20"/>
      <c r="K903" s="20"/>
    </row>
    <row r="904" spans="1:11" ht="15.5" x14ac:dyDescent="0.35">
      <c r="A904" s="3" t="s">
        <v>84</v>
      </c>
      <c r="B904" s="1"/>
      <c r="C904" s="20">
        <v>18500</v>
      </c>
      <c r="D904" s="1"/>
      <c r="E904" s="1"/>
      <c r="F904" s="20">
        <f t="shared" si="105"/>
        <v>0</v>
      </c>
      <c r="G904" s="20">
        <f t="shared" si="105"/>
        <v>0</v>
      </c>
      <c r="H904" s="20">
        <f t="shared" si="106"/>
        <v>0</v>
      </c>
      <c r="I904" s="20" t="b">
        <f t="shared" si="107"/>
        <v>1</v>
      </c>
      <c r="J904" s="20"/>
      <c r="K904" s="20"/>
    </row>
    <row r="905" spans="1:11" ht="15.5" x14ac:dyDescent="0.35">
      <c r="A905" s="3" t="s">
        <v>85</v>
      </c>
      <c r="B905" s="1"/>
      <c r="C905" s="20">
        <v>18500</v>
      </c>
      <c r="D905" s="1"/>
      <c r="E905" s="1"/>
      <c r="F905" s="20">
        <f t="shared" si="105"/>
        <v>0</v>
      </c>
      <c r="G905" s="20">
        <f t="shared" si="105"/>
        <v>0</v>
      </c>
      <c r="H905" s="20">
        <f t="shared" si="106"/>
        <v>0</v>
      </c>
      <c r="I905" s="20" t="b">
        <f t="shared" si="107"/>
        <v>1</v>
      </c>
      <c r="J905" s="20"/>
      <c r="K905" s="20"/>
    </row>
    <row r="906" spans="1:11" ht="15.5" x14ac:dyDescent="0.35">
      <c r="A906" s="3" t="s">
        <v>86</v>
      </c>
      <c r="B906" s="1"/>
      <c r="C906" s="20">
        <v>18500</v>
      </c>
      <c r="D906" s="1"/>
      <c r="E906" s="1"/>
      <c r="F906" s="20">
        <f t="shared" si="105"/>
        <v>0</v>
      </c>
      <c r="G906" s="20">
        <f t="shared" si="105"/>
        <v>0</v>
      </c>
      <c r="H906" s="20">
        <f t="shared" si="106"/>
        <v>0</v>
      </c>
      <c r="I906" s="20" t="b">
        <f t="shared" si="107"/>
        <v>1</v>
      </c>
      <c r="J906" s="20"/>
      <c r="K906" s="20"/>
    </row>
    <row r="907" spans="1:11" ht="15.5" x14ac:dyDescent="0.35">
      <c r="A907" s="3" t="s">
        <v>87</v>
      </c>
      <c r="B907" s="1"/>
      <c r="C907" s="20">
        <v>18500</v>
      </c>
      <c r="D907" s="1"/>
      <c r="E907" s="1"/>
      <c r="F907" s="20">
        <f t="shared" si="105"/>
        <v>0</v>
      </c>
      <c r="G907" s="20">
        <f t="shared" si="105"/>
        <v>0</v>
      </c>
      <c r="H907" s="20">
        <f t="shared" si="106"/>
        <v>0</v>
      </c>
      <c r="I907" s="20" t="b">
        <f t="shared" si="107"/>
        <v>1</v>
      </c>
      <c r="J907" s="20"/>
      <c r="K907" s="20"/>
    </row>
    <row r="908" spans="1:11" ht="15.5" x14ac:dyDescent="0.35">
      <c r="A908" s="3" t="s">
        <v>88</v>
      </c>
      <c r="B908" s="1"/>
      <c r="C908" s="20">
        <v>18500</v>
      </c>
      <c r="D908" s="1"/>
      <c r="E908" s="1"/>
      <c r="F908" s="20">
        <f t="shared" si="105"/>
        <v>0</v>
      </c>
      <c r="G908" s="20">
        <f t="shared" si="105"/>
        <v>0</v>
      </c>
      <c r="H908" s="20">
        <f t="shared" si="106"/>
        <v>0</v>
      </c>
      <c r="I908" s="20" t="b">
        <f t="shared" si="107"/>
        <v>1</v>
      </c>
      <c r="J908" s="20"/>
      <c r="K908" s="20"/>
    </row>
    <row r="909" spans="1:11" ht="15.5" x14ac:dyDescent="0.35">
      <c r="A909" s="19" t="s">
        <v>89</v>
      </c>
      <c r="B909" s="1"/>
      <c r="C909" s="20"/>
      <c r="D909" s="1"/>
      <c r="E909" s="1"/>
      <c r="F909" s="20"/>
      <c r="G909" s="20"/>
      <c r="H909" s="20">
        <f t="shared" si="106"/>
        <v>0</v>
      </c>
      <c r="I909" s="20" t="b">
        <f t="shared" si="107"/>
        <v>1</v>
      </c>
      <c r="J909" s="20"/>
      <c r="K909" s="20"/>
    </row>
    <row r="910" spans="1:11" ht="15.5" x14ac:dyDescent="0.35">
      <c r="A910" s="3" t="s">
        <v>92</v>
      </c>
      <c r="B910" s="1"/>
      <c r="C910" s="20">
        <v>21500</v>
      </c>
      <c r="D910" s="1"/>
      <c r="E910" s="1"/>
      <c r="F910" s="20">
        <f t="shared" ref="F910:G912" si="108">C910*B910</f>
        <v>0</v>
      </c>
      <c r="G910" s="20">
        <f t="shared" si="108"/>
        <v>0</v>
      </c>
      <c r="H910" s="20">
        <f t="shared" si="106"/>
        <v>0</v>
      </c>
      <c r="I910" s="20" t="b">
        <f t="shared" si="107"/>
        <v>1</v>
      </c>
      <c r="J910" s="20"/>
      <c r="K910" s="20"/>
    </row>
    <row r="911" spans="1:11" ht="15.5" x14ac:dyDescent="0.35">
      <c r="A911" s="3" t="s">
        <v>93</v>
      </c>
      <c r="B911" s="1"/>
      <c r="C911" s="20">
        <v>21500</v>
      </c>
      <c r="D911" s="1"/>
      <c r="E911" s="1"/>
      <c r="F911" s="20">
        <f t="shared" si="108"/>
        <v>0</v>
      </c>
      <c r="G911" s="20">
        <f t="shared" si="108"/>
        <v>0</v>
      </c>
      <c r="H911" s="20">
        <f t="shared" si="106"/>
        <v>0</v>
      </c>
      <c r="I911" s="20" t="b">
        <f t="shared" si="107"/>
        <v>1</v>
      </c>
      <c r="J911" s="20"/>
      <c r="K911" s="20"/>
    </row>
    <row r="912" spans="1:11" ht="15.5" x14ac:dyDescent="0.35">
      <c r="A912" s="3" t="s">
        <v>94</v>
      </c>
      <c r="B912" s="1"/>
      <c r="C912" s="20">
        <v>21500</v>
      </c>
      <c r="D912" s="1"/>
      <c r="E912" s="1"/>
      <c r="F912" s="20">
        <f t="shared" si="108"/>
        <v>0</v>
      </c>
      <c r="G912" s="20">
        <f t="shared" si="108"/>
        <v>0</v>
      </c>
      <c r="H912" s="20">
        <f t="shared" si="106"/>
        <v>0</v>
      </c>
      <c r="I912" s="20" t="b">
        <f t="shared" si="107"/>
        <v>1</v>
      </c>
      <c r="J912" s="20"/>
      <c r="K912" s="20"/>
    </row>
    <row r="913" spans="1:11" ht="15.5" x14ac:dyDescent="0.35">
      <c r="A913" s="19"/>
      <c r="B913" s="22">
        <f>SUM(B896:B912)</f>
        <v>0</v>
      </c>
      <c r="C913" s="20"/>
      <c r="D913" s="1"/>
      <c r="E913" s="1"/>
      <c r="F913" s="23">
        <f>SUM(F896:F912)</f>
        <v>0</v>
      </c>
      <c r="G913" s="23">
        <f>SUM(G896:G912)</f>
        <v>0</v>
      </c>
      <c r="H913" s="23">
        <f>SUM(H896:H912)</f>
        <v>0</v>
      </c>
      <c r="I913" s="23"/>
      <c r="J913" s="23">
        <f>SUM(J896:J912)</f>
        <v>438000</v>
      </c>
      <c r="K913" s="23">
        <f>H913-J913</f>
        <v>-438000</v>
      </c>
    </row>
    <row r="914" spans="1:11" ht="15.5" x14ac:dyDescent="0.35">
      <c r="A914" s="19" t="s">
        <v>95</v>
      </c>
      <c r="B914" s="1"/>
      <c r="C914" s="20"/>
      <c r="D914" s="1"/>
      <c r="E914" s="1"/>
      <c r="F914" s="20"/>
      <c r="G914" s="20"/>
      <c r="H914" s="20" t="s">
        <v>192</v>
      </c>
      <c r="I914" s="20"/>
      <c r="J914" s="20"/>
      <c r="K914" s="20"/>
    </row>
    <row r="915" spans="1:11" ht="15.5" x14ac:dyDescent="0.35">
      <c r="A915" s="3" t="s">
        <v>96</v>
      </c>
      <c r="B915" s="1"/>
      <c r="C915" s="20">
        <v>3000</v>
      </c>
      <c r="D915" s="1"/>
      <c r="E915" s="20"/>
      <c r="F915" s="20">
        <f t="shared" ref="F915:F918" si="109">C915*B915</f>
        <v>0</v>
      </c>
      <c r="G915" s="20"/>
      <c r="H915" s="20"/>
      <c r="I915" s="20"/>
      <c r="J915" s="20"/>
      <c r="K915" s="20"/>
    </row>
    <row r="916" spans="1:11" ht="15.5" x14ac:dyDescent="0.35">
      <c r="A916" s="3" t="s">
        <v>97</v>
      </c>
      <c r="B916" s="1"/>
      <c r="C916" s="20">
        <v>2500</v>
      </c>
      <c r="D916" s="1"/>
      <c r="E916" s="1"/>
      <c r="F916" s="20">
        <f t="shared" si="109"/>
        <v>0</v>
      </c>
      <c r="G916" s="20"/>
      <c r="H916" s="20"/>
      <c r="I916" s="20"/>
      <c r="J916" s="20"/>
      <c r="K916" s="20"/>
    </row>
    <row r="917" spans="1:11" ht="15.5" x14ac:dyDescent="0.35">
      <c r="A917" s="3" t="s">
        <v>98</v>
      </c>
      <c r="B917" s="1"/>
      <c r="C917" s="20">
        <v>1800</v>
      </c>
      <c r="D917" s="1"/>
      <c r="E917" s="1"/>
      <c r="F917" s="20">
        <f t="shared" si="109"/>
        <v>0</v>
      </c>
      <c r="G917" s="20"/>
      <c r="H917" s="20"/>
      <c r="I917" s="20"/>
      <c r="J917" s="20"/>
      <c r="K917" s="20"/>
    </row>
    <row r="918" spans="1:11" ht="15.5" x14ac:dyDescent="0.35">
      <c r="A918" s="3" t="s">
        <v>99</v>
      </c>
      <c r="B918" s="1"/>
      <c r="C918" s="20">
        <v>3500</v>
      </c>
      <c r="D918" s="1"/>
      <c r="E918" s="1"/>
      <c r="F918" s="20">
        <f t="shared" si="109"/>
        <v>0</v>
      </c>
      <c r="G918" s="20"/>
      <c r="H918" s="20"/>
      <c r="I918" s="20"/>
      <c r="J918" s="20"/>
      <c r="K918" s="20"/>
    </row>
    <row r="919" spans="1:11" ht="15.5" x14ac:dyDescent="0.35">
      <c r="A919" s="18"/>
      <c r="F919" s="21"/>
    </row>
    <row r="920" spans="1:11" ht="15.5" x14ac:dyDescent="0.35">
      <c r="A920" s="24" t="s">
        <v>108</v>
      </c>
      <c r="K920" s="21"/>
    </row>
    <row r="921" spans="1:11" ht="15.5" x14ac:dyDescent="0.35">
      <c r="A921" s="18" t="s">
        <v>114</v>
      </c>
      <c r="B921" s="67">
        <v>40000</v>
      </c>
    </row>
    <row r="922" spans="1:11" ht="15.5" x14ac:dyDescent="0.35">
      <c r="A922" s="18" t="s">
        <v>112</v>
      </c>
      <c r="B922" s="67">
        <v>40000</v>
      </c>
    </row>
    <row r="923" spans="1:11" ht="15.5" x14ac:dyDescent="0.35">
      <c r="A923" s="18" t="s">
        <v>309</v>
      </c>
      <c r="B923" s="67">
        <v>60000</v>
      </c>
    </row>
    <row r="924" spans="1:11" ht="15.5" x14ac:dyDescent="0.35">
      <c r="A924" s="18" t="s">
        <v>110</v>
      </c>
      <c r="B924" s="67">
        <v>40000</v>
      </c>
    </row>
    <row r="925" spans="1:11" ht="15.5" x14ac:dyDescent="0.35">
      <c r="A925" s="18" t="s">
        <v>111</v>
      </c>
      <c r="B925" s="67">
        <v>40000</v>
      </c>
    </row>
    <row r="926" spans="1:11" ht="15.5" x14ac:dyDescent="0.35">
      <c r="A926" s="18" t="s">
        <v>196</v>
      </c>
      <c r="B926" s="67">
        <v>40000</v>
      </c>
    </row>
    <row r="927" spans="1:11" ht="15.5" x14ac:dyDescent="0.35">
      <c r="A927" s="18" t="s">
        <v>113</v>
      </c>
      <c r="B927" s="67" t="s">
        <v>422</v>
      </c>
    </row>
    <row r="928" spans="1:11" ht="15.5" x14ac:dyDescent="0.35">
      <c r="A928" s="18" t="s">
        <v>209</v>
      </c>
      <c r="B928" s="67">
        <v>40000</v>
      </c>
    </row>
    <row r="929" spans="1:11" ht="15.5" x14ac:dyDescent="0.35">
      <c r="A929" s="18" t="s">
        <v>115</v>
      </c>
      <c r="B929" s="67">
        <v>60000</v>
      </c>
    </row>
    <row r="930" spans="1:11" ht="15.5" x14ac:dyDescent="0.35">
      <c r="A930" s="18" t="s">
        <v>109</v>
      </c>
      <c r="B930" s="67">
        <v>40000</v>
      </c>
    </row>
    <row r="931" spans="1:11" ht="15.5" x14ac:dyDescent="0.35">
      <c r="A931" s="24" t="s">
        <v>4</v>
      </c>
      <c r="B931" s="75">
        <f>SUM(B921:B930)</f>
        <v>400000</v>
      </c>
    </row>
    <row r="934" spans="1:11" ht="18.5" x14ac:dyDescent="0.45">
      <c r="A934" s="151" t="s">
        <v>1</v>
      </c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</row>
    <row r="935" spans="1:11" ht="18.5" x14ac:dyDescent="0.45">
      <c r="A935" s="150" t="s">
        <v>74</v>
      </c>
      <c r="B935" s="150"/>
      <c r="C935" s="150"/>
      <c r="D935" s="150"/>
      <c r="E935" s="150"/>
      <c r="F935" s="150"/>
      <c r="G935" s="150"/>
      <c r="H935" s="150"/>
      <c r="I935" s="150"/>
      <c r="J935" s="150"/>
      <c r="K935" s="150"/>
    </row>
    <row r="936" spans="1:11" ht="18.5" x14ac:dyDescent="0.45">
      <c r="A936" s="149">
        <v>46142</v>
      </c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</row>
    <row r="937" spans="1:11" ht="18.5" x14ac:dyDescent="0.45">
      <c r="A937" s="150"/>
      <c r="B937" s="150"/>
      <c r="C937" s="150"/>
      <c r="D937" s="150"/>
      <c r="E937" s="150"/>
      <c r="F937" s="150"/>
      <c r="G937" s="150"/>
      <c r="H937" s="150"/>
      <c r="I937" s="150"/>
      <c r="J937" s="150"/>
      <c r="K937" s="150"/>
    </row>
    <row r="938" spans="1:11" ht="18.5" x14ac:dyDescent="0.45">
      <c r="A938" s="2" t="s">
        <v>75</v>
      </c>
      <c r="B938" s="2" t="s">
        <v>3</v>
      </c>
      <c r="C938" s="2" t="s">
        <v>100</v>
      </c>
      <c r="D938" s="2" t="s">
        <v>90</v>
      </c>
      <c r="E938" s="2" t="s">
        <v>91</v>
      </c>
      <c r="F938" s="2" t="s">
        <v>4</v>
      </c>
      <c r="G938" s="2" t="s">
        <v>101</v>
      </c>
      <c r="H938" s="2" t="s">
        <v>104</v>
      </c>
      <c r="I938" s="2"/>
      <c r="J938" s="2" t="s">
        <v>105</v>
      </c>
      <c r="K938" s="2" t="s">
        <v>106</v>
      </c>
    </row>
    <row r="939" spans="1:11" ht="15.5" x14ac:dyDescent="0.35">
      <c r="A939" s="3" t="s">
        <v>76</v>
      </c>
      <c r="B939" s="1"/>
      <c r="C939" s="20">
        <v>17500</v>
      </c>
      <c r="D939" s="1"/>
      <c r="E939" s="1"/>
      <c r="F939" s="20">
        <f>C939*B939</f>
        <v>0</v>
      </c>
      <c r="G939" s="20">
        <f>D939*C939</f>
        <v>0</v>
      </c>
      <c r="H939" s="20">
        <f>E939*C939</f>
        <v>0</v>
      </c>
      <c r="I939" s="20" t="b">
        <f>D939+E939=B939</f>
        <v>1</v>
      </c>
      <c r="J939" s="20">
        <f>B974</f>
        <v>400000</v>
      </c>
      <c r="K939" s="20" t="s">
        <v>117</v>
      </c>
    </row>
    <row r="940" spans="1:11" ht="15.5" x14ac:dyDescent="0.35">
      <c r="A940" s="3" t="s">
        <v>77</v>
      </c>
      <c r="B940" s="1"/>
      <c r="C940" s="20">
        <v>16000</v>
      </c>
      <c r="D940" s="1"/>
      <c r="E940" s="1"/>
      <c r="F940" s="20">
        <f t="shared" ref="F940:G951" si="110">C940*B940</f>
        <v>0</v>
      </c>
      <c r="G940" s="20">
        <f t="shared" si="110"/>
        <v>0</v>
      </c>
      <c r="H940" s="20">
        <f t="shared" ref="H940:H955" si="111">E940*C940</f>
        <v>0</v>
      </c>
      <c r="I940" s="20" t="b">
        <f t="shared" ref="I940:I955" si="112">D940+E940=B940</f>
        <v>1</v>
      </c>
      <c r="J940" s="20">
        <v>39550</v>
      </c>
      <c r="K940" s="20" t="s">
        <v>433</v>
      </c>
    </row>
    <row r="941" spans="1:11" ht="15.5" x14ac:dyDescent="0.35">
      <c r="A941" s="3" t="s">
        <v>78</v>
      </c>
      <c r="B941" s="1"/>
      <c r="C941" s="20">
        <v>17500</v>
      </c>
      <c r="D941" s="1"/>
      <c r="E941" s="1"/>
      <c r="F941" s="20">
        <f t="shared" si="110"/>
        <v>0</v>
      </c>
      <c r="G941" s="20">
        <f t="shared" si="110"/>
        <v>0</v>
      </c>
      <c r="H941" s="20">
        <f t="shared" si="111"/>
        <v>0</v>
      </c>
      <c r="I941" s="20" t="b">
        <f t="shared" si="112"/>
        <v>1</v>
      </c>
      <c r="J941" s="20"/>
      <c r="K941" s="20"/>
    </row>
    <row r="942" spans="1:11" ht="15.5" x14ac:dyDescent="0.35">
      <c r="A942" s="3" t="s">
        <v>79</v>
      </c>
      <c r="B942" s="1"/>
      <c r="C942" s="20">
        <v>18500</v>
      </c>
      <c r="D942" s="1"/>
      <c r="E942" s="1"/>
      <c r="F942" s="20">
        <f t="shared" si="110"/>
        <v>0</v>
      </c>
      <c r="G942" s="20">
        <f t="shared" si="110"/>
        <v>0</v>
      </c>
      <c r="H942" s="20">
        <f t="shared" si="111"/>
        <v>0</v>
      </c>
      <c r="I942" s="20" t="b">
        <f t="shared" si="112"/>
        <v>1</v>
      </c>
      <c r="J942" s="20"/>
      <c r="K942" s="20"/>
    </row>
    <row r="943" spans="1:11" ht="15.5" x14ac:dyDescent="0.35">
      <c r="A943" s="3" t="s">
        <v>80</v>
      </c>
      <c r="B943" s="1"/>
      <c r="C943" s="20">
        <v>18500</v>
      </c>
      <c r="D943" s="1"/>
      <c r="E943" s="1"/>
      <c r="F943" s="20">
        <f t="shared" si="110"/>
        <v>0</v>
      </c>
      <c r="G943" s="20">
        <f t="shared" si="110"/>
        <v>0</v>
      </c>
      <c r="H943" s="20">
        <f t="shared" si="111"/>
        <v>0</v>
      </c>
      <c r="I943" s="20" t="b">
        <f t="shared" si="112"/>
        <v>1</v>
      </c>
      <c r="J943" s="20"/>
      <c r="K943" s="20"/>
    </row>
    <row r="944" spans="1:11" ht="15.5" x14ac:dyDescent="0.35">
      <c r="A944" s="3" t="s">
        <v>81</v>
      </c>
      <c r="B944" s="1"/>
      <c r="C944" s="20">
        <v>23000</v>
      </c>
      <c r="D944" s="1"/>
      <c r="E944" s="1"/>
      <c r="F944" s="20">
        <f t="shared" si="110"/>
        <v>0</v>
      </c>
      <c r="G944" s="20">
        <f t="shared" si="110"/>
        <v>0</v>
      </c>
      <c r="H944" s="20">
        <f t="shared" si="111"/>
        <v>0</v>
      </c>
      <c r="I944" s="20" t="b">
        <f t="shared" si="112"/>
        <v>1</v>
      </c>
      <c r="J944" s="20"/>
      <c r="K944" s="20"/>
    </row>
    <row r="945" spans="1:11" ht="15.5" x14ac:dyDescent="0.35">
      <c r="A945" s="3" t="s">
        <v>82</v>
      </c>
      <c r="B945" s="1"/>
      <c r="C945" s="20">
        <v>18000</v>
      </c>
      <c r="D945" s="1"/>
      <c r="E945" s="1"/>
      <c r="F945" s="20">
        <f t="shared" si="110"/>
        <v>0</v>
      </c>
      <c r="G945" s="20">
        <f t="shared" si="110"/>
        <v>0</v>
      </c>
      <c r="H945" s="20">
        <f t="shared" si="111"/>
        <v>0</v>
      </c>
      <c r="I945" s="20" t="b">
        <f t="shared" si="112"/>
        <v>1</v>
      </c>
      <c r="J945" s="20"/>
      <c r="K945" s="20"/>
    </row>
    <row r="946" spans="1:11" ht="15.5" x14ac:dyDescent="0.35">
      <c r="A946" s="3" t="s">
        <v>83</v>
      </c>
      <c r="B946" s="1"/>
      <c r="C946" s="20">
        <v>18000</v>
      </c>
      <c r="D946" s="1"/>
      <c r="E946" s="1"/>
      <c r="F946" s="20">
        <f t="shared" si="110"/>
        <v>0</v>
      </c>
      <c r="G946" s="20">
        <f t="shared" si="110"/>
        <v>0</v>
      </c>
      <c r="H946" s="20">
        <f t="shared" si="111"/>
        <v>0</v>
      </c>
      <c r="I946" s="20" t="b">
        <f t="shared" si="112"/>
        <v>1</v>
      </c>
      <c r="J946" s="20"/>
      <c r="K946" s="20"/>
    </row>
    <row r="947" spans="1:11" ht="15.5" x14ac:dyDescent="0.35">
      <c r="A947" s="3" t="s">
        <v>84</v>
      </c>
      <c r="B947" s="1"/>
      <c r="C947" s="20">
        <v>18500</v>
      </c>
      <c r="D947" s="1"/>
      <c r="E947" s="1"/>
      <c r="F947" s="20">
        <f t="shared" si="110"/>
        <v>0</v>
      </c>
      <c r="G947" s="20">
        <f t="shared" si="110"/>
        <v>0</v>
      </c>
      <c r="H947" s="20">
        <f t="shared" si="111"/>
        <v>0</v>
      </c>
      <c r="I947" s="20" t="b">
        <f t="shared" si="112"/>
        <v>1</v>
      </c>
      <c r="J947" s="20"/>
      <c r="K947" s="20"/>
    </row>
    <row r="948" spans="1:11" ht="15.5" x14ac:dyDescent="0.35">
      <c r="A948" s="3" t="s">
        <v>85</v>
      </c>
      <c r="B948" s="1"/>
      <c r="C948" s="20">
        <v>18500</v>
      </c>
      <c r="D948" s="1"/>
      <c r="E948" s="1"/>
      <c r="F948" s="20">
        <f t="shared" si="110"/>
        <v>0</v>
      </c>
      <c r="G948" s="20">
        <f t="shared" si="110"/>
        <v>0</v>
      </c>
      <c r="H948" s="20">
        <f t="shared" si="111"/>
        <v>0</v>
      </c>
      <c r="I948" s="20" t="b">
        <f t="shared" si="112"/>
        <v>1</v>
      </c>
      <c r="J948" s="20"/>
      <c r="K948" s="20"/>
    </row>
    <row r="949" spans="1:11" ht="15.5" x14ac:dyDescent="0.35">
      <c r="A949" s="3" t="s">
        <v>86</v>
      </c>
      <c r="B949" s="1"/>
      <c r="C949" s="20">
        <v>18500</v>
      </c>
      <c r="D949" s="1"/>
      <c r="E949" s="1"/>
      <c r="F949" s="20">
        <f t="shared" si="110"/>
        <v>0</v>
      </c>
      <c r="G949" s="20">
        <f t="shared" si="110"/>
        <v>0</v>
      </c>
      <c r="H949" s="20">
        <f t="shared" si="111"/>
        <v>0</v>
      </c>
      <c r="I949" s="20" t="b">
        <f t="shared" si="112"/>
        <v>1</v>
      </c>
      <c r="J949" s="20"/>
      <c r="K949" s="20"/>
    </row>
    <row r="950" spans="1:11" ht="15.5" x14ac:dyDescent="0.35">
      <c r="A950" s="3" t="s">
        <v>87</v>
      </c>
      <c r="B950" s="1"/>
      <c r="C950" s="20">
        <v>18500</v>
      </c>
      <c r="D950" s="1"/>
      <c r="E950" s="1"/>
      <c r="F950" s="20">
        <f t="shared" si="110"/>
        <v>0</v>
      </c>
      <c r="G950" s="20">
        <f t="shared" si="110"/>
        <v>0</v>
      </c>
      <c r="H950" s="20">
        <f t="shared" si="111"/>
        <v>0</v>
      </c>
      <c r="I950" s="20" t="b">
        <f t="shared" si="112"/>
        <v>1</v>
      </c>
      <c r="J950" s="20"/>
      <c r="K950" s="20"/>
    </row>
    <row r="951" spans="1:11" ht="15.5" x14ac:dyDescent="0.35">
      <c r="A951" s="3" t="s">
        <v>88</v>
      </c>
      <c r="B951" s="1"/>
      <c r="C951" s="20">
        <v>18500</v>
      </c>
      <c r="D951" s="1"/>
      <c r="E951" s="1"/>
      <c r="F951" s="20">
        <f t="shared" si="110"/>
        <v>0</v>
      </c>
      <c r="G951" s="20">
        <f t="shared" si="110"/>
        <v>0</v>
      </c>
      <c r="H951" s="20">
        <f t="shared" si="111"/>
        <v>0</v>
      </c>
      <c r="I951" s="20" t="b">
        <f t="shared" si="112"/>
        <v>1</v>
      </c>
      <c r="J951" s="20"/>
      <c r="K951" s="20"/>
    </row>
    <row r="952" spans="1:11" ht="15.5" x14ac:dyDescent="0.35">
      <c r="A952" s="19" t="s">
        <v>89</v>
      </c>
      <c r="B952" s="1"/>
      <c r="C952" s="20"/>
      <c r="D952" s="1"/>
      <c r="E952" s="1"/>
      <c r="F952" s="20"/>
      <c r="G952" s="20"/>
      <c r="H952" s="20">
        <f t="shared" si="111"/>
        <v>0</v>
      </c>
      <c r="I952" s="20" t="b">
        <f t="shared" si="112"/>
        <v>1</v>
      </c>
      <c r="J952" s="20"/>
      <c r="K952" s="20"/>
    </row>
    <row r="953" spans="1:11" ht="15.5" x14ac:dyDescent="0.35">
      <c r="A953" s="3" t="s">
        <v>92</v>
      </c>
      <c r="B953" s="1"/>
      <c r="C953" s="20">
        <v>21500</v>
      </c>
      <c r="D953" s="1"/>
      <c r="E953" s="1"/>
      <c r="F953" s="20">
        <f t="shared" ref="F953:G955" si="113">C953*B953</f>
        <v>0</v>
      </c>
      <c r="G953" s="20">
        <f t="shared" si="113"/>
        <v>0</v>
      </c>
      <c r="H953" s="20">
        <f t="shared" si="111"/>
        <v>0</v>
      </c>
      <c r="I953" s="20" t="b">
        <f t="shared" si="112"/>
        <v>1</v>
      </c>
      <c r="J953" s="20"/>
      <c r="K953" s="20"/>
    </row>
    <row r="954" spans="1:11" ht="15.5" x14ac:dyDescent="0.35">
      <c r="A954" s="3" t="s">
        <v>93</v>
      </c>
      <c r="B954" s="1"/>
      <c r="C954" s="20">
        <v>21500</v>
      </c>
      <c r="D954" s="1"/>
      <c r="E954" s="1"/>
      <c r="F954" s="20">
        <f t="shared" si="113"/>
        <v>0</v>
      </c>
      <c r="G954" s="20">
        <f t="shared" si="113"/>
        <v>0</v>
      </c>
      <c r="H954" s="20">
        <f t="shared" si="111"/>
        <v>0</v>
      </c>
      <c r="I954" s="20" t="b">
        <f t="shared" si="112"/>
        <v>1</v>
      </c>
      <c r="J954" s="20"/>
      <c r="K954" s="20"/>
    </row>
    <row r="955" spans="1:11" ht="15.5" x14ac:dyDescent="0.35">
      <c r="A955" s="3" t="s">
        <v>94</v>
      </c>
      <c r="B955" s="1"/>
      <c r="C955" s="20">
        <v>21500</v>
      </c>
      <c r="D955" s="1"/>
      <c r="E955" s="1"/>
      <c r="F955" s="20">
        <f t="shared" si="113"/>
        <v>0</v>
      </c>
      <c r="G955" s="20">
        <f t="shared" si="113"/>
        <v>0</v>
      </c>
      <c r="H955" s="20">
        <f t="shared" si="111"/>
        <v>0</v>
      </c>
      <c r="I955" s="20" t="b">
        <f t="shared" si="112"/>
        <v>1</v>
      </c>
      <c r="J955" s="20"/>
      <c r="K955" s="20"/>
    </row>
    <row r="956" spans="1:11" ht="15.5" x14ac:dyDescent="0.35">
      <c r="A956" s="19"/>
      <c r="B956" s="22">
        <f>SUM(B939:B955)</f>
        <v>0</v>
      </c>
      <c r="C956" s="20"/>
      <c r="D956" s="1"/>
      <c r="E956" s="1"/>
      <c r="F956" s="23">
        <f>SUM(F939:F955)</f>
        <v>0</v>
      </c>
      <c r="G956" s="23">
        <f>SUM(G939:G955)</f>
        <v>0</v>
      </c>
      <c r="H956" s="23">
        <f>SUM(H939:H955)</f>
        <v>0</v>
      </c>
      <c r="I956" s="23"/>
      <c r="J956" s="23">
        <f>SUM(J939:J955)</f>
        <v>439550</v>
      </c>
      <c r="K956" s="23">
        <f>H956-J956</f>
        <v>-439550</v>
      </c>
    </row>
    <row r="957" spans="1:11" ht="15.5" x14ac:dyDescent="0.35">
      <c r="A957" s="19" t="s">
        <v>95</v>
      </c>
      <c r="B957" s="1"/>
      <c r="C957" s="20"/>
      <c r="D957" s="1"/>
      <c r="E957" s="1"/>
      <c r="F957" s="20"/>
      <c r="G957" s="20"/>
      <c r="H957" s="20" t="s">
        <v>192</v>
      </c>
      <c r="I957" s="20"/>
      <c r="J957" s="20"/>
      <c r="K957" s="20"/>
    </row>
    <row r="958" spans="1:11" ht="15.5" x14ac:dyDescent="0.35">
      <c r="A958" s="3" t="s">
        <v>96</v>
      </c>
      <c r="B958" s="1"/>
      <c r="C958" s="20">
        <v>3000</v>
      </c>
      <c r="D958" s="1"/>
      <c r="E958" s="20"/>
      <c r="F958" s="20">
        <f t="shared" ref="F958:F961" si="114">C958*B958</f>
        <v>0</v>
      </c>
      <c r="G958" s="20"/>
      <c r="H958" s="20"/>
      <c r="I958" s="20"/>
      <c r="J958" s="20"/>
      <c r="K958" s="20"/>
    </row>
    <row r="959" spans="1:11" ht="15.5" x14ac:dyDescent="0.35">
      <c r="A959" s="3" t="s">
        <v>97</v>
      </c>
      <c r="B959" s="1"/>
      <c r="C959" s="20">
        <v>2500</v>
      </c>
      <c r="D959" s="1"/>
      <c r="E959" s="1"/>
      <c r="F959" s="20">
        <f t="shared" si="114"/>
        <v>0</v>
      </c>
      <c r="G959" s="20"/>
      <c r="H959" s="20"/>
      <c r="I959" s="20"/>
      <c r="J959" s="20"/>
      <c r="K959" s="20"/>
    </row>
    <row r="960" spans="1:11" ht="15.5" x14ac:dyDescent="0.35">
      <c r="A960" s="3" t="s">
        <v>98</v>
      </c>
      <c r="B960" s="1"/>
      <c r="C960" s="20">
        <v>1800</v>
      </c>
      <c r="D960" s="1"/>
      <c r="E960" s="1"/>
      <c r="F960" s="20">
        <f t="shared" si="114"/>
        <v>0</v>
      </c>
      <c r="G960" s="20"/>
      <c r="H960" s="20"/>
      <c r="I960" s="20"/>
      <c r="J960" s="20"/>
      <c r="K960" s="20"/>
    </row>
    <row r="961" spans="1:11" ht="15.5" x14ac:dyDescent="0.35">
      <c r="A961" s="3" t="s">
        <v>99</v>
      </c>
      <c r="B961" s="1"/>
      <c r="C961" s="20">
        <v>3500</v>
      </c>
      <c r="D961" s="1"/>
      <c r="E961" s="1"/>
      <c r="F961" s="20">
        <f t="shared" si="114"/>
        <v>0</v>
      </c>
      <c r="G961" s="20"/>
      <c r="H961" s="20"/>
      <c r="I961" s="20"/>
      <c r="J961" s="20"/>
      <c r="K961" s="20"/>
    </row>
    <row r="962" spans="1:11" ht="15.5" x14ac:dyDescent="0.35">
      <c r="A962" s="18"/>
      <c r="F962" s="21"/>
    </row>
    <row r="963" spans="1:11" ht="15.5" x14ac:dyDescent="0.35">
      <c r="A963" s="24" t="s">
        <v>108</v>
      </c>
      <c r="K963" s="21"/>
    </row>
    <row r="964" spans="1:11" ht="15.5" x14ac:dyDescent="0.35">
      <c r="A964" s="18" t="s">
        <v>114</v>
      </c>
      <c r="B964" s="67">
        <v>40000</v>
      </c>
    </row>
    <row r="965" spans="1:11" ht="15.5" x14ac:dyDescent="0.35">
      <c r="A965" s="18" t="s">
        <v>112</v>
      </c>
      <c r="B965" s="67">
        <v>40000</v>
      </c>
    </row>
    <row r="966" spans="1:11" ht="15.5" x14ac:dyDescent="0.35">
      <c r="A966" s="18" t="s">
        <v>309</v>
      </c>
      <c r="B966" s="67">
        <v>60000</v>
      </c>
    </row>
    <row r="967" spans="1:11" ht="15.5" x14ac:dyDescent="0.35">
      <c r="A967" s="18" t="s">
        <v>110</v>
      </c>
      <c r="B967" s="67">
        <v>40000</v>
      </c>
    </row>
    <row r="968" spans="1:11" ht="15.5" x14ac:dyDescent="0.35">
      <c r="A968" s="18" t="s">
        <v>111</v>
      </c>
      <c r="B968" s="67">
        <v>40000</v>
      </c>
    </row>
    <row r="969" spans="1:11" ht="15.5" x14ac:dyDescent="0.35">
      <c r="A969" s="18" t="s">
        <v>196</v>
      </c>
      <c r="B969" s="67">
        <v>40000</v>
      </c>
    </row>
    <row r="970" spans="1:11" ht="15.5" x14ac:dyDescent="0.35">
      <c r="A970" s="18" t="s">
        <v>113</v>
      </c>
      <c r="B970" s="67" t="s">
        <v>422</v>
      </c>
    </row>
    <row r="971" spans="1:11" ht="15.5" x14ac:dyDescent="0.35">
      <c r="A971" s="18" t="s">
        <v>209</v>
      </c>
      <c r="B971" s="67">
        <v>40000</v>
      </c>
    </row>
    <row r="972" spans="1:11" ht="15.5" x14ac:dyDescent="0.35">
      <c r="A972" s="18" t="s">
        <v>115</v>
      </c>
      <c r="B972" s="67">
        <v>60000</v>
      </c>
    </row>
    <row r="973" spans="1:11" ht="15.5" x14ac:dyDescent="0.35">
      <c r="A973" s="18" t="s">
        <v>109</v>
      </c>
      <c r="B973" s="67">
        <v>40000</v>
      </c>
    </row>
    <row r="974" spans="1:11" ht="15.5" x14ac:dyDescent="0.35">
      <c r="A974" s="24" t="s">
        <v>4</v>
      </c>
      <c r="B974" s="75">
        <f>SUM(B964:B973)</f>
        <v>400000</v>
      </c>
    </row>
    <row r="977" spans="1:11" ht="18.5" x14ac:dyDescent="0.45">
      <c r="A977" s="151" t="s">
        <v>1</v>
      </c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</row>
    <row r="978" spans="1:11" ht="18.5" x14ac:dyDescent="0.45">
      <c r="A978" s="150" t="s">
        <v>74</v>
      </c>
      <c r="B978" s="150"/>
      <c r="C978" s="150"/>
      <c r="D978" s="150"/>
      <c r="E978" s="150"/>
      <c r="F978" s="150"/>
      <c r="G978" s="150"/>
      <c r="H978" s="150"/>
      <c r="I978" s="150"/>
      <c r="J978" s="150"/>
      <c r="K978" s="150"/>
    </row>
    <row r="979" spans="1:11" ht="18.5" x14ac:dyDescent="0.45">
      <c r="A979" s="149" t="s">
        <v>360</v>
      </c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</row>
    <row r="980" spans="1:11" ht="18.5" x14ac:dyDescent="0.45">
      <c r="A980" s="150"/>
      <c r="B980" s="150"/>
      <c r="C980" s="150"/>
      <c r="D980" s="150"/>
      <c r="E980" s="150"/>
      <c r="F980" s="150"/>
      <c r="G980" s="150"/>
      <c r="H980" s="150"/>
      <c r="I980" s="150"/>
      <c r="J980" s="150"/>
      <c r="K980" s="150"/>
    </row>
    <row r="981" spans="1:11" ht="18.5" x14ac:dyDescent="0.45">
      <c r="A981" s="2" t="s">
        <v>75</v>
      </c>
      <c r="B981" s="2" t="s">
        <v>3</v>
      </c>
      <c r="C981" s="2" t="s">
        <v>100</v>
      </c>
      <c r="D981" s="2" t="s">
        <v>90</v>
      </c>
      <c r="E981" s="2" t="s">
        <v>91</v>
      </c>
      <c r="F981" s="2" t="s">
        <v>4</v>
      </c>
      <c r="G981" s="2" t="s">
        <v>101</v>
      </c>
      <c r="H981" s="2" t="s">
        <v>104</v>
      </c>
      <c r="I981" s="2"/>
      <c r="J981" s="2" t="s">
        <v>105</v>
      </c>
      <c r="K981" s="2" t="s">
        <v>106</v>
      </c>
    </row>
    <row r="982" spans="1:11" ht="15.5" x14ac:dyDescent="0.35">
      <c r="A982" s="3" t="s">
        <v>76</v>
      </c>
      <c r="B982" s="1"/>
      <c r="C982" s="20">
        <v>17500</v>
      </c>
      <c r="D982" s="1"/>
      <c r="E982" s="1"/>
      <c r="F982" s="20">
        <f>C982*B982</f>
        <v>0</v>
      </c>
      <c r="G982" s="20">
        <f>D982*C982</f>
        <v>0</v>
      </c>
      <c r="H982" s="20">
        <f>E982*C982</f>
        <v>0</v>
      </c>
      <c r="I982" s="20" t="b">
        <f>D982+E982=B982</f>
        <v>1</v>
      </c>
      <c r="J982" s="20">
        <f>B1017</f>
        <v>440000</v>
      </c>
      <c r="K982" s="20"/>
    </row>
    <row r="983" spans="1:11" ht="15.5" x14ac:dyDescent="0.35">
      <c r="A983" s="3" t="s">
        <v>77</v>
      </c>
      <c r="B983" s="1"/>
      <c r="C983" s="20">
        <v>16000</v>
      </c>
      <c r="D983" s="1"/>
      <c r="E983" s="1"/>
      <c r="F983" s="20">
        <f t="shared" ref="F983:G994" si="115">C983*B983</f>
        <v>0</v>
      </c>
      <c r="G983" s="20">
        <f t="shared" si="115"/>
        <v>0</v>
      </c>
      <c r="H983" s="20">
        <f t="shared" ref="H983:H998" si="116">E983*C983</f>
        <v>0</v>
      </c>
      <c r="I983" s="20" t="b">
        <f t="shared" ref="I983:I998" si="117">D983+E983=B983</f>
        <v>1</v>
      </c>
      <c r="J983" s="20"/>
      <c r="K983" s="20"/>
    </row>
    <row r="984" spans="1:11" ht="15.5" x14ac:dyDescent="0.35">
      <c r="A984" s="3" t="s">
        <v>78</v>
      </c>
      <c r="B984" s="1"/>
      <c r="C984" s="20">
        <v>17500</v>
      </c>
      <c r="D984" s="1"/>
      <c r="E984" s="1"/>
      <c r="F984" s="20">
        <f t="shared" si="115"/>
        <v>0</v>
      </c>
      <c r="G984" s="20">
        <f t="shared" si="115"/>
        <v>0</v>
      </c>
      <c r="H984" s="20">
        <f t="shared" si="116"/>
        <v>0</v>
      </c>
      <c r="I984" s="20" t="b">
        <f t="shared" si="117"/>
        <v>1</v>
      </c>
      <c r="J984" s="20"/>
      <c r="K984" s="20"/>
    </row>
    <row r="985" spans="1:11" ht="15.5" x14ac:dyDescent="0.35">
      <c r="A985" s="3" t="s">
        <v>79</v>
      </c>
      <c r="B985" s="1"/>
      <c r="C985" s="20">
        <v>18500</v>
      </c>
      <c r="D985" s="1"/>
      <c r="E985" s="1"/>
      <c r="F985" s="20">
        <f t="shared" si="115"/>
        <v>0</v>
      </c>
      <c r="G985" s="20">
        <f t="shared" si="115"/>
        <v>0</v>
      </c>
      <c r="H985" s="20">
        <f t="shared" si="116"/>
        <v>0</v>
      </c>
      <c r="I985" s="20" t="b">
        <f t="shared" si="117"/>
        <v>1</v>
      </c>
      <c r="J985" s="20"/>
      <c r="K985" s="20"/>
    </row>
    <row r="986" spans="1:11" ht="15.5" x14ac:dyDescent="0.35">
      <c r="A986" s="3" t="s">
        <v>80</v>
      </c>
      <c r="B986" s="1"/>
      <c r="C986" s="20">
        <v>18500</v>
      </c>
      <c r="D986" s="1"/>
      <c r="E986" s="1"/>
      <c r="F986" s="20">
        <f t="shared" si="115"/>
        <v>0</v>
      </c>
      <c r="G986" s="20">
        <f t="shared" si="115"/>
        <v>0</v>
      </c>
      <c r="H986" s="20">
        <f t="shared" si="116"/>
        <v>0</v>
      </c>
      <c r="I986" s="20" t="b">
        <f t="shared" si="117"/>
        <v>1</v>
      </c>
      <c r="J986" s="20"/>
      <c r="K986" s="20"/>
    </row>
    <row r="987" spans="1:11" ht="15.5" x14ac:dyDescent="0.35">
      <c r="A987" s="3" t="s">
        <v>81</v>
      </c>
      <c r="B987" s="1"/>
      <c r="C987" s="20">
        <v>23000</v>
      </c>
      <c r="D987" s="1"/>
      <c r="E987" s="1"/>
      <c r="F987" s="20">
        <f t="shared" si="115"/>
        <v>0</v>
      </c>
      <c r="G987" s="20">
        <f t="shared" si="115"/>
        <v>0</v>
      </c>
      <c r="H987" s="20">
        <f t="shared" si="116"/>
        <v>0</v>
      </c>
      <c r="I987" s="20" t="b">
        <f t="shared" si="117"/>
        <v>1</v>
      </c>
      <c r="J987" s="20"/>
      <c r="K987" s="20"/>
    </row>
    <row r="988" spans="1:11" ht="15.5" x14ac:dyDescent="0.35">
      <c r="A988" s="3" t="s">
        <v>82</v>
      </c>
      <c r="B988" s="1"/>
      <c r="C988" s="20">
        <v>18000</v>
      </c>
      <c r="D988" s="1"/>
      <c r="E988" s="1"/>
      <c r="F988" s="20">
        <f t="shared" si="115"/>
        <v>0</v>
      </c>
      <c r="G988" s="20">
        <f t="shared" si="115"/>
        <v>0</v>
      </c>
      <c r="H988" s="20">
        <f t="shared" si="116"/>
        <v>0</v>
      </c>
      <c r="I988" s="20" t="b">
        <f t="shared" si="117"/>
        <v>1</v>
      </c>
      <c r="J988" s="20"/>
      <c r="K988" s="20"/>
    </row>
    <row r="989" spans="1:11" ht="15.5" x14ac:dyDescent="0.35">
      <c r="A989" s="3" t="s">
        <v>83</v>
      </c>
      <c r="B989" s="1"/>
      <c r="C989" s="20">
        <v>18000</v>
      </c>
      <c r="D989" s="1"/>
      <c r="E989" s="1"/>
      <c r="F989" s="20">
        <f t="shared" si="115"/>
        <v>0</v>
      </c>
      <c r="G989" s="20">
        <f t="shared" si="115"/>
        <v>0</v>
      </c>
      <c r="H989" s="20">
        <f t="shared" si="116"/>
        <v>0</v>
      </c>
      <c r="I989" s="20" t="b">
        <f t="shared" si="117"/>
        <v>1</v>
      </c>
      <c r="J989" s="20"/>
      <c r="K989" s="20"/>
    </row>
    <row r="990" spans="1:11" ht="15.5" x14ac:dyDescent="0.35">
      <c r="A990" s="3" t="s">
        <v>84</v>
      </c>
      <c r="B990" s="1"/>
      <c r="C990" s="20">
        <v>18500</v>
      </c>
      <c r="D990" s="1"/>
      <c r="E990" s="1"/>
      <c r="F990" s="20">
        <f t="shared" si="115"/>
        <v>0</v>
      </c>
      <c r="G990" s="20">
        <f t="shared" si="115"/>
        <v>0</v>
      </c>
      <c r="H990" s="20">
        <f t="shared" si="116"/>
        <v>0</v>
      </c>
      <c r="I990" s="20" t="b">
        <f t="shared" si="117"/>
        <v>1</v>
      </c>
      <c r="J990" s="20"/>
      <c r="K990" s="20"/>
    </row>
    <row r="991" spans="1:11" ht="15.5" x14ac:dyDescent="0.35">
      <c r="A991" s="3" t="s">
        <v>85</v>
      </c>
      <c r="B991" s="1"/>
      <c r="C991" s="20">
        <v>18500</v>
      </c>
      <c r="D991" s="1"/>
      <c r="E991" s="1"/>
      <c r="F991" s="20">
        <f t="shared" si="115"/>
        <v>0</v>
      </c>
      <c r="G991" s="20">
        <f t="shared" si="115"/>
        <v>0</v>
      </c>
      <c r="H991" s="20">
        <f t="shared" si="116"/>
        <v>0</v>
      </c>
      <c r="I991" s="20" t="b">
        <f t="shared" si="117"/>
        <v>1</v>
      </c>
      <c r="J991" s="20"/>
      <c r="K991" s="20"/>
    </row>
    <row r="992" spans="1:11" ht="15.5" x14ac:dyDescent="0.35">
      <c r="A992" s="3" t="s">
        <v>86</v>
      </c>
      <c r="B992" s="1"/>
      <c r="C992" s="20">
        <v>18500</v>
      </c>
      <c r="D992" s="1"/>
      <c r="E992" s="1"/>
      <c r="F992" s="20">
        <f t="shared" si="115"/>
        <v>0</v>
      </c>
      <c r="G992" s="20">
        <f t="shared" si="115"/>
        <v>0</v>
      </c>
      <c r="H992" s="20">
        <f t="shared" si="116"/>
        <v>0</v>
      </c>
      <c r="I992" s="20" t="b">
        <f t="shared" si="117"/>
        <v>1</v>
      </c>
      <c r="J992" s="20"/>
      <c r="K992" s="20"/>
    </row>
    <row r="993" spans="1:11" ht="15.5" x14ac:dyDescent="0.35">
      <c r="A993" s="3" t="s">
        <v>87</v>
      </c>
      <c r="B993" s="1"/>
      <c r="C993" s="20">
        <v>18500</v>
      </c>
      <c r="D993" s="1"/>
      <c r="E993" s="1"/>
      <c r="F993" s="20">
        <f t="shared" si="115"/>
        <v>0</v>
      </c>
      <c r="G993" s="20">
        <f t="shared" si="115"/>
        <v>0</v>
      </c>
      <c r="H993" s="20">
        <f t="shared" si="116"/>
        <v>0</v>
      </c>
      <c r="I993" s="20" t="b">
        <f t="shared" si="117"/>
        <v>1</v>
      </c>
      <c r="J993" s="20"/>
      <c r="K993" s="20"/>
    </row>
    <row r="994" spans="1:11" ht="15.5" x14ac:dyDescent="0.35">
      <c r="A994" s="3" t="s">
        <v>88</v>
      </c>
      <c r="B994" s="1"/>
      <c r="C994" s="20">
        <v>18500</v>
      </c>
      <c r="D994" s="1"/>
      <c r="E994" s="1"/>
      <c r="F994" s="20">
        <f t="shared" si="115"/>
        <v>0</v>
      </c>
      <c r="G994" s="20">
        <f t="shared" si="115"/>
        <v>0</v>
      </c>
      <c r="H994" s="20">
        <f t="shared" si="116"/>
        <v>0</v>
      </c>
      <c r="I994" s="20" t="b">
        <f t="shared" si="117"/>
        <v>1</v>
      </c>
      <c r="J994" s="20"/>
      <c r="K994" s="20"/>
    </row>
    <row r="995" spans="1:11" ht="15.5" x14ac:dyDescent="0.35">
      <c r="A995" s="19" t="s">
        <v>89</v>
      </c>
      <c r="B995" s="1"/>
      <c r="C995" s="20"/>
      <c r="D995" s="1"/>
      <c r="E995" s="1"/>
      <c r="F995" s="20"/>
      <c r="G995" s="20"/>
      <c r="H995" s="20">
        <f t="shared" si="116"/>
        <v>0</v>
      </c>
      <c r="I995" s="20" t="b">
        <f t="shared" si="117"/>
        <v>1</v>
      </c>
      <c r="J995" s="20"/>
      <c r="K995" s="20"/>
    </row>
    <row r="996" spans="1:11" ht="15.5" x14ac:dyDescent="0.35">
      <c r="A996" s="3" t="s">
        <v>92</v>
      </c>
      <c r="B996" s="1"/>
      <c r="C996" s="20">
        <v>21500</v>
      </c>
      <c r="D996" s="1"/>
      <c r="E996" s="1"/>
      <c r="F996" s="20">
        <f t="shared" ref="F996:G998" si="118">C996*B996</f>
        <v>0</v>
      </c>
      <c r="G996" s="20">
        <f t="shared" si="118"/>
        <v>0</v>
      </c>
      <c r="H996" s="20">
        <f t="shared" si="116"/>
        <v>0</v>
      </c>
      <c r="I996" s="20" t="b">
        <f t="shared" si="117"/>
        <v>1</v>
      </c>
      <c r="J996" s="20"/>
      <c r="K996" s="20"/>
    </row>
    <row r="997" spans="1:11" ht="15.5" x14ac:dyDescent="0.35">
      <c r="A997" s="3" t="s">
        <v>93</v>
      </c>
      <c r="B997" s="1"/>
      <c r="C997" s="20">
        <v>21500</v>
      </c>
      <c r="D997" s="1"/>
      <c r="E997" s="1"/>
      <c r="F997" s="20">
        <f t="shared" si="118"/>
        <v>0</v>
      </c>
      <c r="G997" s="20">
        <f t="shared" si="118"/>
        <v>0</v>
      </c>
      <c r="H997" s="20">
        <f t="shared" si="116"/>
        <v>0</v>
      </c>
      <c r="I997" s="20" t="b">
        <f t="shared" si="117"/>
        <v>1</v>
      </c>
      <c r="J997" s="20"/>
      <c r="K997" s="20"/>
    </row>
    <row r="998" spans="1:11" ht="15.5" x14ac:dyDescent="0.35">
      <c r="A998" s="3" t="s">
        <v>94</v>
      </c>
      <c r="B998" s="1"/>
      <c r="C998" s="20">
        <v>21500</v>
      </c>
      <c r="D998" s="1"/>
      <c r="E998" s="1"/>
      <c r="F998" s="20">
        <f t="shared" si="118"/>
        <v>0</v>
      </c>
      <c r="G998" s="20">
        <f t="shared" si="118"/>
        <v>0</v>
      </c>
      <c r="H998" s="20">
        <f t="shared" si="116"/>
        <v>0</v>
      </c>
      <c r="I998" s="20" t="b">
        <f t="shared" si="117"/>
        <v>1</v>
      </c>
      <c r="J998" s="20"/>
      <c r="K998" s="20"/>
    </row>
    <row r="999" spans="1:11" ht="15.5" x14ac:dyDescent="0.35">
      <c r="A999" s="19"/>
      <c r="B999" s="22">
        <f>SUM(B982:B998)</f>
        <v>0</v>
      </c>
      <c r="C999" s="20"/>
      <c r="D999" s="1"/>
      <c r="E999" s="1"/>
      <c r="F999" s="23">
        <f>SUM(F982:F998)</f>
        <v>0</v>
      </c>
      <c r="G999" s="23">
        <f>SUM(G982:G998)</f>
        <v>0</v>
      </c>
      <c r="H999" s="23">
        <f>SUM(H982:H998)</f>
        <v>0</v>
      </c>
      <c r="I999" s="23"/>
      <c r="J999" s="23">
        <f>SUM(J982:J998)</f>
        <v>440000</v>
      </c>
      <c r="K999" s="23">
        <f>H999-J999</f>
        <v>-440000</v>
      </c>
    </row>
    <row r="1000" spans="1:11" ht="15.5" x14ac:dyDescent="0.35">
      <c r="A1000" s="19" t="s">
        <v>95</v>
      </c>
      <c r="B1000" s="1"/>
      <c r="C1000" s="20"/>
      <c r="D1000" s="1"/>
      <c r="E1000" s="1"/>
      <c r="F1000" s="20"/>
      <c r="G1000" s="20"/>
      <c r="H1000" s="20" t="s">
        <v>192</v>
      </c>
      <c r="I1000" s="20"/>
      <c r="J1000" s="20"/>
      <c r="K1000" s="20"/>
    </row>
    <row r="1001" spans="1:11" ht="15.5" x14ac:dyDescent="0.35">
      <c r="A1001" s="3" t="s">
        <v>96</v>
      </c>
      <c r="B1001" s="1"/>
      <c r="C1001" s="20">
        <v>3000</v>
      </c>
      <c r="D1001" s="1"/>
      <c r="E1001" s="20"/>
      <c r="F1001" s="20">
        <f t="shared" ref="F1001:F1004" si="119">C1001*B1001</f>
        <v>0</v>
      </c>
      <c r="G1001" s="20"/>
      <c r="H1001" s="20"/>
      <c r="I1001" s="20"/>
      <c r="J1001" s="20"/>
      <c r="K1001" s="20"/>
    </row>
    <row r="1002" spans="1:11" ht="15.5" x14ac:dyDescent="0.35">
      <c r="A1002" s="3" t="s">
        <v>97</v>
      </c>
      <c r="B1002" s="1"/>
      <c r="C1002" s="20">
        <v>2500</v>
      </c>
      <c r="D1002" s="1"/>
      <c r="E1002" s="1"/>
      <c r="F1002" s="20">
        <f t="shared" si="119"/>
        <v>0</v>
      </c>
      <c r="G1002" s="20"/>
      <c r="H1002" s="20"/>
      <c r="I1002" s="20"/>
      <c r="J1002" s="20"/>
      <c r="K1002" s="20"/>
    </row>
    <row r="1003" spans="1:11" ht="15.5" x14ac:dyDescent="0.35">
      <c r="A1003" s="3" t="s">
        <v>98</v>
      </c>
      <c r="B1003" s="1"/>
      <c r="C1003" s="20">
        <v>1800</v>
      </c>
      <c r="D1003" s="1"/>
      <c r="E1003" s="1"/>
      <c r="F1003" s="20">
        <f t="shared" si="119"/>
        <v>0</v>
      </c>
      <c r="G1003" s="20"/>
      <c r="H1003" s="20"/>
      <c r="I1003" s="20"/>
      <c r="J1003" s="20"/>
      <c r="K1003" s="20"/>
    </row>
    <row r="1004" spans="1:11" ht="15.5" x14ac:dyDescent="0.35">
      <c r="A1004" s="3" t="s">
        <v>99</v>
      </c>
      <c r="B1004" s="1"/>
      <c r="C1004" s="20">
        <v>3500</v>
      </c>
      <c r="D1004" s="1"/>
      <c r="E1004" s="1"/>
      <c r="F1004" s="20">
        <f t="shared" si="119"/>
        <v>0</v>
      </c>
      <c r="G1004" s="20"/>
      <c r="H1004" s="20"/>
      <c r="I1004" s="20"/>
      <c r="J1004" s="20"/>
      <c r="K1004" s="20"/>
    </row>
    <row r="1005" spans="1:11" ht="15.5" x14ac:dyDescent="0.35">
      <c r="A1005" s="18"/>
      <c r="F1005" s="21"/>
    </row>
    <row r="1006" spans="1:11" ht="15.5" x14ac:dyDescent="0.35">
      <c r="A1006" s="24" t="s">
        <v>108</v>
      </c>
      <c r="K1006" s="21"/>
    </row>
    <row r="1007" spans="1:11" ht="15.5" x14ac:dyDescent="0.35">
      <c r="A1007" s="18" t="s">
        <v>114</v>
      </c>
      <c r="B1007" s="67">
        <v>40000</v>
      </c>
    </row>
    <row r="1008" spans="1:11" ht="15.5" x14ac:dyDescent="0.35">
      <c r="A1008" s="18" t="s">
        <v>112</v>
      </c>
      <c r="B1008" s="67">
        <v>40000</v>
      </c>
    </row>
    <row r="1009" spans="1:11" ht="15.5" x14ac:dyDescent="0.35">
      <c r="A1009" s="18" t="s">
        <v>309</v>
      </c>
      <c r="B1009" s="67">
        <v>60000</v>
      </c>
    </row>
    <row r="1010" spans="1:11" ht="15.5" x14ac:dyDescent="0.35">
      <c r="A1010" s="18" t="s">
        <v>110</v>
      </c>
      <c r="B1010" s="67">
        <v>40000</v>
      </c>
    </row>
    <row r="1011" spans="1:11" ht="15.5" x14ac:dyDescent="0.35">
      <c r="A1011" s="18" t="s">
        <v>111</v>
      </c>
      <c r="B1011" s="67">
        <v>40000</v>
      </c>
    </row>
    <row r="1012" spans="1:11" ht="15.5" x14ac:dyDescent="0.35">
      <c r="A1012" s="18" t="s">
        <v>196</v>
      </c>
      <c r="B1012" s="67">
        <v>40000</v>
      </c>
    </row>
    <row r="1013" spans="1:11" ht="15.5" x14ac:dyDescent="0.35">
      <c r="A1013" s="18" t="s">
        <v>113</v>
      </c>
      <c r="B1013" s="67">
        <v>40000</v>
      </c>
    </row>
    <row r="1014" spans="1:11" ht="15.5" x14ac:dyDescent="0.35">
      <c r="A1014" s="18" t="s">
        <v>209</v>
      </c>
      <c r="B1014" s="67">
        <v>40000</v>
      </c>
    </row>
    <row r="1015" spans="1:11" ht="15.5" x14ac:dyDescent="0.35">
      <c r="A1015" s="18" t="s">
        <v>115</v>
      </c>
      <c r="B1015" s="67">
        <v>60000</v>
      </c>
    </row>
    <row r="1016" spans="1:11" ht="15.5" x14ac:dyDescent="0.35">
      <c r="A1016" s="18" t="s">
        <v>109</v>
      </c>
      <c r="B1016" s="67">
        <v>40000</v>
      </c>
    </row>
    <row r="1017" spans="1:11" ht="15.5" x14ac:dyDescent="0.35">
      <c r="A1017" s="24" t="s">
        <v>4</v>
      </c>
      <c r="B1017" s="75">
        <f>SUM(B1007:B1016)</f>
        <v>440000</v>
      </c>
    </row>
    <row r="1018" spans="1:11" ht="15.5" x14ac:dyDescent="0.35">
      <c r="A1018" s="18" t="s">
        <v>115</v>
      </c>
      <c r="B1018">
        <v>53500</v>
      </c>
    </row>
    <row r="1019" spans="1:11" ht="15.5" x14ac:dyDescent="0.35">
      <c r="A1019" s="24" t="s">
        <v>4</v>
      </c>
      <c r="B1019" s="17">
        <f>SUM(B1007:B1018)</f>
        <v>933500</v>
      </c>
    </row>
    <row r="1022" spans="1:11" ht="18.5" x14ac:dyDescent="0.45">
      <c r="A1022" s="151" t="s">
        <v>1</v>
      </c>
      <c r="B1022" s="151"/>
      <c r="C1022" s="151"/>
      <c r="D1022" s="151"/>
      <c r="E1022" s="151"/>
      <c r="F1022" s="151"/>
      <c r="G1022" s="151"/>
      <c r="H1022" s="151"/>
      <c r="I1022" s="151"/>
      <c r="J1022" s="151"/>
      <c r="K1022" s="151"/>
    </row>
    <row r="1023" spans="1:11" ht="18.5" x14ac:dyDescent="0.45">
      <c r="A1023" s="150" t="s">
        <v>74</v>
      </c>
      <c r="B1023" s="150"/>
      <c r="C1023" s="150"/>
      <c r="D1023" s="150"/>
      <c r="E1023" s="150"/>
      <c r="F1023" s="150"/>
      <c r="G1023" s="150"/>
      <c r="H1023" s="150"/>
      <c r="I1023" s="150"/>
      <c r="J1023" s="150"/>
      <c r="K1023" s="150"/>
    </row>
    <row r="1024" spans="1:11" ht="18.5" x14ac:dyDescent="0.45">
      <c r="A1024" s="149" t="s">
        <v>360</v>
      </c>
      <c r="B1024" s="149"/>
      <c r="C1024" s="149"/>
      <c r="D1024" s="149"/>
      <c r="E1024" s="149"/>
      <c r="F1024" s="149"/>
      <c r="G1024" s="149"/>
      <c r="H1024" s="149"/>
      <c r="I1024" s="149"/>
      <c r="J1024" s="149"/>
      <c r="K1024" s="149"/>
    </row>
    <row r="1025" spans="1:11" ht="18.5" x14ac:dyDescent="0.45">
      <c r="A1025" s="150"/>
      <c r="B1025" s="150"/>
      <c r="C1025" s="150"/>
      <c r="D1025" s="150"/>
      <c r="E1025" s="150"/>
      <c r="F1025" s="150"/>
      <c r="G1025" s="150"/>
      <c r="H1025" s="150"/>
      <c r="I1025" s="150"/>
      <c r="J1025" s="150"/>
      <c r="K1025" s="150"/>
    </row>
    <row r="1026" spans="1:11" ht="18.5" x14ac:dyDescent="0.45">
      <c r="A1026" s="2" t="s">
        <v>75</v>
      </c>
      <c r="B1026" s="2" t="s">
        <v>3</v>
      </c>
      <c r="C1026" s="2" t="s">
        <v>100</v>
      </c>
      <c r="D1026" s="2" t="s">
        <v>90</v>
      </c>
      <c r="E1026" s="2" t="s">
        <v>91</v>
      </c>
      <c r="F1026" s="2" t="s">
        <v>4</v>
      </c>
      <c r="G1026" s="2" t="s">
        <v>101</v>
      </c>
      <c r="H1026" s="2" t="s">
        <v>104</v>
      </c>
      <c r="I1026" s="2"/>
      <c r="J1026" s="2" t="s">
        <v>105</v>
      </c>
      <c r="K1026" s="2" t="s">
        <v>106</v>
      </c>
    </row>
    <row r="1027" spans="1:11" ht="15.5" x14ac:dyDescent="0.35">
      <c r="A1027" s="3" t="s">
        <v>76</v>
      </c>
      <c r="B1027" s="1"/>
      <c r="C1027" s="20">
        <v>17500</v>
      </c>
      <c r="D1027" s="1"/>
      <c r="E1027" s="1"/>
      <c r="F1027" s="20">
        <f>C1027*B1027</f>
        <v>0</v>
      </c>
      <c r="G1027" s="20">
        <f>D1027*C1027</f>
        <v>0</v>
      </c>
      <c r="H1027" s="20">
        <f>E1027*C1027</f>
        <v>0</v>
      </c>
      <c r="I1027" s="20" t="b">
        <f>D1027+E1027=B1027</f>
        <v>1</v>
      </c>
      <c r="J1027" s="20">
        <f>B1062</f>
        <v>440000</v>
      </c>
      <c r="K1027" s="20"/>
    </row>
    <row r="1028" spans="1:11" ht="15.5" x14ac:dyDescent="0.35">
      <c r="A1028" s="3" t="s">
        <v>77</v>
      </c>
      <c r="B1028" s="1"/>
      <c r="C1028" s="20">
        <v>16000</v>
      </c>
      <c r="D1028" s="1"/>
      <c r="E1028" s="1"/>
      <c r="F1028" s="20">
        <f t="shared" ref="F1028:G1039" si="120">C1028*B1028</f>
        <v>0</v>
      </c>
      <c r="G1028" s="20">
        <f t="shared" si="120"/>
        <v>0</v>
      </c>
      <c r="H1028" s="20">
        <f t="shared" ref="H1028:H1043" si="121">E1028*C1028</f>
        <v>0</v>
      </c>
      <c r="I1028" s="20" t="b">
        <f t="shared" ref="I1028:I1043" si="122">D1028+E1028=B1028</f>
        <v>1</v>
      </c>
      <c r="J1028" s="20"/>
      <c r="K1028" s="20"/>
    </row>
    <row r="1029" spans="1:11" ht="15.5" x14ac:dyDescent="0.35">
      <c r="A1029" s="3" t="s">
        <v>78</v>
      </c>
      <c r="B1029" s="1"/>
      <c r="C1029" s="20">
        <v>17500</v>
      </c>
      <c r="D1029" s="1"/>
      <c r="E1029" s="1"/>
      <c r="F1029" s="20">
        <f t="shared" si="120"/>
        <v>0</v>
      </c>
      <c r="G1029" s="20">
        <f t="shared" si="120"/>
        <v>0</v>
      </c>
      <c r="H1029" s="20">
        <f t="shared" si="121"/>
        <v>0</v>
      </c>
      <c r="I1029" s="20" t="b">
        <f t="shared" si="122"/>
        <v>1</v>
      </c>
      <c r="J1029" s="20"/>
      <c r="K1029" s="20"/>
    </row>
    <row r="1030" spans="1:11" ht="15.5" x14ac:dyDescent="0.35">
      <c r="A1030" s="3" t="s">
        <v>79</v>
      </c>
      <c r="B1030" s="1"/>
      <c r="C1030" s="20">
        <v>18500</v>
      </c>
      <c r="D1030" s="1"/>
      <c r="E1030" s="1"/>
      <c r="F1030" s="20">
        <f t="shared" si="120"/>
        <v>0</v>
      </c>
      <c r="G1030" s="20">
        <f t="shared" si="120"/>
        <v>0</v>
      </c>
      <c r="H1030" s="20">
        <f t="shared" si="121"/>
        <v>0</v>
      </c>
      <c r="I1030" s="20" t="b">
        <f t="shared" si="122"/>
        <v>1</v>
      </c>
      <c r="J1030" s="20"/>
      <c r="K1030" s="20"/>
    </row>
    <row r="1031" spans="1:11" ht="15.5" x14ac:dyDescent="0.35">
      <c r="A1031" s="3" t="s">
        <v>80</v>
      </c>
      <c r="B1031" s="1"/>
      <c r="C1031" s="20">
        <v>18500</v>
      </c>
      <c r="D1031" s="1"/>
      <c r="E1031" s="1"/>
      <c r="F1031" s="20">
        <f t="shared" si="120"/>
        <v>0</v>
      </c>
      <c r="G1031" s="20">
        <f t="shared" si="120"/>
        <v>0</v>
      </c>
      <c r="H1031" s="20">
        <f t="shared" si="121"/>
        <v>0</v>
      </c>
      <c r="I1031" s="20" t="b">
        <f t="shared" si="122"/>
        <v>1</v>
      </c>
      <c r="J1031" s="20"/>
      <c r="K1031" s="20"/>
    </row>
    <row r="1032" spans="1:11" ht="15.5" x14ac:dyDescent="0.35">
      <c r="A1032" s="3" t="s">
        <v>81</v>
      </c>
      <c r="B1032" s="1"/>
      <c r="C1032" s="20">
        <v>23000</v>
      </c>
      <c r="D1032" s="1"/>
      <c r="E1032" s="1"/>
      <c r="F1032" s="20">
        <f t="shared" si="120"/>
        <v>0</v>
      </c>
      <c r="G1032" s="20">
        <f t="shared" si="120"/>
        <v>0</v>
      </c>
      <c r="H1032" s="20">
        <f t="shared" si="121"/>
        <v>0</v>
      </c>
      <c r="I1032" s="20" t="b">
        <f t="shared" si="122"/>
        <v>1</v>
      </c>
      <c r="J1032" s="20"/>
      <c r="K1032" s="20"/>
    </row>
    <row r="1033" spans="1:11" ht="15.5" x14ac:dyDescent="0.35">
      <c r="A1033" s="3" t="s">
        <v>82</v>
      </c>
      <c r="B1033" s="1"/>
      <c r="C1033" s="20">
        <v>18000</v>
      </c>
      <c r="D1033" s="1"/>
      <c r="E1033" s="1"/>
      <c r="F1033" s="20">
        <f t="shared" si="120"/>
        <v>0</v>
      </c>
      <c r="G1033" s="20">
        <f t="shared" si="120"/>
        <v>0</v>
      </c>
      <c r="H1033" s="20">
        <f t="shared" si="121"/>
        <v>0</v>
      </c>
      <c r="I1033" s="20" t="b">
        <f t="shared" si="122"/>
        <v>1</v>
      </c>
      <c r="J1033" s="20"/>
      <c r="K1033" s="20"/>
    </row>
    <row r="1034" spans="1:11" ht="15.5" x14ac:dyDescent="0.35">
      <c r="A1034" s="3" t="s">
        <v>83</v>
      </c>
      <c r="B1034" s="1"/>
      <c r="C1034" s="20">
        <v>18000</v>
      </c>
      <c r="D1034" s="1"/>
      <c r="E1034" s="1"/>
      <c r="F1034" s="20">
        <f t="shared" si="120"/>
        <v>0</v>
      </c>
      <c r="G1034" s="20">
        <f t="shared" si="120"/>
        <v>0</v>
      </c>
      <c r="H1034" s="20">
        <f t="shared" si="121"/>
        <v>0</v>
      </c>
      <c r="I1034" s="20" t="b">
        <f t="shared" si="122"/>
        <v>1</v>
      </c>
      <c r="J1034" s="20"/>
      <c r="K1034" s="20"/>
    </row>
    <row r="1035" spans="1:11" ht="15.5" x14ac:dyDescent="0.35">
      <c r="A1035" s="3" t="s">
        <v>84</v>
      </c>
      <c r="B1035" s="1"/>
      <c r="C1035" s="20">
        <v>18500</v>
      </c>
      <c r="D1035" s="1"/>
      <c r="E1035" s="1"/>
      <c r="F1035" s="20">
        <f t="shared" si="120"/>
        <v>0</v>
      </c>
      <c r="G1035" s="20">
        <f t="shared" si="120"/>
        <v>0</v>
      </c>
      <c r="H1035" s="20">
        <f t="shared" si="121"/>
        <v>0</v>
      </c>
      <c r="I1035" s="20" t="b">
        <f t="shared" si="122"/>
        <v>1</v>
      </c>
      <c r="J1035" s="20"/>
      <c r="K1035" s="20"/>
    </row>
    <row r="1036" spans="1:11" ht="15.5" x14ac:dyDescent="0.35">
      <c r="A1036" s="3" t="s">
        <v>85</v>
      </c>
      <c r="B1036" s="1"/>
      <c r="C1036" s="20">
        <v>18500</v>
      </c>
      <c r="D1036" s="1"/>
      <c r="E1036" s="1"/>
      <c r="F1036" s="20">
        <f t="shared" si="120"/>
        <v>0</v>
      </c>
      <c r="G1036" s="20">
        <f t="shared" si="120"/>
        <v>0</v>
      </c>
      <c r="H1036" s="20">
        <f t="shared" si="121"/>
        <v>0</v>
      </c>
      <c r="I1036" s="20" t="b">
        <f t="shared" si="122"/>
        <v>1</v>
      </c>
      <c r="J1036" s="20"/>
      <c r="K1036" s="20"/>
    </row>
    <row r="1037" spans="1:11" ht="15.5" x14ac:dyDescent="0.35">
      <c r="A1037" s="3" t="s">
        <v>86</v>
      </c>
      <c r="B1037" s="1"/>
      <c r="C1037" s="20">
        <v>18500</v>
      </c>
      <c r="D1037" s="1"/>
      <c r="E1037" s="1"/>
      <c r="F1037" s="20">
        <f t="shared" si="120"/>
        <v>0</v>
      </c>
      <c r="G1037" s="20">
        <f t="shared" si="120"/>
        <v>0</v>
      </c>
      <c r="H1037" s="20">
        <f t="shared" si="121"/>
        <v>0</v>
      </c>
      <c r="I1037" s="20" t="b">
        <f t="shared" si="122"/>
        <v>1</v>
      </c>
      <c r="J1037" s="20"/>
      <c r="K1037" s="20"/>
    </row>
    <row r="1038" spans="1:11" ht="15.5" x14ac:dyDescent="0.35">
      <c r="A1038" s="3" t="s">
        <v>87</v>
      </c>
      <c r="B1038" s="1"/>
      <c r="C1038" s="20">
        <v>18500</v>
      </c>
      <c r="D1038" s="1"/>
      <c r="E1038" s="1"/>
      <c r="F1038" s="20">
        <f t="shared" si="120"/>
        <v>0</v>
      </c>
      <c r="G1038" s="20">
        <f t="shared" si="120"/>
        <v>0</v>
      </c>
      <c r="H1038" s="20">
        <f t="shared" si="121"/>
        <v>0</v>
      </c>
      <c r="I1038" s="20" t="b">
        <f t="shared" si="122"/>
        <v>1</v>
      </c>
      <c r="J1038" s="20"/>
      <c r="K1038" s="20"/>
    </row>
    <row r="1039" spans="1:11" ht="15.5" x14ac:dyDescent="0.35">
      <c r="A1039" s="3" t="s">
        <v>88</v>
      </c>
      <c r="B1039" s="1"/>
      <c r="C1039" s="20">
        <v>18500</v>
      </c>
      <c r="D1039" s="1"/>
      <c r="E1039" s="1"/>
      <c r="F1039" s="20">
        <f t="shared" si="120"/>
        <v>0</v>
      </c>
      <c r="G1039" s="20">
        <f t="shared" si="120"/>
        <v>0</v>
      </c>
      <c r="H1039" s="20">
        <f t="shared" si="121"/>
        <v>0</v>
      </c>
      <c r="I1039" s="20" t="b">
        <f t="shared" si="122"/>
        <v>1</v>
      </c>
      <c r="J1039" s="20"/>
      <c r="K1039" s="20"/>
    </row>
    <row r="1040" spans="1:11" ht="15.5" x14ac:dyDescent="0.35">
      <c r="A1040" s="19" t="s">
        <v>89</v>
      </c>
      <c r="B1040" s="1"/>
      <c r="C1040" s="20"/>
      <c r="D1040" s="1"/>
      <c r="E1040" s="1"/>
      <c r="F1040" s="20"/>
      <c r="G1040" s="20"/>
      <c r="H1040" s="20">
        <f t="shared" si="121"/>
        <v>0</v>
      </c>
      <c r="I1040" s="20" t="b">
        <f t="shared" si="122"/>
        <v>1</v>
      </c>
      <c r="J1040" s="20"/>
      <c r="K1040" s="20"/>
    </row>
    <row r="1041" spans="1:11" ht="15.5" x14ac:dyDescent="0.35">
      <c r="A1041" s="3" t="s">
        <v>92</v>
      </c>
      <c r="B1041" s="1"/>
      <c r="C1041" s="20">
        <v>21500</v>
      </c>
      <c r="D1041" s="1"/>
      <c r="E1041" s="1"/>
      <c r="F1041" s="20">
        <f t="shared" ref="F1041:G1043" si="123">C1041*B1041</f>
        <v>0</v>
      </c>
      <c r="G1041" s="20">
        <f t="shared" si="123"/>
        <v>0</v>
      </c>
      <c r="H1041" s="20">
        <f t="shared" si="121"/>
        <v>0</v>
      </c>
      <c r="I1041" s="20" t="b">
        <f t="shared" si="122"/>
        <v>1</v>
      </c>
      <c r="J1041" s="20"/>
      <c r="K1041" s="20"/>
    </row>
    <row r="1042" spans="1:11" ht="15.5" x14ac:dyDescent="0.35">
      <c r="A1042" s="3" t="s">
        <v>93</v>
      </c>
      <c r="B1042" s="1"/>
      <c r="C1042" s="20">
        <v>21500</v>
      </c>
      <c r="D1042" s="1"/>
      <c r="E1042" s="1"/>
      <c r="F1042" s="20">
        <f t="shared" si="123"/>
        <v>0</v>
      </c>
      <c r="G1042" s="20">
        <f t="shared" si="123"/>
        <v>0</v>
      </c>
      <c r="H1042" s="20">
        <f t="shared" si="121"/>
        <v>0</v>
      </c>
      <c r="I1042" s="20" t="b">
        <f t="shared" si="122"/>
        <v>1</v>
      </c>
      <c r="J1042" s="20"/>
      <c r="K1042" s="20"/>
    </row>
    <row r="1043" spans="1:11" ht="15.5" x14ac:dyDescent="0.35">
      <c r="A1043" s="3" t="s">
        <v>94</v>
      </c>
      <c r="B1043" s="1"/>
      <c r="C1043" s="20">
        <v>21500</v>
      </c>
      <c r="D1043" s="1"/>
      <c r="E1043" s="1"/>
      <c r="F1043" s="20">
        <f t="shared" si="123"/>
        <v>0</v>
      </c>
      <c r="G1043" s="20">
        <f t="shared" si="123"/>
        <v>0</v>
      </c>
      <c r="H1043" s="20">
        <f t="shared" si="121"/>
        <v>0</v>
      </c>
      <c r="I1043" s="20" t="b">
        <f t="shared" si="122"/>
        <v>1</v>
      </c>
      <c r="J1043" s="20"/>
      <c r="K1043" s="20"/>
    </row>
    <row r="1044" spans="1:11" ht="15.5" x14ac:dyDescent="0.35">
      <c r="A1044" s="19"/>
      <c r="B1044" s="22">
        <f>SUM(B1027:B1043)</f>
        <v>0</v>
      </c>
      <c r="C1044" s="20"/>
      <c r="D1044" s="1"/>
      <c r="E1044" s="1"/>
      <c r="F1044" s="23">
        <f>SUM(F1027:F1043)</f>
        <v>0</v>
      </c>
      <c r="G1044" s="23">
        <f>SUM(G1027:G1043)</f>
        <v>0</v>
      </c>
      <c r="H1044" s="23">
        <f>SUM(H1027:H1043)</f>
        <v>0</v>
      </c>
      <c r="I1044" s="23"/>
      <c r="J1044" s="23">
        <f>SUM(J1027:J1043)</f>
        <v>440000</v>
      </c>
      <c r="K1044" s="23">
        <f>H1044-J1044</f>
        <v>-440000</v>
      </c>
    </row>
    <row r="1045" spans="1:11" ht="15.5" x14ac:dyDescent="0.35">
      <c r="A1045" s="19" t="s">
        <v>95</v>
      </c>
      <c r="B1045" s="1"/>
      <c r="C1045" s="20"/>
      <c r="D1045" s="1"/>
      <c r="E1045" s="1"/>
      <c r="F1045" s="20"/>
      <c r="G1045" s="20"/>
      <c r="H1045" s="20" t="s">
        <v>192</v>
      </c>
      <c r="I1045" s="20"/>
      <c r="J1045" s="20"/>
      <c r="K1045" s="20"/>
    </row>
    <row r="1046" spans="1:11" ht="15.5" x14ac:dyDescent="0.35">
      <c r="A1046" s="3" t="s">
        <v>96</v>
      </c>
      <c r="B1046" s="1"/>
      <c r="C1046" s="20">
        <v>3000</v>
      </c>
      <c r="D1046" s="1"/>
      <c r="E1046" s="20"/>
      <c r="F1046" s="20">
        <f t="shared" ref="F1046:F1049" si="124">C1046*B1046</f>
        <v>0</v>
      </c>
      <c r="G1046" s="20"/>
      <c r="H1046" s="20"/>
      <c r="I1046" s="20"/>
      <c r="J1046" s="20"/>
      <c r="K1046" s="20"/>
    </row>
    <row r="1047" spans="1:11" ht="15.5" x14ac:dyDescent="0.35">
      <c r="A1047" s="3" t="s">
        <v>97</v>
      </c>
      <c r="B1047" s="1"/>
      <c r="C1047" s="20">
        <v>2500</v>
      </c>
      <c r="D1047" s="1"/>
      <c r="E1047" s="1"/>
      <c r="F1047" s="20">
        <f t="shared" si="124"/>
        <v>0</v>
      </c>
      <c r="G1047" s="20"/>
      <c r="H1047" s="20"/>
      <c r="I1047" s="20"/>
      <c r="J1047" s="20"/>
      <c r="K1047" s="20"/>
    </row>
    <row r="1048" spans="1:11" ht="15.5" x14ac:dyDescent="0.35">
      <c r="A1048" s="3" t="s">
        <v>98</v>
      </c>
      <c r="B1048" s="1"/>
      <c r="C1048" s="20">
        <v>1800</v>
      </c>
      <c r="D1048" s="1"/>
      <c r="E1048" s="1"/>
      <c r="F1048" s="20">
        <f t="shared" si="124"/>
        <v>0</v>
      </c>
      <c r="G1048" s="20"/>
      <c r="H1048" s="20"/>
      <c r="I1048" s="20"/>
      <c r="J1048" s="20"/>
      <c r="K1048" s="20"/>
    </row>
    <row r="1049" spans="1:11" ht="15.5" x14ac:dyDescent="0.35">
      <c r="A1049" s="3" t="s">
        <v>99</v>
      </c>
      <c r="B1049" s="1"/>
      <c r="C1049" s="20">
        <v>3500</v>
      </c>
      <c r="D1049" s="1"/>
      <c r="E1049" s="1"/>
      <c r="F1049" s="20">
        <f t="shared" si="124"/>
        <v>0</v>
      </c>
      <c r="G1049" s="20"/>
      <c r="H1049" s="20"/>
      <c r="I1049" s="20"/>
      <c r="J1049" s="20"/>
      <c r="K1049" s="20"/>
    </row>
    <row r="1050" spans="1:11" ht="15.5" x14ac:dyDescent="0.35">
      <c r="A1050" s="18"/>
      <c r="F1050" s="21"/>
    </row>
    <row r="1051" spans="1:11" ht="15.5" x14ac:dyDescent="0.35">
      <c r="A1051" s="24" t="s">
        <v>108</v>
      </c>
      <c r="K1051" s="21"/>
    </row>
    <row r="1052" spans="1:11" ht="15.5" x14ac:dyDescent="0.35">
      <c r="A1052" s="18" t="s">
        <v>114</v>
      </c>
      <c r="B1052" s="67">
        <v>40000</v>
      </c>
    </row>
    <row r="1053" spans="1:11" ht="15.5" x14ac:dyDescent="0.35">
      <c r="A1053" s="18" t="s">
        <v>112</v>
      </c>
      <c r="B1053" s="67">
        <v>40000</v>
      </c>
    </row>
    <row r="1054" spans="1:11" ht="15.5" x14ac:dyDescent="0.35">
      <c r="A1054" s="18" t="s">
        <v>309</v>
      </c>
      <c r="B1054" s="67">
        <v>60000</v>
      </c>
    </row>
    <row r="1055" spans="1:11" ht="15.5" x14ac:dyDescent="0.35">
      <c r="A1055" s="18" t="s">
        <v>110</v>
      </c>
      <c r="B1055" s="67">
        <v>40000</v>
      </c>
    </row>
    <row r="1056" spans="1:11" ht="15.5" x14ac:dyDescent="0.35">
      <c r="A1056" s="18" t="s">
        <v>111</v>
      </c>
      <c r="B1056" s="67">
        <v>40000</v>
      </c>
    </row>
    <row r="1057" spans="1:11" ht="15.5" x14ac:dyDescent="0.35">
      <c r="A1057" s="18" t="s">
        <v>196</v>
      </c>
      <c r="B1057" s="67">
        <v>40000</v>
      </c>
    </row>
    <row r="1058" spans="1:11" ht="15.5" x14ac:dyDescent="0.35">
      <c r="A1058" s="18" t="s">
        <v>113</v>
      </c>
      <c r="B1058" s="67">
        <v>40000</v>
      </c>
    </row>
    <row r="1059" spans="1:11" ht="15.5" x14ac:dyDescent="0.35">
      <c r="A1059" s="18" t="s">
        <v>209</v>
      </c>
      <c r="B1059" s="67">
        <v>40000</v>
      </c>
    </row>
    <row r="1060" spans="1:11" ht="15.5" x14ac:dyDescent="0.35">
      <c r="A1060" s="18" t="s">
        <v>115</v>
      </c>
      <c r="B1060" s="67">
        <v>60000</v>
      </c>
    </row>
    <row r="1061" spans="1:11" ht="15.5" x14ac:dyDescent="0.35">
      <c r="A1061" s="18" t="s">
        <v>109</v>
      </c>
      <c r="B1061" s="67">
        <v>40000</v>
      </c>
    </row>
    <row r="1062" spans="1:11" ht="15.5" x14ac:dyDescent="0.35">
      <c r="A1062" s="24" t="s">
        <v>4</v>
      </c>
      <c r="B1062" s="75">
        <f>SUM(B1052:B1061)</f>
        <v>440000</v>
      </c>
    </row>
    <row r="1063" spans="1:11" ht="15.5" x14ac:dyDescent="0.35">
      <c r="A1063" s="24"/>
      <c r="B1063" s="75"/>
    </row>
    <row r="1064" spans="1:11" ht="15.5" x14ac:dyDescent="0.35">
      <c r="A1064" s="24"/>
      <c r="B1064" s="75"/>
    </row>
    <row r="1065" spans="1:11" ht="18.5" x14ac:dyDescent="0.45">
      <c r="A1065" s="151" t="s">
        <v>1</v>
      </c>
      <c r="B1065" s="151"/>
      <c r="C1065" s="151"/>
      <c r="D1065" s="151"/>
      <c r="E1065" s="151"/>
      <c r="F1065" s="151"/>
      <c r="G1065" s="151"/>
      <c r="H1065" s="151"/>
      <c r="I1065" s="151"/>
      <c r="J1065" s="151"/>
      <c r="K1065" s="151"/>
    </row>
    <row r="1066" spans="1:11" ht="18.5" x14ac:dyDescent="0.45">
      <c r="A1066" s="150" t="s">
        <v>74</v>
      </c>
      <c r="B1066" s="150"/>
      <c r="C1066" s="150"/>
      <c r="D1066" s="150"/>
      <c r="E1066" s="150"/>
      <c r="F1066" s="150"/>
      <c r="G1066" s="150"/>
      <c r="H1066" s="150"/>
      <c r="I1066" s="150"/>
      <c r="J1066" s="150"/>
      <c r="K1066" s="150"/>
    </row>
    <row r="1067" spans="1:11" ht="18.5" x14ac:dyDescent="0.45">
      <c r="A1067" s="149" t="s">
        <v>360</v>
      </c>
      <c r="B1067" s="149"/>
      <c r="C1067" s="149"/>
      <c r="D1067" s="149"/>
      <c r="E1067" s="149"/>
      <c r="F1067" s="149"/>
      <c r="G1067" s="149"/>
      <c r="H1067" s="149"/>
      <c r="I1067" s="149"/>
      <c r="J1067" s="149"/>
      <c r="K1067" s="149"/>
    </row>
    <row r="1068" spans="1:11" ht="18.5" x14ac:dyDescent="0.45">
      <c r="A1068" s="150"/>
      <c r="B1068" s="150"/>
      <c r="C1068" s="150"/>
      <c r="D1068" s="150"/>
      <c r="E1068" s="150"/>
      <c r="F1068" s="150"/>
      <c r="G1068" s="150"/>
      <c r="H1068" s="150"/>
      <c r="I1068" s="150"/>
      <c r="J1068" s="150"/>
      <c r="K1068" s="150"/>
    </row>
    <row r="1069" spans="1:11" ht="18.5" x14ac:dyDescent="0.45">
      <c r="A1069" s="2" t="s">
        <v>75</v>
      </c>
      <c r="B1069" s="2" t="s">
        <v>3</v>
      </c>
      <c r="C1069" s="2" t="s">
        <v>100</v>
      </c>
      <c r="D1069" s="2" t="s">
        <v>90</v>
      </c>
      <c r="E1069" s="2" t="s">
        <v>91</v>
      </c>
      <c r="F1069" s="2" t="s">
        <v>4</v>
      </c>
      <c r="G1069" s="2" t="s">
        <v>101</v>
      </c>
      <c r="H1069" s="2" t="s">
        <v>104</v>
      </c>
      <c r="I1069" s="2"/>
      <c r="J1069" s="2" t="s">
        <v>105</v>
      </c>
      <c r="K1069" s="2" t="s">
        <v>106</v>
      </c>
    </row>
    <row r="1070" spans="1:11" ht="15.5" x14ac:dyDescent="0.35">
      <c r="A1070" s="3" t="s">
        <v>76</v>
      </c>
      <c r="B1070" s="1"/>
      <c r="C1070" s="20">
        <v>17500</v>
      </c>
      <c r="D1070" s="1"/>
      <c r="E1070" s="1"/>
      <c r="F1070" s="20">
        <f>C1070*B1070</f>
        <v>0</v>
      </c>
      <c r="G1070" s="20">
        <f>D1070*C1070</f>
        <v>0</v>
      </c>
      <c r="H1070" s="20">
        <f>E1070*C1070</f>
        <v>0</v>
      </c>
      <c r="I1070" s="20" t="b">
        <f>D1070+E1070=B1070</f>
        <v>1</v>
      </c>
      <c r="J1070" s="20">
        <f>B1105</f>
        <v>440000</v>
      </c>
      <c r="K1070" s="20"/>
    </row>
    <row r="1071" spans="1:11" ht="15.5" x14ac:dyDescent="0.35">
      <c r="A1071" s="3" t="s">
        <v>77</v>
      </c>
      <c r="B1071" s="1"/>
      <c r="C1071" s="20">
        <v>16000</v>
      </c>
      <c r="D1071" s="1"/>
      <c r="E1071" s="1"/>
      <c r="F1071" s="20">
        <f t="shared" ref="F1071:G1082" si="125">C1071*B1071</f>
        <v>0</v>
      </c>
      <c r="G1071" s="20">
        <f t="shared" si="125"/>
        <v>0</v>
      </c>
      <c r="H1071" s="20">
        <f t="shared" ref="H1071:H1086" si="126">E1071*C1071</f>
        <v>0</v>
      </c>
      <c r="I1071" s="20" t="b">
        <f t="shared" ref="I1071:I1086" si="127">D1071+E1071=B1071</f>
        <v>1</v>
      </c>
      <c r="J1071" s="20"/>
      <c r="K1071" s="20"/>
    </row>
    <row r="1072" spans="1:11" ht="15.5" x14ac:dyDescent="0.35">
      <c r="A1072" s="3" t="s">
        <v>78</v>
      </c>
      <c r="B1072" s="1"/>
      <c r="C1072" s="20">
        <v>17500</v>
      </c>
      <c r="D1072" s="1"/>
      <c r="E1072" s="1"/>
      <c r="F1072" s="20">
        <f t="shared" si="125"/>
        <v>0</v>
      </c>
      <c r="G1072" s="20">
        <f t="shared" si="125"/>
        <v>0</v>
      </c>
      <c r="H1072" s="20">
        <f t="shared" si="126"/>
        <v>0</v>
      </c>
      <c r="I1072" s="20" t="b">
        <f t="shared" si="127"/>
        <v>1</v>
      </c>
      <c r="J1072" s="20"/>
      <c r="K1072" s="20"/>
    </row>
    <row r="1073" spans="1:11" ht="15.5" x14ac:dyDescent="0.35">
      <c r="A1073" s="3" t="s">
        <v>79</v>
      </c>
      <c r="B1073" s="1"/>
      <c r="C1073" s="20">
        <v>18500</v>
      </c>
      <c r="D1073" s="1"/>
      <c r="E1073" s="1"/>
      <c r="F1073" s="20">
        <f t="shared" si="125"/>
        <v>0</v>
      </c>
      <c r="G1073" s="20">
        <f t="shared" si="125"/>
        <v>0</v>
      </c>
      <c r="H1073" s="20">
        <f t="shared" si="126"/>
        <v>0</v>
      </c>
      <c r="I1073" s="20" t="b">
        <f t="shared" si="127"/>
        <v>1</v>
      </c>
      <c r="J1073" s="20"/>
      <c r="K1073" s="20"/>
    </row>
    <row r="1074" spans="1:11" ht="15.5" x14ac:dyDescent="0.35">
      <c r="A1074" s="3" t="s">
        <v>80</v>
      </c>
      <c r="B1074" s="1"/>
      <c r="C1074" s="20">
        <v>18500</v>
      </c>
      <c r="D1074" s="1"/>
      <c r="E1074" s="1"/>
      <c r="F1074" s="20">
        <f t="shared" si="125"/>
        <v>0</v>
      </c>
      <c r="G1074" s="20">
        <f t="shared" si="125"/>
        <v>0</v>
      </c>
      <c r="H1074" s="20">
        <f t="shared" si="126"/>
        <v>0</v>
      </c>
      <c r="I1074" s="20" t="b">
        <f t="shared" si="127"/>
        <v>1</v>
      </c>
      <c r="J1074" s="20"/>
      <c r="K1074" s="20"/>
    </row>
    <row r="1075" spans="1:11" ht="15.5" x14ac:dyDescent="0.35">
      <c r="A1075" s="3" t="s">
        <v>81</v>
      </c>
      <c r="B1075" s="1"/>
      <c r="C1075" s="20">
        <v>23000</v>
      </c>
      <c r="D1075" s="1"/>
      <c r="E1075" s="1"/>
      <c r="F1075" s="20">
        <f t="shared" si="125"/>
        <v>0</v>
      </c>
      <c r="G1075" s="20">
        <f t="shared" si="125"/>
        <v>0</v>
      </c>
      <c r="H1075" s="20">
        <f t="shared" si="126"/>
        <v>0</v>
      </c>
      <c r="I1075" s="20" t="b">
        <f t="shared" si="127"/>
        <v>1</v>
      </c>
      <c r="J1075" s="20"/>
      <c r="K1075" s="20"/>
    </row>
    <row r="1076" spans="1:11" ht="15.5" x14ac:dyDescent="0.35">
      <c r="A1076" s="3" t="s">
        <v>82</v>
      </c>
      <c r="B1076" s="1"/>
      <c r="C1076" s="20">
        <v>18000</v>
      </c>
      <c r="D1076" s="1"/>
      <c r="E1076" s="1"/>
      <c r="F1076" s="20">
        <f t="shared" si="125"/>
        <v>0</v>
      </c>
      <c r="G1076" s="20">
        <f t="shared" si="125"/>
        <v>0</v>
      </c>
      <c r="H1076" s="20">
        <f t="shared" si="126"/>
        <v>0</v>
      </c>
      <c r="I1076" s="20" t="b">
        <f t="shared" si="127"/>
        <v>1</v>
      </c>
      <c r="J1076" s="20"/>
      <c r="K1076" s="20"/>
    </row>
    <row r="1077" spans="1:11" ht="15.5" x14ac:dyDescent="0.35">
      <c r="A1077" s="3" t="s">
        <v>83</v>
      </c>
      <c r="B1077" s="1"/>
      <c r="C1077" s="20">
        <v>18000</v>
      </c>
      <c r="D1077" s="1"/>
      <c r="E1077" s="1"/>
      <c r="F1077" s="20">
        <f t="shared" si="125"/>
        <v>0</v>
      </c>
      <c r="G1077" s="20">
        <f t="shared" si="125"/>
        <v>0</v>
      </c>
      <c r="H1077" s="20">
        <f t="shared" si="126"/>
        <v>0</v>
      </c>
      <c r="I1077" s="20" t="b">
        <f t="shared" si="127"/>
        <v>1</v>
      </c>
      <c r="J1077" s="20"/>
      <c r="K1077" s="20"/>
    </row>
    <row r="1078" spans="1:11" ht="15.5" x14ac:dyDescent="0.35">
      <c r="A1078" s="3" t="s">
        <v>84</v>
      </c>
      <c r="B1078" s="1"/>
      <c r="C1078" s="20">
        <v>18500</v>
      </c>
      <c r="D1078" s="1"/>
      <c r="E1078" s="1"/>
      <c r="F1078" s="20">
        <f t="shared" si="125"/>
        <v>0</v>
      </c>
      <c r="G1078" s="20">
        <f t="shared" si="125"/>
        <v>0</v>
      </c>
      <c r="H1078" s="20">
        <f t="shared" si="126"/>
        <v>0</v>
      </c>
      <c r="I1078" s="20" t="b">
        <f t="shared" si="127"/>
        <v>1</v>
      </c>
      <c r="J1078" s="20"/>
      <c r="K1078" s="20"/>
    </row>
    <row r="1079" spans="1:11" ht="15.5" x14ac:dyDescent="0.35">
      <c r="A1079" s="3" t="s">
        <v>85</v>
      </c>
      <c r="B1079" s="1"/>
      <c r="C1079" s="20">
        <v>18500</v>
      </c>
      <c r="D1079" s="1"/>
      <c r="E1079" s="1"/>
      <c r="F1079" s="20">
        <f t="shared" si="125"/>
        <v>0</v>
      </c>
      <c r="G1079" s="20">
        <f t="shared" si="125"/>
        <v>0</v>
      </c>
      <c r="H1079" s="20">
        <f t="shared" si="126"/>
        <v>0</v>
      </c>
      <c r="I1079" s="20" t="b">
        <f t="shared" si="127"/>
        <v>1</v>
      </c>
      <c r="J1079" s="20"/>
      <c r="K1079" s="20"/>
    </row>
    <row r="1080" spans="1:11" ht="15.5" x14ac:dyDescent="0.35">
      <c r="A1080" s="3" t="s">
        <v>86</v>
      </c>
      <c r="B1080" s="1"/>
      <c r="C1080" s="20">
        <v>18500</v>
      </c>
      <c r="D1080" s="1"/>
      <c r="E1080" s="1"/>
      <c r="F1080" s="20">
        <f t="shared" si="125"/>
        <v>0</v>
      </c>
      <c r="G1080" s="20">
        <f t="shared" si="125"/>
        <v>0</v>
      </c>
      <c r="H1080" s="20">
        <f t="shared" si="126"/>
        <v>0</v>
      </c>
      <c r="I1080" s="20" t="b">
        <f t="shared" si="127"/>
        <v>1</v>
      </c>
      <c r="J1080" s="20"/>
      <c r="K1080" s="20"/>
    </row>
    <row r="1081" spans="1:11" ht="15.5" x14ac:dyDescent="0.35">
      <c r="A1081" s="3" t="s">
        <v>87</v>
      </c>
      <c r="B1081" s="1"/>
      <c r="C1081" s="20">
        <v>18500</v>
      </c>
      <c r="D1081" s="1"/>
      <c r="E1081" s="1"/>
      <c r="F1081" s="20">
        <f t="shared" si="125"/>
        <v>0</v>
      </c>
      <c r="G1081" s="20">
        <f t="shared" si="125"/>
        <v>0</v>
      </c>
      <c r="H1081" s="20">
        <f t="shared" si="126"/>
        <v>0</v>
      </c>
      <c r="I1081" s="20" t="b">
        <f t="shared" si="127"/>
        <v>1</v>
      </c>
      <c r="J1081" s="20"/>
      <c r="K1081" s="20"/>
    </row>
    <row r="1082" spans="1:11" ht="15.5" x14ac:dyDescent="0.35">
      <c r="A1082" s="3" t="s">
        <v>88</v>
      </c>
      <c r="B1082" s="1"/>
      <c r="C1082" s="20">
        <v>18500</v>
      </c>
      <c r="D1082" s="1"/>
      <c r="E1082" s="1"/>
      <c r="F1082" s="20">
        <f t="shared" si="125"/>
        <v>0</v>
      </c>
      <c r="G1082" s="20">
        <f t="shared" si="125"/>
        <v>0</v>
      </c>
      <c r="H1082" s="20">
        <f t="shared" si="126"/>
        <v>0</v>
      </c>
      <c r="I1082" s="20" t="b">
        <f t="shared" si="127"/>
        <v>1</v>
      </c>
      <c r="J1082" s="20"/>
      <c r="K1082" s="20"/>
    </row>
    <row r="1083" spans="1:11" ht="15.5" x14ac:dyDescent="0.35">
      <c r="A1083" s="19" t="s">
        <v>89</v>
      </c>
      <c r="B1083" s="1"/>
      <c r="C1083" s="20"/>
      <c r="D1083" s="1"/>
      <c r="E1083" s="1"/>
      <c r="F1083" s="20"/>
      <c r="G1083" s="20"/>
      <c r="H1083" s="20">
        <f t="shared" si="126"/>
        <v>0</v>
      </c>
      <c r="I1083" s="20" t="b">
        <f t="shared" si="127"/>
        <v>1</v>
      </c>
      <c r="J1083" s="20"/>
      <c r="K1083" s="20"/>
    </row>
    <row r="1084" spans="1:11" ht="15.5" x14ac:dyDescent="0.35">
      <c r="A1084" s="3" t="s">
        <v>92</v>
      </c>
      <c r="B1084" s="1"/>
      <c r="C1084" s="20">
        <v>21500</v>
      </c>
      <c r="D1084" s="1"/>
      <c r="E1084" s="1"/>
      <c r="F1084" s="20">
        <f t="shared" ref="F1084:G1086" si="128">C1084*B1084</f>
        <v>0</v>
      </c>
      <c r="G1084" s="20">
        <f t="shared" si="128"/>
        <v>0</v>
      </c>
      <c r="H1084" s="20">
        <f t="shared" si="126"/>
        <v>0</v>
      </c>
      <c r="I1084" s="20" t="b">
        <f t="shared" si="127"/>
        <v>1</v>
      </c>
      <c r="J1084" s="20"/>
      <c r="K1084" s="20"/>
    </row>
    <row r="1085" spans="1:11" ht="15.5" x14ac:dyDescent="0.35">
      <c r="A1085" s="3" t="s">
        <v>93</v>
      </c>
      <c r="B1085" s="1"/>
      <c r="C1085" s="20">
        <v>21500</v>
      </c>
      <c r="D1085" s="1"/>
      <c r="E1085" s="1"/>
      <c r="F1085" s="20">
        <f t="shared" si="128"/>
        <v>0</v>
      </c>
      <c r="G1085" s="20">
        <f t="shared" si="128"/>
        <v>0</v>
      </c>
      <c r="H1085" s="20">
        <f t="shared" si="126"/>
        <v>0</v>
      </c>
      <c r="I1085" s="20" t="b">
        <f t="shared" si="127"/>
        <v>1</v>
      </c>
      <c r="J1085" s="20"/>
      <c r="K1085" s="20"/>
    </row>
    <row r="1086" spans="1:11" ht="15.5" x14ac:dyDescent="0.35">
      <c r="A1086" s="3" t="s">
        <v>94</v>
      </c>
      <c r="B1086" s="1"/>
      <c r="C1086" s="20">
        <v>21500</v>
      </c>
      <c r="D1086" s="1"/>
      <c r="E1086" s="1"/>
      <c r="F1086" s="20">
        <f t="shared" si="128"/>
        <v>0</v>
      </c>
      <c r="G1086" s="20">
        <f t="shared" si="128"/>
        <v>0</v>
      </c>
      <c r="H1086" s="20">
        <f t="shared" si="126"/>
        <v>0</v>
      </c>
      <c r="I1086" s="20" t="b">
        <f t="shared" si="127"/>
        <v>1</v>
      </c>
      <c r="J1086" s="20"/>
      <c r="K1086" s="20"/>
    </row>
    <row r="1087" spans="1:11" ht="15.5" x14ac:dyDescent="0.35">
      <c r="A1087" s="19"/>
      <c r="B1087" s="22">
        <f>SUM(B1070:B1086)</f>
        <v>0</v>
      </c>
      <c r="C1087" s="20"/>
      <c r="D1087" s="1"/>
      <c r="E1087" s="1"/>
      <c r="F1087" s="23">
        <f>SUM(F1070:F1086)</f>
        <v>0</v>
      </c>
      <c r="G1087" s="23">
        <f>SUM(G1070:G1086)</f>
        <v>0</v>
      </c>
      <c r="H1087" s="23">
        <f>SUM(H1070:H1086)</f>
        <v>0</v>
      </c>
      <c r="I1087" s="23"/>
      <c r="J1087" s="23">
        <f>SUM(J1070:J1086)</f>
        <v>440000</v>
      </c>
      <c r="K1087" s="23">
        <f>H1087-J1087</f>
        <v>-440000</v>
      </c>
    </row>
    <row r="1088" spans="1:11" ht="15.5" x14ac:dyDescent="0.35">
      <c r="A1088" s="19" t="s">
        <v>95</v>
      </c>
      <c r="B1088" s="1"/>
      <c r="C1088" s="20"/>
      <c r="D1088" s="1"/>
      <c r="E1088" s="1"/>
      <c r="F1088" s="20"/>
      <c r="G1088" s="20"/>
      <c r="H1088" s="20" t="s">
        <v>192</v>
      </c>
      <c r="I1088" s="20"/>
      <c r="J1088" s="20"/>
      <c r="K1088" s="20"/>
    </row>
    <row r="1089" spans="1:11" ht="15.5" x14ac:dyDescent="0.35">
      <c r="A1089" s="3" t="s">
        <v>96</v>
      </c>
      <c r="B1089" s="1"/>
      <c r="C1089" s="20">
        <v>3000</v>
      </c>
      <c r="D1089" s="1"/>
      <c r="E1089" s="20"/>
      <c r="F1089" s="20">
        <f t="shared" ref="F1089:F1092" si="129">C1089*B1089</f>
        <v>0</v>
      </c>
      <c r="G1089" s="20"/>
      <c r="H1089" s="20"/>
      <c r="I1089" s="20"/>
      <c r="J1089" s="20"/>
      <c r="K1089" s="20"/>
    </row>
    <row r="1090" spans="1:11" ht="15.5" x14ac:dyDescent="0.35">
      <c r="A1090" s="3" t="s">
        <v>97</v>
      </c>
      <c r="B1090" s="1"/>
      <c r="C1090" s="20">
        <v>2500</v>
      </c>
      <c r="D1090" s="1"/>
      <c r="E1090" s="1"/>
      <c r="F1090" s="20">
        <f t="shared" si="129"/>
        <v>0</v>
      </c>
      <c r="G1090" s="20"/>
      <c r="H1090" s="20"/>
      <c r="I1090" s="20"/>
      <c r="J1090" s="20"/>
      <c r="K1090" s="20"/>
    </row>
    <row r="1091" spans="1:11" ht="15.5" x14ac:dyDescent="0.35">
      <c r="A1091" s="3" t="s">
        <v>98</v>
      </c>
      <c r="B1091" s="1"/>
      <c r="C1091" s="20">
        <v>1800</v>
      </c>
      <c r="D1091" s="1"/>
      <c r="E1091" s="1"/>
      <c r="F1091" s="20">
        <f t="shared" si="129"/>
        <v>0</v>
      </c>
      <c r="G1091" s="20"/>
      <c r="H1091" s="20"/>
      <c r="I1091" s="20"/>
      <c r="J1091" s="20"/>
      <c r="K1091" s="20"/>
    </row>
    <row r="1092" spans="1:11" ht="15.5" x14ac:dyDescent="0.35">
      <c r="A1092" s="3" t="s">
        <v>99</v>
      </c>
      <c r="B1092" s="1"/>
      <c r="C1092" s="20">
        <v>3500</v>
      </c>
      <c r="D1092" s="1"/>
      <c r="E1092" s="1"/>
      <c r="F1092" s="20">
        <f t="shared" si="129"/>
        <v>0</v>
      </c>
      <c r="G1092" s="20"/>
      <c r="H1092" s="20"/>
      <c r="I1092" s="20"/>
      <c r="J1092" s="20"/>
      <c r="K1092" s="20"/>
    </row>
    <row r="1093" spans="1:11" ht="15.5" x14ac:dyDescent="0.35">
      <c r="A1093" s="18"/>
      <c r="F1093" s="21"/>
    </row>
    <row r="1094" spans="1:11" ht="15.5" x14ac:dyDescent="0.35">
      <c r="A1094" s="24" t="s">
        <v>108</v>
      </c>
      <c r="K1094" s="21"/>
    </row>
    <row r="1095" spans="1:11" ht="15.5" x14ac:dyDescent="0.35">
      <c r="A1095" s="18" t="s">
        <v>114</v>
      </c>
      <c r="B1095" s="67">
        <v>40000</v>
      </c>
    </row>
    <row r="1096" spans="1:11" ht="15.5" x14ac:dyDescent="0.35">
      <c r="A1096" s="18" t="s">
        <v>112</v>
      </c>
      <c r="B1096" s="67">
        <v>40000</v>
      </c>
    </row>
    <row r="1097" spans="1:11" ht="15.5" x14ac:dyDescent="0.35">
      <c r="A1097" s="18" t="s">
        <v>309</v>
      </c>
      <c r="B1097" s="67">
        <v>60000</v>
      </c>
    </row>
    <row r="1098" spans="1:11" ht="15.5" x14ac:dyDescent="0.35">
      <c r="A1098" s="18" t="s">
        <v>110</v>
      </c>
      <c r="B1098" s="67">
        <v>40000</v>
      </c>
    </row>
    <row r="1099" spans="1:11" ht="15.5" x14ac:dyDescent="0.35">
      <c r="A1099" s="18" t="s">
        <v>111</v>
      </c>
      <c r="B1099" s="67">
        <v>40000</v>
      </c>
    </row>
    <row r="1100" spans="1:11" ht="15.5" x14ac:dyDescent="0.35">
      <c r="A1100" s="18" t="s">
        <v>196</v>
      </c>
      <c r="B1100" s="67">
        <v>40000</v>
      </c>
    </row>
    <row r="1101" spans="1:11" ht="15.5" x14ac:dyDescent="0.35">
      <c r="A1101" s="18" t="s">
        <v>113</v>
      </c>
      <c r="B1101" s="67">
        <v>40000</v>
      </c>
    </row>
    <row r="1102" spans="1:11" ht="15.5" x14ac:dyDescent="0.35">
      <c r="A1102" s="18" t="s">
        <v>209</v>
      </c>
      <c r="B1102" s="67">
        <v>40000</v>
      </c>
    </row>
    <row r="1103" spans="1:11" ht="15.5" x14ac:dyDescent="0.35">
      <c r="A1103" s="18" t="s">
        <v>115</v>
      </c>
      <c r="B1103" s="67">
        <v>60000</v>
      </c>
    </row>
    <row r="1104" spans="1:11" ht="15.5" x14ac:dyDescent="0.35">
      <c r="A1104" s="18" t="s">
        <v>109</v>
      </c>
      <c r="B1104" s="67">
        <v>40000</v>
      </c>
    </row>
    <row r="1105" spans="1:11" ht="15.5" x14ac:dyDescent="0.35">
      <c r="A1105" s="24" t="s">
        <v>4</v>
      </c>
      <c r="B1105" s="75">
        <f>SUM(B1095:B1104)</f>
        <v>440000</v>
      </c>
    </row>
    <row r="1115" spans="1:11" ht="15.5" x14ac:dyDescent="0.35">
      <c r="A1115" s="3" t="s">
        <v>86</v>
      </c>
      <c r="B1115" s="1"/>
      <c r="C1115" s="20">
        <v>16400</v>
      </c>
      <c r="D1115" s="1"/>
      <c r="E1115" s="1"/>
      <c r="F1115" s="20">
        <f t="shared" ref="F1115:F1117" si="130">C1115*B1115</f>
        <v>0</v>
      </c>
      <c r="G1115" s="20">
        <f t="shared" ref="G1115:G1117" si="131">D1115*C1115</f>
        <v>0</v>
      </c>
      <c r="H1115" s="20">
        <f t="shared" ref="H1115:H1121" si="132">E1115*C1115</f>
        <v>0</v>
      </c>
      <c r="I1115" s="20" t="b">
        <f t="shared" ref="I1115:I1121" si="133">D1115+E1115=B1115</f>
        <v>1</v>
      </c>
      <c r="J1115" s="20"/>
      <c r="K1115" s="20"/>
    </row>
    <row r="1116" spans="1:11" ht="15.5" x14ac:dyDescent="0.35">
      <c r="A1116" s="3" t="s">
        <v>87</v>
      </c>
      <c r="B1116" s="1"/>
      <c r="C1116" s="20">
        <v>16400</v>
      </c>
      <c r="D1116" s="1"/>
      <c r="E1116" s="1"/>
      <c r="F1116" s="20">
        <f t="shared" si="130"/>
        <v>0</v>
      </c>
      <c r="G1116" s="20">
        <f t="shared" si="131"/>
        <v>0</v>
      </c>
      <c r="H1116" s="20">
        <f t="shared" si="132"/>
        <v>0</v>
      </c>
      <c r="I1116" s="20" t="b">
        <f t="shared" si="133"/>
        <v>1</v>
      </c>
      <c r="J1116" s="20"/>
      <c r="K1116" s="20"/>
    </row>
    <row r="1117" spans="1:11" ht="15.5" x14ac:dyDescent="0.35">
      <c r="A1117" s="3" t="s">
        <v>88</v>
      </c>
      <c r="B1117" s="1"/>
      <c r="C1117" s="20">
        <v>16400</v>
      </c>
      <c r="D1117" s="1"/>
      <c r="E1117" s="1"/>
      <c r="F1117" s="20">
        <f t="shared" si="130"/>
        <v>0</v>
      </c>
      <c r="G1117" s="20">
        <f t="shared" si="131"/>
        <v>0</v>
      </c>
      <c r="H1117" s="20">
        <f t="shared" si="132"/>
        <v>0</v>
      </c>
      <c r="I1117" s="20" t="b">
        <f t="shared" si="133"/>
        <v>1</v>
      </c>
      <c r="J1117" s="20"/>
      <c r="K1117" s="20"/>
    </row>
    <row r="1118" spans="1:11" ht="15.5" x14ac:dyDescent="0.35">
      <c r="A1118" s="19" t="s">
        <v>89</v>
      </c>
      <c r="B1118" s="1"/>
      <c r="C1118" s="20"/>
      <c r="D1118" s="1"/>
      <c r="E1118" s="1"/>
      <c r="F1118" s="20"/>
      <c r="G1118" s="20"/>
      <c r="H1118" s="20">
        <f t="shared" si="132"/>
        <v>0</v>
      </c>
      <c r="I1118" s="20" t="b">
        <f t="shared" si="133"/>
        <v>1</v>
      </c>
      <c r="J1118" s="20"/>
      <c r="K1118" s="20"/>
    </row>
    <row r="1119" spans="1:11" ht="15.5" x14ac:dyDescent="0.35">
      <c r="A1119" s="3" t="s">
        <v>92</v>
      </c>
      <c r="B1119" s="1"/>
      <c r="C1119" s="20">
        <v>19400</v>
      </c>
      <c r="D1119" s="1"/>
      <c r="E1119" s="1"/>
      <c r="F1119" s="20">
        <f t="shared" ref="F1119:F1121" si="134">C1119*B1119</f>
        <v>0</v>
      </c>
      <c r="G1119" s="20">
        <f t="shared" ref="G1119:G1121" si="135">D1119*C1119</f>
        <v>0</v>
      </c>
      <c r="H1119" s="20">
        <f t="shared" si="132"/>
        <v>0</v>
      </c>
      <c r="I1119" s="20" t="b">
        <f t="shared" si="133"/>
        <v>1</v>
      </c>
      <c r="J1119" s="20"/>
      <c r="K1119" s="20"/>
    </row>
    <row r="1120" spans="1:11" ht="15.5" x14ac:dyDescent="0.35">
      <c r="A1120" s="3" t="s">
        <v>93</v>
      </c>
      <c r="B1120" s="1"/>
      <c r="C1120" s="20">
        <v>19400</v>
      </c>
      <c r="D1120" s="1"/>
      <c r="E1120" s="1"/>
      <c r="F1120" s="20">
        <f t="shared" si="134"/>
        <v>0</v>
      </c>
      <c r="G1120" s="20">
        <f t="shared" si="135"/>
        <v>0</v>
      </c>
      <c r="H1120" s="20">
        <f t="shared" si="132"/>
        <v>0</v>
      </c>
      <c r="I1120" s="20" t="b">
        <f t="shared" si="133"/>
        <v>1</v>
      </c>
      <c r="J1120" s="20"/>
      <c r="K1120" s="20"/>
    </row>
    <row r="1121" spans="1:11" ht="15.5" x14ac:dyDescent="0.35">
      <c r="A1121" s="3" t="s">
        <v>94</v>
      </c>
      <c r="B1121" s="1"/>
      <c r="C1121" s="20">
        <v>19400</v>
      </c>
      <c r="D1121" s="1"/>
      <c r="E1121" s="1"/>
      <c r="F1121" s="20">
        <f t="shared" si="134"/>
        <v>0</v>
      </c>
      <c r="G1121" s="20">
        <f t="shared" si="135"/>
        <v>0</v>
      </c>
      <c r="H1121" s="20">
        <f t="shared" si="132"/>
        <v>0</v>
      </c>
      <c r="I1121" s="20" t="b">
        <f t="shared" si="133"/>
        <v>1</v>
      </c>
      <c r="J1121" s="20"/>
      <c r="K1121" s="20"/>
    </row>
    <row r="1122" spans="1:11" ht="15.5" x14ac:dyDescent="0.35">
      <c r="A1122" s="19"/>
      <c r="B1122" s="22">
        <f>SUM(B1105:B1121)</f>
        <v>440000</v>
      </c>
      <c r="C1122" s="20"/>
      <c r="D1122" s="1"/>
      <c r="E1122" s="1"/>
      <c r="F1122" s="23">
        <f>SUM(F1105:F1121)</f>
        <v>0</v>
      </c>
      <c r="G1122" s="23">
        <f>SUM(G1105:G1121)</f>
        <v>0</v>
      </c>
      <c r="H1122" s="23">
        <f>SUM(H1105:H1121)</f>
        <v>0</v>
      </c>
      <c r="I1122" s="23"/>
      <c r="J1122" s="23">
        <f>SUM(J1105:J1121)</f>
        <v>0</v>
      </c>
      <c r="K1122" s="23">
        <f>H1122-J1122</f>
        <v>0</v>
      </c>
    </row>
    <row r="1123" spans="1:11" ht="15.5" x14ac:dyDescent="0.35">
      <c r="A1123" s="19" t="s">
        <v>95</v>
      </c>
      <c r="B1123" s="1"/>
      <c r="C1123" s="20"/>
      <c r="D1123" s="1"/>
      <c r="E1123" s="1"/>
      <c r="F1123" s="20"/>
      <c r="G1123" s="20"/>
      <c r="H1123" s="20" t="s">
        <v>192</v>
      </c>
      <c r="I1123" s="20"/>
      <c r="J1123" s="20"/>
      <c r="K1123" s="20"/>
    </row>
    <row r="1124" spans="1:11" ht="15.5" x14ac:dyDescent="0.35">
      <c r="A1124" s="3" t="s">
        <v>96</v>
      </c>
      <c r="B1124" s="1"/>
      <c r="C1124" s="20"/>
      <c r="D1124" s="1"/>
      <c r="E1124" s="20"/>
      <c r="F1124" s="20">
        <f t="shared" ref="F1124:F1127" si="136">C1124*B1124</f>
        <v>0</v>
      </c>
      <c r="G1124" s="20"/>
      <c r="H1124" s="20"/>
      <c r="I1124" s="20"/>
      <c r="J1124" s="20"/>
      <c r="K1124" s="20"/>
    </row>
    <row r="1125" spans="1:11" ht="15.5" x14ac:dyDescent="0.35">
      <c r="A1125" s="3" t="s">
        <v>97</v>
      </c>
      <c r="B1125" s="1"/>
      <c r="C1125" s="20"/>
      <c r="D1125" s="1"/>
      <c r="E1125" s="1"/>
      <c r="F1125" s="20">
        <f t="shared" si="136"/>
        <v>0</v>
      </c>
      <c r="G1125" s="20"/>
      <c r="H1125" s="20"/>
      <c r="I1125" s="20"/>
      <c r="J1125" s="20"/>
      <c r="K1125" s="20"/>
    </row>
    <row r="1126" spans="1:11" ht="15.5" x14ac:dyDescent="0.35">
      <c r="A1126" s="3" t="s">
        <v>98</v>
      </c>
      <c r="B1126" s="1"/>
      <c r="C1126" s="20"/>
      <c r="D1126" s="1"/>
      <c r="E1126" s="1"/>
      <c r="F1126" s="20">
        <f t="shared" si="136"/>
        <v>0</v>
      </c>
      <c r="G1126" s="20"/>
      <c r="H1126" s="20"/>
      <c r="I1126" s="20"/>
      <c r="J1126" s="20"/>
      <c r="K1126" s="20"/>
    </row>
    <row r="1127" spans="1:11" ht="15.5" x14ac:dyDescent="0.35">
      <c r="A1127" s="3" t="s">
        <v>99</v>
      </c>
      <c r="B1127" s="1"/>
      <c r="C1127" s="20"/>
      <c r="D1127" s="1"/>
      <c r="E1127" s="1"/>
      <c r="F1127" s="20">
        <f t="shared" si="136"/>
        <v>0</v>
      </c>
      <c r="G1127" s="20"/>
      <c r="H1127" s="20"/>
      <c r="I1127" s="20"/>
      <c r="J1127" s="20"/>
      <c r="K1127" s="20"/>
    </row>
    <row r="1128" spans="1:11" ht="15.5" x14ac:dyDescent="0.35">
      <c r="A1128" s="18"/>
      <c r="F1128" s="21"/>
    </row>
    <row r="1129" spans="1:11" ht="15.5" x14ac:dyDescent="0.35">
      <c r="A1129" s="24" t="s">
        <v>108</v>
      </c>
      <c r="K1129" s="21"/>
    </row>
    <row r="1130" spans="1:11" ht="15.5" x14ac:dyDescent="0.35">
      <c r="A1130" s="18" t="s">
        <v>112</v>
      </c>
      <c r="B1130">
        <v>40000</v>
      </c>
    </row>
    <row r="1131" spans="1:11" ht="15.5" x14ac:dyDescent="0.35">
      <c r="A1131" s="18" t="s">
        <v>114</v>
      </c>
      <c r="B1131">
        <v>53500</v>
      </c>
    </row>
    <row r="1132" spans="1:11" ht="15.5" x14ac:dyDescent="0.35">
      <c r="A1132" s="18" t="s">
        <v>154</v>
      </c>
      <c r="B1132">
        <v>53500</v>
      </c>
    </row>
    <row r="1133" spans="1:11" ht="15.5" x14ac:dyDescent="0.35">
      <c r="A1133" s="18" t="s">
        <v>196</v>
      </c>
      <c r="B1133">
        <v>40000</v>
      </c>
    </row>
    <row r="1134" spans="1:11" ht="15.5" x14ac:dyDescent="0.35">
      <c r="A1134" s="18" t="s">
        <v>110</v>
      </c>
      <c r="B1134">
        <v>40000</v>
      </c>
    </row>
    <row r="1135" spans="1:11" ht="15.5" x14ac:dyDescent="0.35">
      <c r="A1135" s="18" t="s">
        <v>111</v>
      </c>
      <c r="B1135">
        <v>40000</v>
      </c>
    </row>
    <row r="1136" spans="1:11" ht="15.5" x14ac:dyDescent="0.35">
      <c r="A1136" s="18" t="s">
        <v>209</v>
      </c>
      <c r="B1136">
        <v>53500</v>
      </c>
    </row>
    <row r="1137" spans="1:11" ht="15.5" x14ac:dyDescent="0.35">
      <c r="A1137" s="18" t="s">
        <v>190</v>
      </c>
      <c r="B1137">
        <v>40000</v>
      </c>
    </row>
    <row r="1138" spans="1:11" ht="15.5" x14ac:dyDescent="0.35">
      <c r="A1138" s="18" t="s">
        <v>122</v>
      </c>
      <c r="B1138">
        <v>53500</v>
      </c>
    </row>
    <row r="1139" spans="1:11" ht="15.5" x14ac:dyDescent="0.35">
      <c r="A1139" s="18" t="s">
        <v>115</v>
      </c>
      <c r="B1139">
        <v>53500</v>
      </c>
    </row>
    <row r="1140" spans="1:11" ht="15.5" x14ac:dyDescent="0.35">
      <c r="A1140" s="18" t="s">
        <v>109</v>
      </c>
      <c r="B1140">
        <v>53500</v>
      </c>
    </row>
    <row r="1141" spans="1:11" ht="15.5" x14ac:dyDescent="0.35">
      <c r="A1141" s="18" t="s">
        <v>141</v>
      </c>
      <c r="B1141">
        <v>30000</v>
      </c>
    </row>
    <row r="1142" spans="1:11" ht="15.5" x14ac:dyDescent="0.35">
      <c r="A1142" s="24" t="s">
        <v>4</v>
      </c>
      <c r="B1142" s="17">
        <f>SUM(B1130:B1141)</f>
        <v>551000</v>
      </c>
    </row>
    <row r="1145" spans="1:11" ht="18.5" x14ac:dyDescent="0.45">
      <c r="A1145" s="150" t="s">
        <v>1</v>
      </c>
      <c r="B1145" s="150"/>
      <c r="C1145" s="150"/>
      <c r="D1145" s="150"/>
      <c r="E1145" s="150"/>
      <c r="F1145" s="150"/>
      <c r="G1145" s="150"/>
      <c r="H1145" s="150"/>
      <c r="I1145" s="150"/>
      <c r="J1145" s="150"/>
      <c r="K1145" s="150"/>
    </row>
    <row r="1146" spans="1:11" ht="18.5" x14ac:dyDescent="0.45">
      <c r="A1146" s="150" t="s">
        <v>74</v>
      </c>
      <c r="B1146" s="150"/>
      <c r="C1146" s="150"/>
      <c r="D1146" s="150"/>
      <c r="E1146" s="150"/>
      <c r="F1146" s="150"/>
      <c r="G1146" s="150"/>
      <c r="H1146" s="150"/>
      <c r="I1146" s="150"/>
      <c r="J1146" s="150"/>
      <c r="K1146" s="150"/>
    </row>
    <row r="1147" spans="1:11" ht="18.5" x14ac:dyDescent="0.45">
      <c r="A1147" s="149">
        <v>45990</v>
      </c>
      <c r="B1147" s="149"/>
      <c r="C1147" s="149"/>
      <c r="D1147" s="149"/>
      <c r="E1147" s="149"/>
      <c r="F1147" s="149"/>
      <c r="G1147" s="149"/>
      <c r="H1147" s="149"/>
      <c r="I1147" s="149"/>
      <c r="J1147" s="149"/>
      <c r="K1147" s="149"/>
    </row>
    <row r="1148" spans="1:11" ht="18.5" x14ac:dyDescent="0.45">
      <c r="A1148" s="150"/>
      <c r="B1148" s="150"/>
      <c r="C1148" s="150"/>
      <c r="D1148" s="150"/>
      <c r="E1148" s="150"/>
      <c r="F1148" s="150"/>
      <c r="G1148" s="150"/>
      <c r="H1148" s="150"/>
      <c r="I1148" s="150"/>
      <c r="J1148" s="150"/>
      <c r="K1148" s="150"/>
    </row>
    <row r="1149" spans="1:11" ht="18.5" x14ac:dyDescent="0.45">
      <c r="A1149" s="2" t="s">
        <v>75</v>
      </c>
      <c r="B1149" s="2" t="s">
        <v>3</v>
      </c>
      <c r="C1149" s="2" t="s">
        <v>100</v>
      </c>
      <c r="D1149" s="2" t="s">
        <v>90</v>
      </c>
      <c r="E1149" s="2" t="s">
        <v>91</v>
      </c>
      <c r="F1149" s="2" t="s">
        <v>4</v>
      </c>
      <c r="G1149" s="2" t="s">
        <v>101</v>
      </c>
      <c r="H1149" s="2" t="s">
        <v>104</v>
      </c>
      <c r="I1149" s="2"/>
      <c r="J1149" s="2" t="s">
        <v>105</v>
      </c>
      <c r="K1149" s="2" t="s">
        <v>106</v>
      </c>
    </row>
    <row r="1150" spans="1:11" ht="15.5" x14ac:dyDescent="0.35">
      <c r="A1150" s="3" t="s">
        <v>76</v>
      </c>
      <c r="B1150" s="1"/>
      <c r="C1150" s="20">
        <v>15500</v>
      </c>
      <c r="D1150" s="1"/>
      <c r="E1150" s="1"/>
      <c r="F1150" s="20">
        <f>C1150*B1150</f>
        <v>0</v>
      </c>
      <c r="G1150" s="20">
        <f>D1150*C1150</f>
        <v>0</v>
      </c>
      <c r="H1150" s="20">
        <f>E1150*C1150</f>
        <v>0</v>
      </c>
      <c r="I1150" s="20" t="b">
        <f>D1150+E1150=B1150</f>
        <v>1</v>
      </c>
      <c r="J1150" s="20">
        <f>B1181</f>
        <v>321000</v>
      </c>
      <c r="K1150" s="20" t="s">
        <v>117</v>
      </c>
    </row>
    <row r="1151" spans="1:11" ht="15.5" x14ac:dyDescent="0.35">
      <c r="A1151" s="3" t="s">
        <v>77</v>
      </c>
      <c r="B1151" s="1"/>
      <c r="C1151" s="20">
        <v>14500</v>
      </c>
      <c r="D1151" s="1"/>
      <c r="E1151" s="1"/>
      <c r="F1151" s="20">
        <f t="shared" ref="F1151:F1162" si="137">C1151*B1151</f>
        <v>0</v>
      </c>
      <c r="G1151" s="20">
        <f t="shared" ref="G1151:G1162" si="138">D1151*C1151</f>
        <v>0</v>
      </c>
      <c r="H1151" s="20">
        <f t="shared" ref="H1151:H1166" si="139">E1151*C1151</f>
        <v>0</v>
      </c>
      <c r="I1151" s="20" t="b">
        <f t="shared" ref="I1151:I1166" si="140">D1151+E1151=B1151</f>
        <v>1</v>
      </c>
      <c r="J1151" s="20">
        <v>5000</v>
      </c>
      <c r="K1151" s="20" t="s">
        <v>191</v>
      </c>
    </row>
    <row r="1152" spans="1:11" ht="15.5" x14ac:dyDescent="0.35">
      <c r="A1152" s="3" t="s">
        <v>78</v>
      </c>
      <c r="B1152" s="1"/>
      <c r="C1152" s="20">
        <v>15500</v>
      </c>
      <c r="D1152" s="1"/>
      <c r="E1152" s="1"/>
      <c r="F1152" s="20">
        <f t="shared" si="137"/>
        <v>0</v>
      </c>
      <c r="G1152" s="20">
        <f t="shared" si="138"/>
        <v>0</v>
      </c>
      <c r="H1152" s="20">
        <f t="shared" si="139"/>
        <v>0</v>
      </c>
      <c r="I1152" s="20" t="b">
        <f t="shared" si="140"/>
        <v>1</v>
      </c>
      <c r="J1152" s="20">
        <v>220000</v>
      </c>
      <c r="K1152" s="20" t="s">
        <v>107</v>
      </c>
    </row>
    <row r="1153" spans="1:11" ht="15.5" x14ac:dyDescent="0.35">
      <c r="A1153" s="3" t="s">
        <v>79</v>
      </c>
      <c r="B1153" s="1"/>
      <c r="C1153" s="20">
        <v>15900</v>
      </c>
      <c r="D1153" s="1"/>
      <c r="E1153" s="1"/>
      <c r="F1153" s="20">
        <f t="shared" si="137"/>
        <v>0</v>
      </c>
      <c r="G1153" s="20">
        <f t="shared" si="138"/>
        <v>0</v>
      </c>
      <c r="H1153" s="20">
        <f t="shared" si="139"/>
        <v>0</v>
      </c>
      <c r="I1153" s="20" t="b">
        <f t="shared" si="140"/>
        <v>1</v>
      </c>
      <c r="J1153" s="20"/>
      <c r="K1153" s="20"/>
    </row>
    <row r="1154" spans="1:11" ht="15.5" x14ac:dyDescent="0.35">
      <c r="A1154" s="3" t="s">
        <v>80</v>
      </c>
      <c r="B1154" s="1"/>
      <c r="C1154" s="20">
        <v>15900</v>
      </c>
      <c r="D1154" s="1"/>
      <c r="E1154" s="1"/>
      <c r="F1154" s="20">
        <f t="shared" si="137"/>
        <v>0</v>
      </c>
      <c r="G1154" s="20">
        <f t="shared" si="138"/>
        <v>0</v>
      </c>
      <c r="H1154" s="20">
        <f t="shared" si="139"/>
        <v>0</v>
      </c>
      <c r="I1154" s="20" t="b">
        <f t="shared" si="140"/>
        <v>1</v>
      </c>
      <c r="J1154" s="20"/>
      <c r="K1154" s="20"/>
    </row>
    <row r="1155" spans="1:11" ht="15.5" x14ac:dyDescent="0.35">
      <c r="A1155" s="3" t="s">
        <v>81</v>
      </c>
      <c r="B1155" s="1"/>
      <c r="C1155" s="20">
        <v>20000</v>
      </c>
      <c r="D1155" s="1"/>
      <c r="E1155" s="1"/>
      <c r="F1155" s="20">
        <f t="shared" si="137"/>
        <v>0</v>
      </c>
      <c r="G1155" s="20">
        <f t="shared" si="138"/>
        <v>0</v>
      </c>
      <c r="H1155" s="20">
        <f t="shared" si="139"/>
        <v>0</v>
      </c>
      <c r="I1155" s="20" t="b">
        <f t="shared" si="140"/>
        <v>1</v>
      </c>
      <c r="J1155" s="20"/>
      <c r="K1155" s="20"/>
    </row>
    <row r="1156" spans="1:11" ht="15.5" x14ac:dyDescent="0.35">
      <c r="A1156" s="3" t="s">
        <v>82</v>
      </c>
      <c r="B1156" s="1"/>
      <c r="C1156" s="20">
        <v>15500</v>
      </c>
      <c r="D1156" s="1"/>
      <c r="E1156" s="1"/>
      <c r="F1156" s="20">
        <f t="shared" si="137"/>
        <v>0</v>
      </c>
      <c r="G1156" s="20">
        <f t="shared" si="138"/>
        <v>0</v>
      </c>
      <c r="H1156" s="20">
        <f t="shared" si="139"/>
        <v>0</v>
      </c>
      <c r="I1156" s="20" t="b">
        <f t="shared" si="140"/>
        <v>1</v>
      </c>
      <c r="J1156" s="20"/>
      <c r="K1156" s="20"/>
    </row>
    <row r="1157" spans="1:11" ht="15.5" x14ac:dyDescent="0.35">
      <c r="A1157" s="3" t="s">
        <v>83</v>
      </c>
      <c r="B1157" s="1"/>
      <c r="C1157" s="20">
        <v>15500</v>
      </c>
      <c r="D1157" s="1"/>
      <c r="E1157" s="1"/>
      <c r="F1157" s="20">
        <f t="shared" si="137"/>
        <v>0</v>
      </c>
      <c r="G1157" s="20">
        <f t="shared" si="138"/>
        <v>0</v>
      </c>
      <c r="H1157" s="20">
        <f t="shared" si="139"/>
        <v>0</v>
      </c>
      <c r="I1157" s="20" t="b">
        <f t="shared" si="140"/>
        <v>1</v>
      </c>
      <c r="J1157" s="20"/>
      <c r="K1157" s="20"/>
    </row>
    <row r="1158" spans="1:11" ht="15.5" x14ac:dyDescent="0.35">
      <c r="A1158" s="3" t="s">
        <v>84</v>
      </c>
      <c r="B1158" s="1"/>
      <c r="C1158" s="20">
        <v>16400</v>
      </c>
      <c r="D1158" s="1"/>
      <c r="E1158" s="1"/>
      <c r="F1158" s="20">
        <f t="shared" si="137"/>
        <v>0</v>
      </c>
      <c r="G1158" s="20">
        <f t="shared" si="138"/>
        <v>0</v>
      </c>
      <c r="H1158" s="20">
        <f t="shared" si="139"/>
        <v>0</v>
      </c>
      <c r="I1158" s="20" t="b">
        <f t="shared" si="140"/>
        <v>1</v>
      </c>
      <c r="J1158" s="20"/>
      <c r="K1158" s="20"/>
    </row>
    <row r="1159" spans="1:11" ht="15.5" x14ac:dyDescent="0.35">
      <c r="A1159" s="3" t="s">
        <v>85</v>
      </c>
      <c r="B1159" s="1"/>
      <c r="C1159" s="20">
        <v>16400</v>
      </c>
      <c r="D1159" s="1"/>
      <c r="E1159" s="1"/>
      <c r="F1159" s="20">
        <f t="shared" si="137"/>
        <v>0</v>
      </c>
      <c r="G1159" s="20">
        <f t="shared" si="138"/>
        <v>0</v>
      </c>
      <c r="H1159" s="20">
        <f t="shared" si="139"/>
        <v>0</v>
      </c>
      <c r="I1159" s="20" t="b">
        <f t="shared" si="140"/>
        <v>1</v>
      </c>
      <c r="J1159" s="20"/>
      <c r="K1159" s="20"/>
    </row>
    <row r="1160" spans="1:11" ht="15.5" x14ac:dyDescent="0.35">
      <c r="A1160" s="3" t="s">
        <v>86</v>
      </c>
      <c r="B1160" s="1"/>
      <c r="C1160" s="20">
        <v>16400</v>
      </c>
      <c r="D1160" s="1"/>
      <c r="E1160" s="1"/>
      <c r="F1160" s="20">
        <f t="shared" si="137"/>
        <v>0</v>
      </c>
      <c r="G1160" s="20">
        <f t="shared" si="138"/>
        <v>0</v>
      </c>
      <c r="H1160" s="20">
        <f t="shared" si="139"/>
        <v>0</v>
      </c>
      <c r="I1160" s="20" t="b">
        <f t="shared" si="140"/>
        <v>1</v>
      </c>
      <c r="J1160" s="20"/>
      <c r="K1160" s="20"/>
    </row>
    <row r="1161" spans="1:11" ht="15.5" x14ac:dyDescent="0.35">
      <c r="A1161" s="3" t="s">
        <v>87</v>
      </c>
      <c r="B1161" s="1"/>
      <c r="C1161" s="20">
        <v>16400</v>
      </c>
      <c r="D1161" s="1"/>
      <c r="E1161" s="1"/>
      <c r="F1161" s="20">
        <f t="shared" si="137"/>
        <v>0</v>
      </c>
      <c r="G1161" s="20">
        <f t="shared" si="138"/>
        <v>0</v>
      </c>
      <c r="H1161" s="20">
        <f t="shared" si="139"/>
        <v>0</v>
      </c>
      <c r="I1161" s="20" t="b">
        <f t="shared" si="140"/>
        <v>1</v>
      </c>
      <c r="J1161" s="20"/>
      <c r="K1161" s="20"/>
    </row>
    <row r="1162" spans="1:11" ht="15.5" x14ac:dyDescent="0.35">
      <c r="A1162" s="3" t="s">
        <v>88</v>
      </c>
      <c r="B1162" s="1"/>
      <c r="C1162" s="20">
        <v>16400</v>
      </c>
      <c r="D1162" s="1"/>
      <c r="E1162" s="1"/>
      <c r="F1162" s="20">
        <f t="shared" si="137"/>
        <v>0</v>
      </c>
      <c r="G1162" s="20">
        <f t="shared" si="138"/>
        <v>0</v>
      </c>
      <c r="H1162" s="20">
        <f t="shared" si="139"/>
        <v>0</v>
      </c>
      <c r="I1162" s="20" t="b">
        <f t="shared" si="140"/>
        <v>1</v>
      </c>
      <c r="J1162" s="20"/>
      <c r="K1162" s="20"/>
    </row>
    <row r="1163" spans="1:11" ht="15.5" x14ac:dyDescent="0.35">
      <c r="A1163" s="19" t="s">
        <v>89</v>
      </c>
      <c r="B1163" s="1"/>
      <c r="C1163" s="20"/>
      <c r="D1163" s="1"/>
      <c r="E1163" s="1"/>
      <c r="F1163" s="20"/>
      <c r="G1163" s="20"/>
      <c r="H1163" s="20">
        <f t="shared" si="139"/>
        <v>0</v>
      </c>
      <c r="I1163" s="20" t="b">
        <f t="shared" si="140"/>
        <v>1</v>
      </c>
      <c r="J1163" s="20"/>
      <c r="K1163" s="20"/>
    </row>
    <row r="1164" spans="1:11" ht="15.5" x14ac:dyDescent="0.35">
      <c r="A1164" s="3" t="s">
        <v>92</v>
      </c>
      <c r="B1164" s="1"/>
      <c r="C1164" s="20">
        <v>19400</v>
      </c>
      <c r="D1164" s="1"/>
      <c r="E1164" s="1"/>
      <c r="F1164" s="20">
        <f t="shared" ref="F1164:F1166" si="141">C1164*B1164</f>
        <v>0</v>
      </c>
      <c r="G1164" s="20">
        <f t="shared" ref="G1164:G1166" si="142">D1164*C1164</f>
        <v>0</v>
      </c>
      <c r="H1164" s="20">
        <f t="shared" si="139"/>
        <v>0</v>
      </c>
      <c r="I1164" s="20" t="b">
        <f t="shared" si="140"/>
        <v>1</v>
      </c>
      <c r="J1164" s="20"/>
      <c r="K1164" s="20"/>
    </row>
    <row r="1165" spans="1:11" ht="15.5" x14ac:dyDescent="0.35">
      <c r="A1165" s="3" t="s">
        <v>93</v>
      </c>
      <c r="B1165" s="1"/>
      <c r="C1165" s="20">
        <v>19400</v>
      </c>
      <c r="D1165" s="1"/>
      <c r="E1165" s="1"/>
      <c r="F1165" s="20">
        <f t="shared" si="141"/>
        <v>0</v>
      </c>
      <c r="G1165" s="20">
        <f t="shared" si="142"/>
        <v>0</v>
      </c>
      <c r="H1165" s="20">
        <f t="shared" si="139"/>
        <v>0</v>
      </c>
      <c r="I1165" s="20" t="b">
        <f t="shared" si="140"/>
        <v>1</v>
      </c>
      <c r="J1165" s="20"/>
      <c r="K1165" s="20"/>
    </row>
    <row r="1166" spans="1:11" ht="15.5" x14ac:dyDescent="0.35">
      <c r="A1166" s="3" t="s">
        <v>94</v>
      </c>
      <c r="B1166" s="1"/>
      <c r="C1166" s="20">
        <v>19400</v>
      </c>
      <c r="D1166" s="1"/>
      <c r="E1166" s="1"/>
      <c r="F1166" s="20">
        <f t="shared" si="141"/>
        <v>0</v>
      </c>
      <c r="G1166" s="20">
        <f t="shared" si="142"/>
        <v>0</v>
      </c>
      <c r="H1166" s="20">
        <f t="shared" si="139"/>
        <v>0</v>
      </c>
      <c r="I1166" s="20" t="b">
        <f t="shared" si="140"/>
        <v>1</v>
      </c>
      <c r="J1166" s="20"/>
      <c r="K1166" s="20"/>
    </row>
    <row r="1167" spans="1:11" ht="15.5" x14ac:dyDescent="0.35">
      <c r="A1167" s="19"/>
      <c r="B1167" s="22">
        <f>SUM(B1150:B1166)</f>
        <v>0</v>
      </c>
      <c r="C1167" s="20"/>
      <c r="D1167" s="1"/>
      <c r="E1167" s="1"/>
      <c r="F1167" s="23">
        <f>SUM(F1150:F1166)</f>
        <v>0</v>
      </c>
      <c r="G1167" s="23">
        <f>SUM(G1150:G1166)</f>
        <v>0</v>
      </c>
      <c r="H1167" s="23">
        <f>SUM(H1150:H1166)</f>
        <v>0</v>
      </c>
      <c r="I1167" s="23"/>
      <c r="J1167" s="23">
        <f>SUM(J1150:J1166)</f>
        <v>546000</v>
      </c>
      <c r="K1167" s="23">
        <f>H1167-J1167</f>
        <v>-546000</v>
      </c>
    </row>
    <row r="1168" spans="1:11" ht="15.5" x14ac:dyDescent="0.35">
      <c r="A1168" s="19" t="s">
        <v>95</v>
      </c>
      <c r="B1168" s="1"/>
      <c r="C1168" s="20"/>
      <c r="D1168" s="1"/>
      <c r="E1168" s="1"/>
      <c r="F1168" s="20"/>
      <c r="G1168" s="20"/>
      <c r="H1168" s="20" t="s">
        <v>192</v>
      </c>
      <c r="I1168" s="20"/>
      <c r="J1168" s="20"/>
      <c r="K1168" s="20"/>
    </row>
    <row r="1169" spans="1:11" ht="15.5" x14ac:dyDescent="0.35">
      <c r="A1169" s="3" t="s">
        <v>96</v>
      </c>
      <c r="B1169" s="1"/>
      <c r="C1169" s="20"/>
      <c r="D1169" s="1"/>
      <c r="E1169" s="20"/>
      <c r="F1169" s="20">
        <f t="shared" ref="F1169:F1172" si="143">C1169*B1169</f>
        <v>0</v>
      </c>
      <c r="G1169" s="20"/>
      <c r="H1169" s="20"/>
      <c r="I1169" s="20"/>
      <c r="J1169" s="20"/>
      <c r="K1169" s="20"/>
    </row>
    <row r="1170" spans="1:11" ht="15.5" x14ac:dyDescent="0.35">
      <c r="A1170" s="3" t="s">
        <v>97</v>
      </c>
      <c r="B1170" s="1"/>
      <c r="C1170" s="20"/>
      <c r="D1170" s="1"/>
      <c r="E1170" s="1"/>
      <c r="F1170" s="20">
        <f t="shared" si="143"/>
        <v>0</v>
      </c>
      <c r="G1170" s="20"/>
      <c r="H1170" s="20"/>
      <c r="I1170" s="20"/>
      <c r="J1170" s="20"/>
      <c r="K1170" s="20"/>
    </row>
    <row r="1171" spans="1:11" ht="15.5" x14ac:dyDescent="0.35">
      <c r="A1171" s="3" t="s">
        <v>98</v>
      </c>
      <c r="B1171" s="1"/>
      <c r="C1171" s="20"/>
      <c r="D1171" s="1"/>
      <c r="E1171" s="1"/>
      <c r="F1171" s="20">
        <f t="shared" si="143"/>
        <v>0</v>
      </c>
      <c r="G1171" s="20"/>
      <c r="H1171" s="20"/>
      <c r="I1171" s="20"/>
      <c r="J1171" s="20"/>
      <c r="K1171" s="20"/>
    </row>
    <row r="1172" spans="1:11" ht="15.5" x14ac:dyDescent="0.35">
      <c r="A1172" s="3" t="s">
        <v>99</v>
      </c>
      <c r="B1172" s="1"/>
      <c r="C1172" s="20"/>
      <c r="D1172" s="1"/>
      <c r="E1172" s="1"/>
      <c r="F1172" s="20">
        <f t="shared" si="143"/>
        <v>0</v>
      </c>
      <c r="G1172" s="20"/>
      <c r="H1172" s="20"/>
      <c r="I1172" s="20"/>
      <c r="J1172" s="20"/>
      <c r="K1172" s="20"/>
    </row>
    <row r="1173" spans="1:11" ht="15.5" x14ac:dyDescent="0.35">
      <c r="A1173" s="18"/>
      <c r="F1173" s="21"/>
    </row>
    <row r="1174" spans="1:11" ht="15.5" x14ac:dyDescent="0.35">
      <c r="A1174" s="24" t="s">
        <v>108</v>
      </c>
      <c r="K1174" s="21"/>
    </row>
    <row r="1175" spans="1:11" ht="15.5" x14ac:dyDescent="0.35">
      <c r="A1175" s="18" t="s">
        <v>112</v>
      </c>
      <c r="B1175">
        <v>53500</v>
      </c>
    </row>
    <row r="1176" spans="1:11" ht="15.5" x14ac:dyDescent="0.35">
      <c r="A1176" s="18" t="s">
        <v>114</v>
      </c>
      <c r="B1176">
        <v>53500</v>
      </c>
    </row>
    <row r="1177" spans="1:11" ht="15.5" x14ac:dyDescent="0.35">
      <c r="A1177" s="18" t="s">
        <v>110</v>
      </c>
      <c r="B1177">
        <v>53500</v>
      </c>
    </row>
    <row r="1178" spans="1:11" ht="15.5" x14ac:dyDescent="0.35">
      <c r="A1178" s="18" t="s">
        <v>109</v>
      </c>
      <c r="B1178">
        <v>53500</v>
      </c>
    </row>
    <row r="1179" spans="1:11" ht="15.5" x14ac:dyDescent="0.35">
      <c r="A1179" s="18" t="s">
        <v>111</v>
      </c>
      <c r="B1179">
        <v>53500</v>
      </c>
    </row>
    <row r="1180" spans="1:11" ht="15.5" x14ac:dyDescent="0.35">
      <c r="A1180" s="18" t="s">
        <v>141</v>
      </c>
      <c r="B1180">
        <v>53500</v>
      </c>
    </row>
    <row r="1181" spans="1:11" ht="15.5" x14ac:dyDescent="0.35">
      <c r="A1181" s="24" t="s">
        <v>4</v>
      </c>
      <c r="B1181" s="17">
        <f>SUM(B1175:B1180)</f>
        <v>321000</v>
      </c>
    </row>
  </sheetData>
  <mergeCells count="110">
    <mergeCell ref="A771:K771"/>
    <mergeCell ref="A805:K805"/>
    <mergeCell ref="A806:K806"/>
    <mergeCell ref="A807:K807"/>
    <mergeCell ref="A808:K808"/>
    <mergeCell ref="A1023:K1023"/>
    <mergeCell ref="A1024:K1024"/>
    <mergeCell ref="A1025:K1025"/>
    <mergeCell ref="A1065:K1065"/>
    <mergeCell ref="A848:K848"/>
    <mergeCell ref="A849:K849"/>
    <mergeCell ref="A850:K850"/>
    <mergeCell ref="A851:K851"/>
    <mergeCell ref="A891:K891"/>
    <mergeCell ref="A892:K892"/>
    <mergeCell ref="A893:K893"/>
    <mergeCell ref="A894:K894"/>
    <mergeCell ref="A934:K934"/>
    <mergeCell ref="A596:K596"/>
    <mergeCell ref="A597:K597"/>
    <mergeCell ref="A598:K598"/>
    <mergeCell ref="A639:K639"/>
    <mergeCell ref="A640:K640"/>
    <mergeCell ref="A641:K641"/>
    <mergeCell ref="A553:K553"/>
    <mergeCell ref="A554:K554"/>
    <mergeCell ref="A555:K555"/>
    <mergeCell ref="A556:K556"/>
    <mergeCell ref="A599:K599"/>
    <mergeCell ref="A519:K519"/>
    <mergeCell ref="A88:K88"/>
    <mergeCell ref="A89:K89"/>
    <mergeCell ref="A45:K45"/>
    <mergeCell ref="A46:K46"/>
    <mergeCell ref="A3:K3"/>
    <mergeCell ref="A4:K4"/>
    <mergeCell ref="A131:K131"/>
    <mergeCell ref="A132:K132"/>
    <mergeCell ref="A133:K133"/>
    <mergeCell ref="A134:K134"/>
    <mergeCell ref="A219:K219"/>
    <mergeCell ref="A175:K175"/>
    <mergeCell ref="A176:K176"/>
    <mergeCell ref="A177:K177"/>
    <mergeCell ref="A218:K218"/>
    <mergeCell ref="A342:K342"/>
    <mergeCell ref="A343:K343"/>
    <mergeCell ref="A344:K344"/>
    <mergeCell ref="A345:K345"/>
    <mergeCell ref="A517:K517"/>
    <mergeCell ref="A387:K387"/>
    <mergeCell ref="A388:K388"/>
    <mergeCell ref="A389:K389"/>
    <mergeCell ref="A220:K220"/>
    <mergeCell ref="A260:K260"/>
    <mergeCell ref="A261:K261"/>
    <mergeCell ref="A262:K262"/>
    <mergeCell ref="A299:K299"/>
    <mergeCell ref="A300:K300"/>
    <mergeCell ref="A432:K432"/>
    <mergeCell ref="A433:K433"/>
    <mergeCell ref="A518:K518"/>
    <mergeCell ref="A475:K475"/>
    <mergeCell ref="A476:K476"/>
    <mergeCell ref="A516:K516"/>
    <mergeCell ref="A263:K263"/>
    <mergeCell ref="A264:K264"/>
    <mergeCell ref="A301:K301"/>
    <mergeCell ref="A302:K302"/>
    <mergeCell ref="A386:K386"/>
    <mergeCell ref="A430:K430"/>
    <mergeCell ref="A431:K431"/>
    <mergeCell ref="A473:K473"/>
    <mergeCell ref="A474:K474"/>
    <mergeCell ref="A1147:K1147"/>
    <mergeCell ref="A1148:K1148"/>
    <mergeCell ref="A1145:K1145"/>
    <mergeCell ref="A1146:K1146"/>
    <mergeCell ref="A935:K935"/>
    <mergeCell ref="A936:K936"/>
    <mergeCell ref="A937:K937"/>
    <mergeCell ref="A977:K977"/>
    <mergeCell ref="A978:K978"/>
    <mergeCell ref="A979:K979"/>
    <mergeCell ref="A980:K980"/>
    <mergeCell ref="A1022:K1022"/>
    <mergeCell ref="A1066:K1066"/>
    <mergeCell ref="A1067:K1067"/>
    <mergeCell ref="A1068:K1068"/>
    <mergeCell ref="A1:K1"/>
    <mergeCell ref="A2:K2"/>
    <mergeCell ref="A47:K47"/>
    <mergeCell ref="A48:K48"/>
    <mergeCell ref="A90:K90"/>
    <mergeCell ref="A91:K91"/>
    <mergeCell ref="A172:K172"/>
    <mergeCell ref="A174:K174"/>
    <mergeCell ref="A217:K217"/>
    <mergeCell ref="A642:K642"/>
    <mergeCell ref="A685:K685"/>
    <mergeCell ref="A725:K725"/>
    <mergeCell ref="A726:K726"/>
    <mergeCell ref="A727:K727"/>
    <mergeCell ref="A728:K728"/>
    <mergeCell ref="A768:K768"/>
    <mergeCell ref="A769:K769"/>
    <mergeCell ref="A770:K770"/>
    <mergeCell ref="A682:K682"/>
    <mergeCell ref="A683:K683"/>
    <mergeCell ref="A684:K68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0347-C08A-4EB4-89B3-1DFBE5279454}">
  <dimension ref="A1:M1130"/>
  <sheetViews>
    <sheetView workbookViewId="0">
      <selection activeCell="A3" sqref="A3:K3"/>
    </sheetView>
  </sheetViews>
  <sheetFormatPr baseColWidth="10" defaultRowHeight="14.5" x14ac:dyDescent="0.35"/>
  <cols>
    <col min="9" max="9" width="11.1796875" bestFit="1" customWidth="1"/>
  </cols>
  <sheetData>
    <row r="1" spans="1:11" ht="18.5" x14ac:dyDescent="0.45">
      <c r="A1" s="150" t="s">
        <v>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8.5" x14ac:dyDescent="0.45">
      <c r="A2" s="150" t="s">
        <v>74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1" ht="18.5" x14ac:dyDescent="0.45">
      <c r="A3" s="149" t="s">
        <v>360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ht="18.5" x14ac:dyDescent="0.45">
      <c r="A4" s="150"/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ht="18.5" x14ac:dyDescent="0.45">
      <c r="A5" s="2" t="s">
        <v>75</v>
      </c>
      <c r="B5" s="2" t="s">
        <v>3</v>
      </c>
      <c r="C5" s="2" t="s">
        <v>100</v>
      </c>
      <c r="D5" s="2" t="s">
        <v>90</v>
      </c>
      <c r="E5" s="2" t="s">
        <v>91</v>
      </c>
      <c r="F5" s="2" t="s">
        <v>4</v>
      </c>
      <c r="G5" s="2" t="s">
        <v>101</v>
      </c>
      <c r="H5" s="2" t="s">
        <v>104</v>
      </c>
      <c r="I5" s="2"/>
      <c r="J5" s="2" t="s">
        <v>105</v>
      </c>
      <c r="K5" s="2" t="s">
        <v>106</v>
      </c>
    </row>
    <row r="6" spans="1:11" ht="15.5" x14ac:dyDescent="0.35">
      <c r="A6" s="3" t="s">
        <v>76</v>
      </c>
      <c r="B6" s="1"/>
      <c r="C6" s="20">
        <v>17500</v>
      </c>
      <c r="D6" s="1"/>
      <c r="E6" s="1"/>
      <c r="F6" s="20">
        <f>C6*B6</f>
        <v>0</v>
      </c>
      <c r="G6" s="20">
        <f>D6*C6</f>
        <v>0</v>
      </c>
      <c r="H6" s="20">
        <f>E6*C6</f>
        <v>0</v>
      </c>
      <c r="I6" s="20" t="b">
        <f>D6+E6=B6</f>
        <v>1</v>
      </c>
      <c r="J6" s="20">
        <f>B42</f>
        <v>880000</v>
      </c>
      <c r="K6" s="20"/>
    </row>
    <row r="7" spans="1:11" ht="15.5" x14ac:dyDescent="0.35">
      <c r="A7" s="3" t="s">
        <v>77</v>
      </c>
      <c r="B7" s="1"/>
      <c r="C7" s="20">
        <v>16000</v>
      </c>
      <c r="D7" s="1"/>
      <c r="E7" s="1"/>
      <c r="F7" s="20">
        <f t="shared" ref="F7:G18" si="0">C7*B7</f>
        <v>0</v>
      </c>
      <c r="G7" s="20">
        <f t="shared" si="0"/>
        <v>0</v>
      </c>
      <c r="H7" s="20">
        <f t="shared" ref="H7:H22" si="1">E7*C7</f>
        <v>0</v>
      </c>
      <c r="I7" s="20" t="b">
        <f t="shared" ref="I7:I22" si="2">D7+E7=B7</f>
        <v>1</v>
      </c>
      <c r="J7" s="20"/>
      <c r="K7" s="20"/>
    </row>
    <row r="8" spans="1:11" ht="15.5" x14ac:dyDescent="0.35">
      <c r="A8" s="3" t="s">
        <v>78</v>
      </c>
      <c r="B8" s="1"/>
      <c r="C8" s="20">
        <v>17500</v>
      </c>
      <c r="D8" s="1"/>
      <c r="E8" s="1"/>
      <c r="F8" s="20">
        <f t="shared" si="0"/>
        <v>0</v>
      </c>
      <c r="G8" s="20">
        <f t="shared" si="0"/>
        <v>0</v>
      </c>
      <c r="H8" s="20">
        <f t="shared" si="1"/>
        <v>0</v>
      </c>
      <c r="I8" s="20" t="b">
        <f t="shared" si="2"/>
        <v>1</v>
      </c>
      <c r="J8" s="20"/>
      <c r="K8" s="20"/>
    </row>
    <row r="9" spans="1:11" ht="15.5" x14ac:dyDescent="0.35">
      <c r="A9" s="3" t="s">
        <v>79</v>
      </c>
      <c r="B9" s="1"/>
      <c r="C9" s="20">
        <v>18500</v>
      </c>
      <c r="D9" s="1"/>
      <c r="E9" s="1"/>
      <c r="F9" s="20">
        <f t="shared" si="0"/>
        <v>0</v>
      </c>
      <c r="G9" s="20">
        <f t="shared" si="0"/>
        <v>0</v>
      </c>
      <c r="H9" s="20">
        <f t="shared" si="1"/>
        <v>0</v>
      </c>
      <c r="I9" s="20" t="b">
        <f t="shared" si="2"/>
        <v>1</v>
      </c>
      <c r="J9" s="20"/>
      <c r="K9" s="20"/>
    </row>
    <row r="10" spans="1:11" ht="15.5" x14ac:dyDescent="0.35">
      <c r="A10" s="3" t="s">
        <v>80</v>
      </c>
      <c r="B10" s="1"/>
      <c r="C10" s="20">
        <v>18500</v>
      </c>
      <c r="D10" s="1"/>
      <c r="E10" s="1"/>
      <c r="F10" s="20">
        <f t="shared" si="0"/>
        <v>0</v>
      </c>
      <c r="G10" s="20">
        <f t="shared" si="0"/>
        <v>0</v>
      </c>
      <c r="H10" s="20">
        <f t="shared" si="1"/>
        <v>0</v>
      </c>
      <c r="I10" s="20" t="b">
        <f t="shared" si="2"/>
        <v>1</v>
      </c>
      <c r="J10" s="20"/>
      <c r="K10" s="20"/>
    </row>
    <row r="11" spans="1:11" ht="15.5" x14ac:dyDescent="0.35">
      <c r="A11" s="3" t="s">
        <v>81</v>
      </c>
      <c r="B11" s="1"/>
      <c r="C11" s="20">
        <v>23000</v>
      </c>
      <c r="D11" s="1"/>
      <c r="E11" s="1"/>
      <c r="F11" s="20">
        <f t="shared" si="0"/>
        <v>0</v>
      </c>
      <c r="G11" s="20">
        <f t="shared" si="0"/>
        <v>0</v>
      </c>
      <c r="H11" s="20">
        <f t="shared" si="1"/>
        <v>0</v>
      </c>
      <c r="I11" s="20" t="b">
        <f t="shared" si="2"/>
        <v>1</v>
      </c>
      <c r="J11" s="20"/>
      <c r="K11" s="20"/>
    </row>
    <row r="12" spans="1:11" ht="15.5" x14ac:dyDescent="0.35">
      <c r="A12" s="3" t="s">
        <v>82</v>
      </c>
      <c r="B12" s="1"/>
      <c r="C12" s="20">
        <v>18000</v>
      </c>
      <c r="D12" s="1"/>
      <c r="E12" s="1"/>
      <c r="F12" s="20">
        <f t="shared" si="0"/>
        <v>0</v>
      </c>
      <c r="G12" s="20">
        <f t="shared" si="0"/>
        <v>0</v>
      </c>
      <c r="H12" s="20">
        <f t="shared" si="1"/>
        <v>0</v>
      </c>
      <c r="I12" s="20" t="b">
        <f t="shared" si="2"/>
        <v>1</v>
      </c>
      <c r="J12" s="20"/>
      <c r="K12" s="20"/>
    </row>
    <row r="13" spans="1:11" ht="15.5" x14ac:dyDescent="0.35">
      <c r="A13" s="3" t="s">
        <v>83</v>
      </c>
      <c r="B13" s="1"/>
      <c r="C13" s="20">
        <v>18000</v>
      </c>
      <c r="D13" s="1"/>
      <c r="E13" s="1"/>
      <c r="F13" s="20">
        <f t="shared" si="0"/>
        <v>0</v>
      </c>
      <c r="G13" s="20">
        <f t="shared" si="0"/>
        <v>0</v>
      </c>
      <c r="H13" s="20">
        <f t="shared" si="1"/>
        <v>0</v>
      </c>
      <c r="I13" s="20" t="b">
        <f t="shared" si="2"/>
        <v>1</v>
      </c>
      <c r="J13" s="20"/>
      <c r="K13" s="20"/>
    </row>
    <row r="14" spans="1:11" ht="15.5" x14ac:dyDescent="0.35">
      <c r="A14" s="3" t="s">
        <v>84</v>
      </c>
      <c r="B14" s="1"/>
      <c r="C14" s="20">
        <v>18500</v>
      </c>
      <c r="D14" s="1"/>
      <c r="E14" s="1"/>
      <c r="F14" s="20">
        <f t="shared" si="0"/>
        <v>0</v>
      </c>
      <c r="G14" s="20">
        <f t="shared" si="0"/>
        <v>0</v>
      </c>
      <c r="H14" s="20">
        <f t="shared" si="1"/>
        <v>0</v>
      </c>
      <c r="I14" s="20" t="b">
        <f t="shared" si="2"/>
        <v>1</v>
      </c>
      <c r="J14" s="20"/>
      <c r="K14" s="20"/>
    </row>
    <row r="15" spans="1:11" ht="15.5" x14ac:dyDescent="0.35">
      <c r="A15" s="3" t="s">
        <v>85</v>
      </c>
      <c r="B15" s="1"/>
      <c r="C15" s="20">
        <v>18500</v>
      </c>
      <c r="D15" s="1"/>
      <c r="E15" s="1"/>
      <c r="F15" s="20">
        <f t="shared" si="0"/>
        <v>0</v>
      </c>
      <c r="G15" s="20">
        <f t="shared" si="0"/>
        <v>0</v>
      </c>
      <c r="H15" s="20">
        <f t="shared" si="1"/>
        <v>0</v>
      </c>
      <c r="I15" s="20" t="b">
        <f t="shared" si="2"/>
        <v>1</v>
      </c>
      <c r="J15" s="20"/>
      <c r="K15" s="20"/>
    </row>
    <row r="16" spans="1:11" ht="15.5" x14ac:dyDescent="0.35">
      <c r="A16" s="3" t="s">
        <v>86</v>
      </c>
      <c r="B16" s="1"/>
      <c r="C16" s="20">
        <v>18500</v>
      </c>
      <c r="D16" s="1"/>
      <c r="E16" s="1"/>
      <c r="F16" s="20">
        <f t="shared" si="0"/>
        <v>0</v>
      </c>
      <c r="G16" s="20">
        <f t="shared" si="0"/>
        <v>0</v>
      </c>
      <c r="H16" s="20">
        <f t="shared" si="1"/>
        <v>0</v>
      </c>
      <c r="I16" s="20" t="b">
        <f t="shared" si="2"/>
        <v>1</v>
      </c>
      <c r="J16" s="20"/>
      <c r="K16" s="20"/>
    </row>
    <row r="17" spans="1:11" ht="15.5" x14ac:dyDescent="0.35">
      <c r="A17" s="3" t="s">
        <v>87</v>
      </c>
      <c r="B17" s="1"/>
      <c r="C17" s="20">
        <v>18500</v>
      </c>
      <c r="D17" s="1"/>
      <c r="E17" s="1"/>
      <c r="F17" s="20">
        <f t="shared" si="0"/>
        <v>0</v>
      </c>
      <c r="G17" s="20">
        <f t="shared" si="0"/>
        <v>0</v>
      </c>
      <c r="H17" s="20">
        <f t="shared" si="1"/>
        <v>0</v>
      </c>
      <c r="I17" s="20" t="b">
        <f t="shared" si="2"/>
        <v>1</v>
      </c>
      <c r="J17" s="20"/>
      <c r="K17" s="20"/>
    </row>
    <row r="18" spans="1:11" ht="15.5" x14ac:dyDescent="0.35">
      <c r="A18" s="3" t="s">
        <v>88</v>
      </c>
      <c r="B18" s="1"/>
      <c r="C18" s="20">
        <v>18500</v>
      </c>
      <c r="D18" s="1"/>
      <c r="E18" s="1"/>
      <c r="F18" s="20">
        <f t="shared" si="0"/>
        <v>0</v>
      </c>
      <c r="G18" s="20">
        <f t="shared" si="0"/>
        <v>0</v>
      </c>
      <c r="H18" s="20">
        <f t="shared" si="1"/>
        <v>0</v>
      </c>
      <c r="I18" s="20" t="b">
        <f t="shared" si="2"/>
        <v>1</v>
      </c>
      <c r="J18" s="20"/>
      <c r="K18" s="20"/>
    </row>
    <row r="19" spans="1:11" ht="15.5" x14ac:dyDescent="0.35">
      <c r="A19" s="19" t="s">
        <v>89</v>
      </c>
      <c r="B19" s="1"/>
      <c r="C19" s="20"/>
      <c r="D19" s="1"/>
      <c r="E19" s="1"/>
      <c r="F19" s="20"/>
      <c r="G19" s="20"/>
      <c r="H19" s="20">
        <f t="shared" si="1"/>
        <v>0</v>
      </c>
      <c r="I19" s="20" t="b">
        <f t="shared" si="2"/>
        <v>1</v>
      </c>
      <c r="J19" s="20"/>
      <c r="K19" s="20"/>
    </row>
    <row r="20" spans="1:11" ht="15.5" x14ac:dyDescent="0.35">
      <c r="A20" s="3" t="s">
        <v>92</v>
      </c>
      <c r="B20" s="1"/>
      <c r="C20" s="20">
        <v>21500</v>
      </c>
      <c r="D20" s="1"/>
      <c r="E20" s="1"/>
      <c r="F20" s="20">
        <f t="shared" ref="F20:G22" si="3">C20*B20</f>
        <v>0</v>
      </c>
      <c r="G20" s="20">
        <f t="shared" si="3"/>
        <v>0</v>
      </c>
      <c r="H20" s="20">
        <f t="shared" si="1"/>
        <v>0</v>
      </c>
      <c r="I20" s="20" t="b">
        <f t="shared" si="2"/>
        <v>1</v>
      </c>
      <c r="J20" s="20"/>
      <c r="K20" s="20"/>
    </row>
    <row r="21" spans="1:11" ht="15.5" x14ac:dyDescent="0.35">
      <c r="A21" s="3" t="s">
        <v>93</v>
      </c>
      <c r="B21" s="1"/>
      <c r="C21" s="20">
        <v>21500</v>
      </c>
      <c r="D21" s="1"/>
      <c r="E21" s="1"/>
      <c r="F21" s="20">
        <f t="shared" si="3"/>
        <v>0</v>
      </c>
      <c r="G21" s="20">
        <f t="shared" si="3"/>
        <v>0</v>
      </c>
      <c r="H21" s="20">
        <f t="shared" si="1"/>
        <v>0</v>
      </c>
      <c r="I21" s="20" t="b">
        <f t="shared" si="2"/>
        <v>1</v>
      </c>
      <c r="J21" s="20"/>
      <c r="K21" s="20"/>
    </row>
    <row r="22" spans="1:11" ht="15.5" x14ac:dyDescent="0.35">
      <c r="A22" s="3" t="s">
        <v>94</v>
      </c>
      <c r="B22" s="1"/>
      <c r="C22" s="20">
        <v>21500</v>
      </c>
      <c r="D22" s="1"/>
      <c r="E22" s="1"/>
      <c r="F22" s="20">
        <f t="shared" si="3"/>
        <v>0</v>
      </c>
      <c r="G22" s="20">
        <f t="shared" si="3"/>
        <v>0</v>
      </c>
      <c r="H22" s="20">
        <f t="shared" si="1"/>
        <v>0</v>
      </c>
      <c r="I22" s="20" t="b">
        <f t="shared" si="2"/>
        <v>1</v>
      </c>
      <c r="J22" s="20"/>
      <c r="K22" s="20"/>
    </row>
    <row r="23" spans="1:11" ht="15.5" x14ac:dyDescent="0.35">
      <c r="A23" s="19"/>
      <c r="B23" s="22">
        <f>SUM(B6:B22)</f>
        <v>0</v>
      </c>
      <c r="C23" s="20"/>
      <c r="D23" s="1"/>
      <c r="E23" s="1"/>
      <c r="F23" s="23">
        <f>SUM(F6:F22)</f>
        <v>0</v>
      </c>
      <c r="G23" s="23">
        <f>SUM(G6:G22)</f>
        <v>0</v>
      </c>
      <c r="H23" s="23">
        <f>SUM(H6:H22)</f>
        <v>0</v>
      </c>
      <c r="I23" s="23"/>
      <c r="J23" s="23">
        <f>SUM(J6:J22)</f>
        <v>880000</v>
      </c>
      <c r="K23" s="23">
        <f>H23-J23</f>
        <v>-880000</v>
      </c>
    </row>
    <row r="24" spans="1:11" ht="15.5" x14ac:dyDescent="0.35">
      <c r="A24" s="19" t="s">
        <v>95</v>
      </c>
      <c r="B24" s="1"/>
      <c r="C24" s="20"/>
      <c r="D24" s="1"/>
      <c r="E24" s="1"/>
      <c r="F24" s="20"/>
      <c r="G24" s="20"/>
      <c r="H24" s="20" t="s">
        <v>192</v>
      </c>
      <c r="I24" s="20"/>
      <c r="J24" s="20"/>
      <c r="K24" s="20"/>
    </row>
    <row r="25" spans="1:11" ht="15.5" x14ac:dyDescent="0.35">
      <c r="A25" s="3" t="s">
        <v>96</v>
      </c>
      <c r="B25" s="1"/>
      <c r="C25" s="20">
        <v>3000</v>
      </c>
      <c r="D25" s="1"/>
      <c r="E25" s="20"/>
      <c r="F25" s="20">
        <f t="shared" ref="F25:F28" si="4">C25*B25</f>
        <v>0</v>
      </c>
      <c r="G25" s="20"/>
      <c r="H25" s="20"/>
      <c r="I25" s="20"/>
      <c r="J25" s="20"/>
      <c r="K25" s="20"/>
    </row>
    <row r="26" spans="1:11" ht="15.5" x14ac:dyDescent="0.35">
      <c r="A26" s="3" t="s">
        <v>97</v>
      </c>
      <c r="B26" s="1"/>
      <c r="C26" s="20">
        <v>2500</v>
      </c>
      <c r="D26" s="1"/>
      <c r="E26" s="1"/>
      <c r="F26" s="20">
        <f t="shared" si="4"/>
        <v>0</v>
      </c>
      <c r="G26" s="20"/>
      <c r="H26" s="20"/>
      <c r="I26" s="20"/>
      <c r="J26" s="20"/>
      <c r="K26" s="20"/>
    </row>
    <row r="27" spans="1:11" ht="15.5" x14ac:dyDescent="0.35">
      <c r="A27" s="3" t="s">
        <v>98</v>
      </c>
      <c r="B27" s="1"/>
      <c r="C27" s="20">
        <v>1800</v>
      </c>
      <c r="D27" s="1"/>
      <c r="E27" s="1"/>
      <c r="F27" s="20">
        <f t="shared" si="4"/>
        <v>0</v>
      </c>
      <c r="G27" s="20"/>
      <c r="H27" s="20"/>
      <c r="I27" s="20"/>
      <c r="J27" s="20"/>
      <c r="K27" s="20"/>
    </row>
    <row r="28" spans="1:11" ht="15.5" x14ac:dyDescent="0.35">
      <c r="A28" s="3" t="s">
        <v>99</v>
      </c>
      <c r="B28" s="1"/>
      <c r="C28" s="20">
        <v>3500</v>
      </c>
      <c r="D28" s="1"/>
      <c r="E28" s="1"/>
      <c r="F28" s="20">
        <f t="shared" si="4"/>
        <v>0</v>
      </c>
      <c r="G28" s="20"/>
      <c r="H28" s="20"/>
      <c r="I28" s="20"/>
      <c r="J28" s="20"/>
      <c r="K28" s="20"/>
    </row>
    <row r="29" spans="1:11" ht="15.5" x14ac:dyDescent="0.35">
      <c r="A29" s="18"/>
      <c r="F29" s="21"/>
    </row>
    <row r="30" spans="1:11" ht="15.5" x14ac:dyDescent="0.35">
      <c r="A30" s="24" t="s">
        <v>108</v>
      </c>
      <c r="K30" s="21"/>
    </row>
    <row r="31" spans="1:11" ht="15.5" x14ac:dyDescent="0.35">
      <c r="A31" s="18" t="s">
        <v>114</v>
      </c>
      <c r="B31" s="67">
        <v>40000</v>
      </c>
    </row>
    <row r="32" spans="1:11" ht="15.5" x14ac:dyDescent="0.35">
      <c r="A32" s="18" t="s">
        <v>112</v>
      </c>
      <c r="B32" s="67">
        <v>40000</v>
      </c>
    </row>
    <row r="33" spans="1:11" ht="15.5" x14ac:dyDescent="0.35">
      <c r="A33" s="18" t="s">
        <v>309</v>
      </c>
      <c r="B33" s="67">
        <v>60000</v>
      </c>
    </row>
    <row r="34" spans="1:11" ht="15.5" x14ac:dyDescent="0.35">
      <c r="A34" s="18" t="s">
        <v>110</v>
      </c>
      <c r="B34" s="67">
        <v>40000</v>
      </c>
    </row>
    <row r="35" spans="1:11" ht="15.5" x14ac:dyDescent="0.35">
      <c r="A35" s="18" t="s">
        <v>111</v>
      </c>
      <c r="B35" s="67">
        <v>40000</v>
      </c>
    </row>
    <row r="36" spans="1:11" ht="15.5" x14ac:dyDescent="0.35">
      <c r="A36" s="18" t="s">
        <v>196</v>
      </c>
      <c r="B36" s="67">
        <v>40000</v>
      </c>
    </row>
    <row r="37" spans="1:11" ht="15.5" x14ac:dyDescent="0.35">
      <c r="A37" s="18" t="s">
        <v>113</v>
      </c>
      <c r="B37" s="67">
        <v>40000</v>
      </c>
    </row>
    <row r="38" spans="1:11" ht="15.5" x14ac:dyDescent="0.35">
      <c r="A38" s="18" t="s">
        <v>209</v>
      </c>
      <c r="B38" s="67">
        <v>40000</v>
      </c>
    </row>
    <row r="39" spans="1:11" ht="15.5" x14ac:dyDescent="0.35">
      <c r="A39" s="18" t="s">
        <v>115</v>
      </c>
      <c r="B39" s="67">
        <v>60000</v>
      </c>
    </row>
    <row r="40" spans="1:11" ht="15.5" x14ac:dyDescent="0.35">
      <c r="A40" s="18" t="s">
        <v>109</v>
      </c>
      <c r="B40" s="67">
        <v>40000</v>
      </c>
    </row>
    <row r="41" spans="1:11" ht="15.5" x14ac:dyDescent="0.35">
      <c r="A41" s="24" t="s">
        <v>4</v>
      </c>
      <c r="B41" s="75">
        <f>SUM(B31:B40)</f>
        <v>440000</v>
      </c>
    </row>
    <row r="42" spans="1:11" ht="15.5" x14ac:dyDescent="0.35">
      <c r="A42" s="24" t="s">
        <v>4</v>
      </c>
      <c r="B42" s="17">
        <f>SUM(B31:B41)</f>
        <v>880000</v>
      </c>
    </row>
    <row r="43" spans="1:11" ht="15.5" x14ac:dyDescent="0.35">
      <c r="A43" s="24"/>
      <c r="B43" s="17"/>
    </row>
    <row r="44" spans="1:11" ht="15.5" x14ac:dyDescent="0.35">
      <c r="A44" s="24"/>
      <c r="B44" s="17"/>
    </row>
    <row r="46" spans="1:11" ht="18.5" x14ac:dyDescent="0.45">
      <c r="A46" s="150" t="s">
        <v>1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</row>
    <row r="47" spans="1:11" ht="18.5" x14ac:dyDescent="0.45">
      <c r="A47" s="150" t="s">
        <v>74</v>
      </c>
      <c r="B47" s="150"/>
      <c r="C47" s="150"/>
      <c r="D47" s="150"/>
      <c r="E47" s="150"/>
      <c r="F47" s="150"/>
      <c r="G47" s="150"/>
      <c r="H47" s="150"/>
      <c r="I47" s="150"/>
      <c r="J47" s="150"/>
      <c r="K47" s="150"/>
    </row>
    <row r="48" spans="1:11" ht="18.5" x14ac:dyDescent="0.45">
      <c r="A48" s="149" t="s">
        <v>360</v>
      </c>
      <c r="B48" s="149"/>
      <c r="C48" s="149"/>
      <c r="D48" s="149"/>
      <c r="E48" s="149"/>
      <c r="F48" s="149"/>
      <c r="G48" s="149"/>
      <c r="H48" s="149"/>
      <c r="I48" s="149"/>
      <c r="J48" s="149"/>
      <c r="K48" s="149"/>
    </row>
    <row r="49" spans="1:11" ht="18.5" x14ac:dyDescent="0.45">
      <c r="A49" s="150"/>
      <c r="B49" s="150"/>
      <c r="C49" s="150"/>
      <c r="D49" s="150"/>
      <c r="E49" s="150"/>
      <c r="F49" s="150"/>
      <c r="G49" s="150"/>
      <c r="H49" s="150"/>
      <c r="I49" s="150"/>
      <c r="J49" s="150"/>
      <c r="K49" s="150"/>
    </row>
    <row r="50" spans="1:11" ht="18.5" x14ac:dyDescent="0.45">
      <c r="A50" s="2" t="s">
        <v>75</v>
      </c>
      <c r="B50" s="2" t="s">
        <v>3</v>
      </c>
      <c r="C50" s="2" t="s">
        <v>100</v>
      </c>
      <c r="D50" s="2" t="s">
        <v>90</v>
      </c>
      <c r="E50" s="2" t="s">
        <v>91</v>
      </c>
      <c r="F50" s="2" t="s">
        <v>4</v>
      </c>
      <c r="G50" s="2" t="s">
        <v>101</v>
      </c>
      <c r="H50" s="2" t="s">
        <v>104</v>
      </c>
      <c r="I50" s="2"/>
      <c r="J50" s="2" t="s">
        <v>105</v>
      </c>
      <c r="K50" s="2" t="s">
        <v>106</v>
      </c>
    </row>
    <row r="51" spans="1:11" ht="15.5" x14ac:dyDescent="0.35">
      <c r="A51" s="3" t="s">
        <v>76</v>
      </c>
      <c r="B51" s="1"/>
      <c r="C51" s="20">
        <v>17500</v>
      </c>
      <c r="D51" s="1"/>
      <c r="E51" s="1"/>
      <c r="F51" s="20">
        <f>C51*B51</f>
        <v>0</v>
      </c>
      <c r="G51" s="20">
        <f>D51*C51</f>
        <v>0</v>
      </c>
      <c r="H51" s="20">
        <f>E51*C51</f>
        <v>0</v>
      </c>
      <c r="I51" s="20" t="b">
        <f>D51+E51=B51</f>
        <v>1</v>
      </c>
      <c r="J51" s="20">
        <f>B87</f>
        <v>880000</v>
      </c>
      <c r="K51" s="20"/>
    </row>
    <row r="52" spans="1:11" ht="15.5" x14ac:dyDescent="0.35">
      <c r="A52" s="3" t="s">
        <v>77</v>
      </c>
      <c r="B52" s="1"/>
      <c r="C52" s="20">
        <v>16000</v>
      </c>
      <c r="D52" s="1"/>
      <c r="E52" s="1"/>
      <c r="F52" s="20">
        <f t="shared" ref="F52:G63" si="5">C52*B52</f>
        <v>0</v>
      </c>
      <c r="G52" s="20">
        <f t="shared" si="5"/>
        <v>0</v>
      </c>
      <c r="H52" s="20">
        <f t="shared" ref="H52:H67" si="6">E52*C52</f>
        <v>0</v>
      </c>
      <c r="I52" s="20" t="b">
        <f t="shared" ref="I52:I67" si="7">D52+E52=B52</f>
        <v>1</v>
      </c>
      <c r="J52" s="20"/>
      <c r="K52" s="20"/>
    </row>
    <row r="53" spans="1:11" ht="15.5" x14ac:dyDescent="0.35">
      <c r="A53" s="3" t="s">
        <v>78</v>
      </c>
      <c r="B53" s="1"/>
      <c r="C53" s="20">
        <v>17500</v>
      </c>
      <c r="D53" s="1"/>
      <c r="E53" s="1"/>
      <c r="F53" s="20">
        <f t="shared" si="5"/>
        <v>0</v>
      </c>
      <c r="G53" s="20">
        <f t="shared" si="5"/>
        <v>0</v>
      </c>
      <c r="H53" s="20">
        <f t="shared" si="6"/>
        <v>0</v>
      </c>
      <c r="I53" s="20" t="b">
        <f t="shared" si="7"/>
        <v>1</v>
      </c>
      <c r="J53" s="20"/>
      <c r="K53" s="20"/>
    </row>
    <row r="54" spans="1:11" ht="15.5" x14ac:dyDescent="0.35">
      <c r="A54" s="3" t="s">
        <v>79</v>
      </c>
      <c r="B54" s="1"/>
      <c r="C54" s="20">
        <v>18500</v>
      </c>
      <c r="D54" s="1"/>
      <c r="E54" s="1"/>
      <c r="F54" s="20">
        <f t="shared" si="5"/>
        <v>0</v>
      </c>
      <c r="G54" s="20">
        <f t="shared" si="5"/>
        <v>0</v>
      </c>
      <c r="H54" s="20">
        <f t="shared" si="6"/>
        <v>0</v>
      </c>
      <c r="I54" s="20" t="b">
        <f t="shared" si="7"/>
        <v>1</v>
      </c>
      <c r="J54" s="20"/>
      <c r="K54" s="20"/>
    </row>
    <row r="55" spans="1:11" ht="15.5" x14ac:dyDescent="0.35">
      <c r="A55" s="3" t="s">
        <v>80</v>
      </c>
      <c r="B55" s="1"/>
      <c r="C55" s="20">
        <v>18500</v>
      </c>
      <c r="D55" s="1"/>
      <c r="E55" s="1"/>
      <c r="F55" s="20">
        <f t="shared" si="5"/>
        <v>0</v>
      </c>
      <c r="G55" s="20">
        <f t="shared" si="5"/>
        <v>0</v>
      </c>
      <c r="H55" s="20">
        <f t="shared" si="6"/>
        <v>0</v>
      </c>
      <c r="I55" s="20" t="b">
        <f t="shared" si="7"/>
        <v>1</v>
      </c>
      <c r="J55" s="20"/>
      <c r="K55" s="20"/>
    </row>
    <row r="56" spans="1:11" ht="15.5" x14ac:dyDescent="0.35">
      <c r="A56" s="3" t="s">
        <v>81</v>
      </c>
      <c r="B56" s="1"/>
      <c r="C56" s="20">
        <v>23000</v>
      </c>
      <c r="D56" s="1"/>
      <c r="E56" s="1"/>
      <c r="F56" s="20">
        <f t="shared" si="5"/>
        <v>0</v>
      </c>
      <c r="G56" s="20">
        <f t="shared" si="5"/>
        <v>0</v>
      </c>
      <c r="H56" s="20">
        <f t="shared" si="6"/>
        <v>0</v>
      </c>
      <c r="I56" s="20" t="b">
        <f t="shared" si="7"/>
        <v>1</v>
      </c>
      <c r="J56" s="20"/>
      <c r="K56" s="20"/>
    </row>
    <row r="57" spans="1:11" ht="15.5" x14ac:dyDescent="0.35">
      <c r="A57" s="3" t="s">
        <v>82</v>
      </c>
      <c r="B57" s="1"/>
      <c r="C57" s="20">
        <v>18000</v>
      </c>
      <c r="D57" s="1"/>
      <c r="E57" s="1"/>
      <c r="F57" s="20">
        <f t="shared" si="5"/>
        <v>0</v>
      </c>
      <c r="G57" s="20">
        <f t="shared" si="5"/>
        <v>0</v>
      </c>
      <c r="H57" s="20">
        <f t="shared" si="6"/>
        <v>0</v>
      </c>
      <c r="I57" s="20" t="b">
        <f t="shared" si="7"/>
        <v>1</v>
      </c>
      <c r="J57" s="20"/>
      <c r="K57" s="20"/>
    </row>
    <row r="58" spans="1:11" ht="15.5" x14ac:dyDescent="0.35">
      <c r="A58" s="3" t="s">
        <v>83</v>
      </c>
      <c r="B58" s="1"/>
      <c r="C58" s="20">
        <v>18000</v>
      </c>
      <c r="D58" s="1"/>
      <c r="E58" s="1"/>
      <c r="F58" s="20">
        <f t="shared" si="5"/>
        <v>0</v>
      </c>
      <c r="G58" s="20">
        <f t="shared" si="5"/>
        <v>0</v>
      </c>
      <c r="H58" s="20">
        <f t="shared" si="6"/>
        <v>0</v>
      </c>
      <c r="I58" s="20" t="b">
        <f t="shared" si="7"/>
        <v>1</v>
      </c>
      <c r="J58" s="20"/>
      <c r="K58" s="20"/>
    </row>
    <row r="59" spans="1:11" ht="15.5" x14ac:dyDescent="0.35">
      <c r="A59" s="3" t="s">
        <v>84</v>
      </c>
      <c r="B59" s="1"/>
      <c r="C59" s="20">
        <v>18500</v>
      </c>
      <c r="D59" s="1"/>
      <c r="E59" s="1"/>
      <c r="F59" s="20">
        <f t="shared" si="5"/>
        <v>0</v>
      </c>
      <c r="G59" s="20">
        <f t="shared" si="5"/>
        <v>0</v>
      </c>
      <c r="H59" s="20">
        <f t="shared" si="6"/>
        <v>0</v>
      </c>
      <c r="I59" s="20" t="b">
        <f t="shared" si="7"/>
        <v>1</v>
      </c>
      <c r="J59" s="20"/>
      <c r="K59" s="20"/>
    </row>
    <row r="60" spans="1:11" ht="15.5" x14ac:dyDescent="0.35">
      <c r="A60" s="3" t="s">
        <v>85</v>
      </c>
      <c r="B60" s="1"/>
      <c r="C60" s="20">
        <v>18500</v>
      </c>
      <c r="D60" s="1"/>
      <c r="E60" s="1"/>
      <c r="F60" s="20">
        <f t="shared" si="5"/>
        <v>0</v>
      </c>
      <c r="G60" s="20">
        <f t="shared" si="5"/>
        <v>0</v>
      </c>
      <c r="H60" s="20">
        <f t="shared" si="6"/>
        <v>0</v>
      </c>
      <c r="I60" s="20" t="b">
        <f t="shared" si="7"/>
        <v>1</v>
      </c>
      <c r="J60" s="20"/>
      <c r="K60" s="20"/>
    </row>
    <row r="61" spans="1:11" ht="15.5" x14ac:dyDescent="0.35">
      <c r="A61" s="3" t="s">
        <v>86</v>
      </c>
      <c r="B61" s="1"/>
      <c r="C61" s="20">
        <v>18500</v>
      </c>
      <c r="D61" s="1"/>
      <c r="E61" s="1"/>
      <c r="F61" s="20">
        <f t="shared" si="5"/>
        <v>0</v>
      </c>
      <c r="G61" s="20">
        <f t="shared" si="5"/>
        <v>0</v>
      </c>
      <c r="H61" s="20">
        <f t="shared" si="6"/>
        <v>0</v>
      </c>
      <c r="I61" s="20" t="b">
        <f t="shared" si="7"/>
        <v>1</v>
      </c>
      <c r="J61" s="20"/>
      <c r="K61" s="20"/>
    </row>
    <row r="62" spans="1:11" ht="15.5" x14ac:dyDescent="0.35">
      <c r="A62" s="3" t="s">
        <v>87</v>
      </c>
      <c r="B62" s="1"/>
      <c r="C62" s="20">
        <v>18500</v>
      </c>
      <c r="D62" s="1"/>
      <c r="E62" s="1"/>
      <c r="F62" s="20">
        <f t="shared" si="5"/>
        <v>0</v>
      </c>
      <c r="G62" s="20">
        <f t="shared" si="5"/>
        <v>0</v>
      </c>
      <c r="H62" s="20">
        <f t="shared" si="6"/>
        <v>0</v>
      </c>
      <c r="I62" s="20" t="b">
        <f t="shared" si="7"/>
        <v>1</v>
      </c>
      <c r="J62" s="20"/>
      <c r="K62" s="20"/>
    </row>
    <row r="63" spans="1:11" ht="15.5" x14ac:dyDescent="0.35">
      <c r="A63" s="3" t="s">
        <v>88</v>
      </c>
      <c r="B63" s="1"/>
      <c r="C63" s="20">
        <v>18500</v>
      </c>
      <c r="D63" s="1"/>
      <c r="E63" s="1"/>
      <c r="F63" s="20">
        <f t="shared" si="5"/>
        <v>0</v>
      </c>
      <c r="G63" s="20">
        <f t="shared" si="5"/>
        <v>0</v>
      </c>
      <c r="H63" s="20">
        <f t="shared" si="6"/>
        <v>0</v>
      </c>
      <c r="I63" s="20" t="b">
        <f t="shared" si="7"/>
        <v>1</v>
      </c>
      <c r="J63" s="20"/>
      <c r="K63" s="20"/>
    </row>
    <row r="64" spans="1:11" ht="15.5" x14ac:dyDescent="0.35">
      <c r="A64" s="19" t="s">
        <v>89</v>
      </c>
      <c r="B64" s="1"/>
      <c r="C64" s="20"/>
      <c r="D64" s="1"/>
      <c r="E64" s="1"/>
      <c r="F64" s="20"/>
      <c r="G64" s="20"/>
      <c r="H64" s="20">
        <f t="shared" si="6"/>
        <v>0</v>
      </c>
      <c r="I64" s="20" t="b">
        <f t="shared" si="7"/>
        <v>1</v>
      </c>
      <c r="J64" s="20"/>
      <c r="K64" s="20"/>
    </row>
    <row r="65" spans="1:11" ht="15.5" x14ac:dyDescent="0.35">
      <c r="A65" s="3" t="s">
        <v>92</v>
      </c>
      <c r="B65" s="1"/>
      <c r="C65" s="20">
        <v>21500</v>
      </c>
      <c r="D65" s="1"/>
      <c r="E65" s="1"/>
      <c r="F65" s="20">
        <f t="shared" ref="F65:G67" si="8">C65*B65</f>
        <v>0</v>
      </c>
      <c r="G65" s="20">
        <f t="shared" si="8"/>
        <v>0</v>
      </c>
      <c r="H65" s="20">
        <f t="shared" si="6"/>
        <v>0</v>
      </c>
      <c r="I65" s="20" t="b">
        <f t="shared" si="7"/>
        <v>1</v>
      </c>
      <c r="J65" s="20"/>
      <c r="K65" s="20"/>
    </row>
    <row r="66" spans="1:11" ht="15.5" x14ac:dyDescent="0.35">
      <c r="A66" s="3" t="s">
        <v>93</v>
      </c>
      <c r="B66" s="1"/>
      <c r="C66" s="20">
        <v>21500</v>
      </c>
      <c r="D66" s="1"/>
      <c r="E66" s="1"/>
      <c r="F66" s="20">
        <f t="shared" si="8"/>
        <v>0</v>
      </c>
      <c r="G66" s="20">
        <f t="shared" si="8"/>
        <v>0</v>
      </c>
      <c r="H66" s="20">
        <f t="shared" si="6"/>
        <v>0</v>
      </c>
      <c r="I66" s="20" t="b">
        <f t="shared" si="7"/>
        <v>1</v>
      </c>
      <c r="J66" s="20"/>
      <c r="K66" s="20"/>
    </row>
    <row r="67" spans="1:11" ht="15.5" x14ac:dyDescent="0.35">
      <c r="A67" s="3" t="s">
        <v>94</v>
      </c>
      <c r="B67" s="1"/>
      <c r="C67" s="20">
        <v>21500</v>
      </c>
      <c r="D67" s="1"/>
      <c r="E67" s="1"/>
      <c r="F67" s="20">
        <f t="shared" si="8"/>
        <v>0</v>
      </c>
      <c r="G67" s="20">
        <f t="shared" si="8"/>
        <v>0</v>
      </c>
      <c r="H67" s="20">
        <f t="shared" si="6"/>
        <v>0</v>
      </c>
      <c r="I67" s="20" t="b">
        <f t="shared" si="7"/>
        <v>1</v>
      </c>
      <c r="J67" s="20"/>
      <c r="K67" s="20"/>
    </row>
    <row r="68" spans="1:11" ht="15.5" x14ac:dyDescent="0.35">
      <c r="A68" s="19"/>
      <c r="B68" s="22">
        <f>SUM(B51:B67)</f>
        <v>0</v>
      </c>
      <c r="C68" s="20"/>
      <c r="D68" s="1"/>
      <c r="E68" s="1"/>
      <c r="F68" s="23">
        <f>SUM(F51:F67)</f>
        <v>0</v>
      </c>
      <c r="G68" s="23">
        <f>SUM(G51:G67)</f>
        <v>0</v>
      </c>
      <c r="H68" s="23">
        <f>SUM(H51:H67)</f>
        <v>0</v>
      </c>
      <c r="I68" s="23"/>
      <c r="J68" s="23">
        <f>SUM(J51:J67)</f>
        <v>880000</v>
      </c>
      <c r="K68" s="23">
        <f>H68-J68</f>
        <v>-880000</v>
      </c>
    </row>
    <row r="69" spans="1:11" ht="15.5" x14ac:dyDescent="0.35">
      <c r="A69" s="19" t="s">
        <v>95</v>
      </c>
      <c r="B69" s="1"/>
      <c r="C69" s="20"/>
      <c r="D69" s="1"/>
      <c r="E69" s="1"/>
      <c r="F69" s="20"/>
      <c r="G69" s="20"/>
      <c r="H69" s="20" t="s">
        <v>192</v>
      </c>
      <c r="I69" s="20"/>
      <c r="J69" s="20"/>
      <c r="K69" s="20"/>
    </row>
    <row r="70" spans="1:11" ht="15.5" x14ac:dyDescent="0.35">
      <c r="A70" s="3" t="s">
        <v>96</v>
      </c>
      <c r="B70" s="1"/>
      <c r="C70" s="20">
        <v>3000</v>
      </c>
      <c r="D70" s="1"/>
      <c r="E70" s="20"/>
      <c r="F70" s="20">
        <f t="shared" ref="F70:F73" si="9">C70*B70</f>
        <v>0</v>
      </c>
      <c r="G70" s="20"/>
      <c r="H70" s="20"/>
      <c r="I70" s="20"/>
      <c r="J70" s="20"/>
      <c r="K70" s="20"/>
    </row>
    <row r="71" spans="1:11" ht="15.5" x14ac:dyDescent="0.35">
      <c r="A71" s="3" t="s">
        <v>97</v>
      </c>
      <c r="B71" s="1"/>
      <c r="C71" s="20">
        <v>2500</v>
      </c>
      <c r="D71" s="1"/>
      <c r="E71" s="1"/>
      <c r="F71" s="20">
        <f t="shared" si="9"/>
        <v>0</v>
      </c>
      <c r="G71" s="20"/>
      <c r="H71" s="20"/>
      <c r="I71" s="20"/>
      <c r="J71" s="20"/>
      <c r="K71" s="20"/>
    </row>
    <row r="72" spans="1:11" ht="15.5" x14ac:dyDescent="0.35">
      <c r="A72" s="3" t="s">
        <v>98</v>
      </c>
      <c r="B72" s="1"/>
      <c r="C72" s="20">
        <v>1800</v>
      </c>
      <c r="D72" s="1"/>
      <c r="E72" s="1"/>
      <c r="F72" s="20">
        <f t="shared" si="9"/>
        <v>0</v>
      </c>
      <c r="G72" s="20"/>
      <c r="H72" s="20"/>
      <c r="I72" s="20"/>
      <c r="J72" s="20"/>
      <c r="K72" s="20"/>
    </row>
    <row r="73" spans="1:11" ht="15.5" x14ac:dyDescent="0.35">
      <c r="A73" s="3" t="s">
        <v>99</v>
      </c>
      <c r="B73" s="1"/>
      <c r="C73" s="20">
        <v>3500</v>
      </c>
      <c r="D73" s="1"/>
      <c r="E73" s="1"/>
      <c r="F73" s="20">
        <f t="shared" si="9"/>
        <v>0</v>
      </c>
      <c r="G73" s="20"/>
      <c r="H73" s="20"/>
      <c r="I73" s="20"/>
      <c r="J73" s="20"/>
      <c r="K73" s="20"/>
    </row>
    <row r="74" spans="1:11" ht="15.5" x14ac:dyDescent="0.35">
      <c r="A74" s="18"/>
      <c r="F74" s="21"/>
    </row>
    <row r="75" spans="1:11" ht="15.5" x14ac:dyDescent="0.35">
      <c r="A75" s="24" t="s">
        <v>108</v>
      </c>
      <c r="K75" s="21"/>
    </row>
    <row r="76" spans="1:11" ht="15.5" x14ac:dyDescent="0.35">
      <c r="A76" s="18" t="s">
        <v>114</v>
      </c>
      <c r="B76" s="67">
        <v>40000</v>
      </c>
    </row>
    <row r="77" spans="1:11" ht="15.5" x14ac:dyDescent="0.35">
      <c r="A77" s="18" t="s">
        <v>112</v>
      </c>
      <c r="B77" s="67">
        <v>40000</v>
      </c>
    </row>
    <row r="78" spans="1:11" ht="15.5" x14ac:dyDescent="0.35">
      <c r="A78" s="18" t="s">
        <v>309</v>
      </c>
      <c r="B78" s="67">
        <v>60000</v>
      </c>
    </row>
    <row r="79" spans="1:11" ht="15.5" x14ac:dyDescent="0.35">
      <c r="A79" s="18" t="s">
        <v>110</v>
      </c>
      <c r="B79" s="67">
        <v>40000</v>
      </c>
    </row>
    <row r="80" spans="1:11" ht="15.5" x14ac:dyDescent="0.35">
      <c r="A80" s="18" t="s">
        <v>111</v>
      </c>
      <c r="B80" s="67">
        <v>40000</v>
      </c>
    </row>
    <row r="81" spans="1:11" ht="15.5" x14ac:dyDescent="0.35">
      <c r="A81" s="18" t="s">
        <v>196</v>
      </c>
      <c r="B81" s="67">
        <v>40000</v>
      </c>
    </row>
    <row r="82" spans="1:11" ht="15.5" x14ac:dyDescent="0.35">
      <c r="A82" s="18" t="s">
        <v>113</v>
      </c>
      <c r="B82" s="67">
        <v>40000</v>
      </c>
    </row>
    <row r="83" spans="1:11" ht="15.5" x14ac:dyDescent="0.35">
      <c r="A83" s="18" t="s">
        <v>209</v>
      </c>
      <c r="B83" s="67">
        <v>40000</v>
      </c>
    </row>
    <row r="84" spans="1:11" ht="15.5" x14ac:dyDescent="0.35">
      <c r="A84" s="18" t="s">
        <v>115</v>
      </c>
      <c r="B84" s="67">
        <v>60000</v>
      </c>
    </row>
    <row r="85" spans="1:11" ht="15.5" x14ac:dyDescent="0.35">
      <c r="A85" s="18" t="s">
        <v>109</v>
      </c>
      <c r="B85" s="67">
        <v>40000</v>
      </c>
    </row>
    <row r="86" spans="1:11" ht="15.5" x14ac:dyDescent="0.35">
      <c r="A86" s="24" t="s">
        <v>4</v>
      </c>
      <c r="B86" s="75">
        <f>SUM(B76:B85)</f>
        <v>440000</v>
      </c>
    </row>
    <row r="87" spans="1:11" ht="15.5" x14ac:dyDescent="0.35">
      <c r="A87" s="24" t="s">
        <v>4</v>
      </c>
      <c r="B87" s="17">
        <f>SUM(B76:B86)</f>
        <v>880000</v>
      </c>
    </row>
    <row r="90" spans="1:11" ht="18.5" x14ac:dyDescent="0.45">
      <c r="A90" s="150" t="s">
        <v>1</v>
      </c>
      <c r="B90" s="150"/>
      <c r="C90" s="150"/>
      <c r="D90" s="150"/>
      <c r="E90" s="150"/>
      <c r="F90" s="150"/>
      <c r="G90" s="150"/>
      <c r="H90" s="150"/>
      <c r="I90" s="150"/>
      <c r="J90" s="150"/>
      <c r="K90" s="150"/>
    </row>
    <row r="91" spans="1:11" ht="18.5" x14ac:dyDescent="0.45">
      <c r="A91" s="150" t="s">
        <v>74</v>
      </c>
      <c r="B91" s="150"/>
      <c r="C91" s="150"/>
      <c r="D91" s="150"/>
      <c r="E91" s="150"/>
      <c r="F91" s="150"/>
      <c r="G91" s="150"/>
      <c r="H91" s="150"/>
      <c r="I91" s="150"/>
      <c r="J91" s="150"/>
      <c r="K91" s="150"/>
    </row>
    <row r="92" spans="1:11" ht="18.5" x14ac:dyDescent="0.45">
      <c r="A92" s="149" t="s">
        <v>360</v>
      </c>
      <c r="B92" s="149"/>
      <c r="C92" s="149"/>
      <c r="D92" s="149"/>
      <c r="E92" s="149"/>
      <c r="F92" s="149"/>
      <c r="G92" s="149"/>
      <c r="H92" s="149"/>
      <c r="I92" s="149"/>
      <c r="J92" s="149"/>
      <c r="K92" s="149"/>
    </row>
    <row r="93" spans="1:11" ht="18.5" x14ac:dyDescent="0.45">
      <c r="A93" s="150"/>
      <c r="B93" s="150"/>
      <c r="C93" s="150"/>
      <c r="D93" s="150"/>
      <c r="E93" s="150"/>
      <c r="F93" s="150"/>
      <c r="G93" s="150"/>
      <c r="H93" s="150"/>
      <c r="I93" s="150"/>
      <c r="J93" s="150"/>
      <c r="K93" s="150"/>
    </row>
    <row r="94" spans="1:11" ht="18.5" x14ac:dyDescent="0.45">
      <c r="A94" s="2" t="s">
        <v>75</v>
      </c>
      <c r="B94" s="2" t="s">
        <v>3</v>
      </c>
      <c r="C94" s="2" t="s">
        <v>100</v>
      </c>
      <c r="D94" s="2" t="s">
        <v>90</v>
      </c>
      <c r="E94" s="2" t="s">
        <v>91</v>
      </c>
      <c r="F94" s="2" t="s">
        <v>4</v>
      </c>
      <c r="G94" s="2" t="s">
        <v>101</v>
      </c>
      <c r="H94" s="2" t="s">
        <v>104</v>
      </c>
      <c r="I94" s="2"/>
      <c r="J94" s="2" t="s">
        <v>105</v>
      </c>
      <c r="K94" s="2" t="s">
        <v>106</v>
      </c>
    </row>
    <row r="95" spans="1:11" ht="15.5" x14ac:dyDescent="0.35">
      <c r="A95" s="3" t="s">
        <v>76</v>
      </c>
      <c r="B95" s="1"/>
      <c r="C95" s="20">
        <v>17500</v>
      </c>
      <c r="D95" s="1"/>
      <c r="E95" s="1"/>
      <c r="F95" s="20">
        <f>C95*B95</f>
        <v>0</v>
      </c>
      <c r="G95" s="20">
        <f>D95*C95</f>
        <v>0</v>
      </c>
      <c r="H95" s="20">
        <f>E95*C95</f>
        <v>0</v>
      </c>
      <c r="I95" s="20" t="b">
        <f>D95+E95=B95</f>
        <v>1</v>
      </c>
      <c r="J95" s="20">
        <f>B131</f>
        <v>880000</v>
      </c>
      <c r="K95" s="20"/>
    </row>
    <row r="96" spans="1:11" ht="15.5" x14ac:dyDescent="0.35">
      <c r="A96" s="3" t="s">
        <v>77</v>
      </c>
      <c r="B96" s="1"/>
      <c r="C96" s="20">
        <v>16000</v>
      </c>
      <c r="D96" s="1"/>
      <c r="E96" s="1"/>
      <c r="F96" s="20">
        <f t="shared" ref="F96:G107" si="10">C96*B96</f>
        <v>0</v>
      </c>
      <c r="G96" s="20">
        <f t="shared" si="10"/>
        <v>0</v>
      </c>
      <c r="H96" s="20">
        <f t="shared" ref="H96:H111" si="11">E96*C96</f>
        <v>0</v>
      </c>
      <c r="I96" s="20" t="b">
        <f t="shared" ref="I96:I111" si="12">D96+E96=B96</f>
        <v>1</v>
      </c>
      <c r="J96" s="20"/>
      <c r="K96" s="20"/>
    </row>
    <row r="97" spans="1:11" ht="15.5" x14ac:dyDescent="0.35">
      <c r="A97" s="3" t="s">
        <v>78</v>
      </c>
      <c r="B97" s="1"/>
      <c r="C97" s="20">
        <v>17500</v>
      </c>
      <c r="D97" s="1"/>
      <c r="E97" s="1"/>
      <c r="F97" s="20">
        <f t="shared" si="10"/>
        <v>0</v>
      </c>
      <c r="G97" s="20">
        <f t="shared" si="10"/>
        <v>0</v>
      </c>
      <c r="H97" s="20">
        <f t="shared" si="11"/>
        <v>0</v>
      </c>
      <c r="I97" s="20" t="b">
        <f t="shared" si="12"/>
        <v>1</v>
      </c>
      <c r="J97" s="20"/>
      <c r="K97" s="20"/>
    </row>
    <row r="98" spans="1:11" ht="15.5" x14ac:dyDescent="0.35">
      <c r="A98" s="3" t="s">
        <v>79</v>
      </c>
      <c r="B98" s="1"/>
      <c r="C98" s="20">
        <v>18500</v>
      </c>
      <c r="D98" s="1"/>
      <c r="E98" s="1"/>
      <c r="F98" s="20">
        <f t="shared" si="10"/>
        <v>0</v>
      </c>
      <c r="G98" s="20">
        <f t="shared" si="10"/>
        <v>0</v>
      </c>
      <c r="H98" s="20">
        <f t="shared" si="11"/>
        <v>0</v>
      </c>
      <c r="I98" s="20" t="b">
        <f t="shared" si="12"/>
        <v>1</v>
      </c>
      <c r="J98" s="20"/>
      <c r="K98" s="20"/>
    </row>
    <row r="99" spans="1:11" ht="15.5" x14ac:dyDescent="0.35">
      <c r="A99" s="3" t="s">
        <v>80</v>
      </c>
      <c r="B99" s="1"/>
      <c r="C99" s="20">
        <v>18500</v>
      </c>
      <c r="D99" s="1"/>
      <c r="E99" s="1"/>
      <c r="F99" s="20">
        <f t="shared" si="10"/>
        <v>0</v>
      </c>
      <c r="G99" s="20">
        <f t="shared" si="10"/>
        <v>0</v>
      </c>
      <c r="H99" s="20">
        <f t="shared" si="11"/>
        <v>0</v>
      </c>
      <c r="I99" s="20" t="b">
        <f t="shared" si="12"/>
        <v>1</v>
      </c>
      <c r="J99" s="20"/>
      <c r="K99" s="20"/>
    </row>
    <row r="100" spans="1:11" ht="15.5" x14ac:dyDescent="0.35">
      <c r="A100" s="3" t="s">
        <v>81</v>
      </c>
      <c r="B100" s="1"/>
      <c r="C100" s="20">
        <v>23000</v>
      </c>
      <c r="D100" s="1"/>
      <c r="E100" s="1"/>
      <c r="F100" s="20">
        <f t="shared" si="10"/>
        <v>0</v>
      </c>
      <c r="G100" s="20">
        <f t="shared" si="10"/>
        <v>0</v>
      </c>
      <c r="H100" s="20">
        <f t="shared" si="11"/>
        <v>0</v>
      </c>
      <c r="I100" s="20" t="b">
        <f t="shared" si="12"/>
        <v>1</v>
      </c>
      <c r="J100" s="20"/>
      <c r="K100" s="20"/>
    </row>
    <row r="101" spans="1:11" ht="15.5" x14ac:dyDescent="0.35">
      <c r="A101" s="3" t="s">
        <v>82</v>
      </c>
      <c r="B101" s="1"/>
      <c r="C101" s="20">
        <v>18000</v>
      </c>
      <c r="D101" s="1"/>
      <c r="E101" s="1"/>
      <c r="F101" s="20">
        <f t="shared" si="10"/>
        <v>0</v>
      </c>
      <c r="G101" s="20">
        <f t="shared" si="10"/>
        <v>0</v>
      </c>
      <c r="H101" s="20">
        <f t="shared" si="11"/>
        <v>0</v>
      </c>
      <c r="I101" s="20" t="b">
        <f t="shared" si="12"/>
        <v>1</v>
      </c>
      <c r="J101" s="20"/>
      <c r="K101" s="20"/>
    </row>
    <row r="102" spans="1:11" ht="15.5" x14ac:dyDescent="0.35">
      <c r="A102" s="3" t="s">
        <v>83</v>
      </c>
      <c r="B102" s="1"/>
      <c r="C102" s="20">
        <v>18000</v>
      </c>
      <c r="D102" s="1"/>
      <c r="E102" s="1"/>
      <c r="F102" s="20">
        <f t="shared" si="10"/>
        <v>0</v>
      </c>
      <c r="G102" s="20">
        <f t="shared" si="10"/>
        <v>0</v>
      </c>
      <c r="H102" s="20">
        <f t="shared" si="11"/>
        <v>0</v>
      </c>
      <c r="I102" s="20" t="b">
        <f t="shared" si="12"/>
        <v>1</v>
      </c>
      <c r="J102" s="20"/>
      <c r="K102" s="20"/>
    </row>
    <row r="103" spans="1:11" ht="15.5" x14ac:dyDescent="0.35">
      <c r="A103" s="3" t="s">
        <v>84</v>
      </c>
      <c r="B103" s="1"/>
      <c r="C103" s="20">
        <v>18500</v>
      </c>
      <c r="D103" s="1"/>
      <c r="E103" s="1"/>
      <c r="F103" s="20">
        <f t="shared" si="10"/>
        <v>0</v>
      </c>
      <c r="G103" s="20">
        <f t="shared" si="10"/>
        <v>0</v>
      </c>
      <c r="H103" s="20">
        <f t="shared" si="11"/>
        <v>0</v>
      </c>
      <c r="I103" s="20" t="b">
        <f t="shared" si="12"/>
        <v>1</v>
      </c>
      <c r="J103" s="20"/>
      <c r="K103" s="20"/>
    </row>
    <row r="104" spans="1:11" ht="15.5" x14ac:dyDescent="0.35">
      <c r="A104" s="3" t="s">
        <v>85</v>
      </c>
      <c r="B104" s="1"/>
      <c r="C104" s="20">
        <v>18500</v>
      </c>
      <c r="D104" s="1"/>
      <c r="E104" s="1"/>
      <c r="F104" s="20">
        <f t="shared" si="10"/>
        <v>0</v>
      </c>
      <c r="G104" s="20">
        <f t="shared" si="10"/>
        <v>0</v>
      </c>
      <c r="H104" s="20">
        <f t="shared" si="11"/>
        <v>0</v>
      </c>
      <c r="I104" s="20" t="b">
        <f t="shared" si="12"/>
        <v>1</v>
      </c>
      <c r="J104" s="20"/>
      <c r="K104" s="20"/>
    </row>
    <row r="105" spans="1:11" ht="15.5" x14ac:dyDescent="0.35">
      <c r="A105" s="3" t="s">
        <v>86</v>
      </c>
      <c r="B105" s="1"/>
      <c r="C105" s="20">
        <v>18500</v>
      </c>
      <c r="D105" s="1"/>
      <c r="E105" s="1"/>
      <c r="F105" s="20">
        <f t="shared" si="10"/>
        <v>0</v>
      </c>
      <c r="G105" s="20">
        <f t="shared" si="10"/>
        <v>0</v>
      </c>
      <c r="H105" s="20">
        <f t="shared" si="11"/>
        <v>0</v>
      </c>
      <c r="I105" s="20" t="b">
        <f t="shared" si="12"/>
        <v>1</v>
      </c>
      <c r="J105" s="20"/>
      <c r="K105" s="20"/>
    </row>
    <row r="106" spans="1:11" ht="15.5" x14ac:dyDescent="0.35">
      <c r="A106" s="3" t="s">
        <v>87</v>
      </c>
      <c r="B106" s="1"/>
      <c r="C106" s="20">
        <v>18500</v>
      </c>
      <c r="D106" s="1"/>
      <c r="E106" s="1"/>
      <c r="F106" s="20">
        <f t="shared" si="10"/>
        <v>0</v>
      </c>
      <c r="G106" s="20">
        <f t="shared" si="10"/>
        <v>0</v>
      </c>
      <c r="H106" s="20">
        <f t="shared" si="11"/>
        <v>0</v>
      </c>
      <c r="I106" s="20" t="b">
        <f t="shared" si="12"/>
        <v>1</v>
      </c>
      <c r="J106" s="20"/>
      <c r="K106" s="20"/>
    </row>
    <row r="107" spans="1:11" ht="15.5" x14ac:dyDescent="0.35">
      <c r="A107" s="3" t="s">
        <v>88</v>
      </c>
      <c r="B107" s="1"/>
      <c r="C107" s="20">
        <v>18500</v>
      </c>
      <c r="D107" s="1"/>
      <c r="E107" s="1"/>
      <c r="F107" s="20">
        <f t="shared" si="10"/>
        <v>0</v>
      </c>
      <c r="G107" s="20">
        <f t="shared" si="10"/>
        <v>0</v>
      </c>
      <c r="H107" s="20">
        <f t="shared" si="11"/>
        <v>0</v>
      </c>
      <c r="I107" s="20" t="b">
        <f t="shared" si="12"/>
        <v>1</v>
      </c>
      <c r="J107" s="20"/>
      <c r="K107" s="20"/>
    </row>
    <row r="108" spans="1:11" ht="15.5" x14ac:dyDescent="0.35">
      <c r="A108" s="19" t="s">
        <v>89</v>
      </c>
      <c r="B108" s="1"/>
      <c r="C108" s="20"/>
      <c r="D108" s="1"/>
      <c r="E108" s="1"/>
      <c r="F108" s="20"/>
      <c r="G108" s="20"/>
      <c r="H108" s="20">
        <f t="shared" si="11"/>
        <v>0</v>
      </c>
      <c r="I108" s="20" t="b">
        <f t="shared" si="12"/>
        <v>1</v>
      </c>
      <c r="J108" s="20"/>
      <c r="K108" s="20"/>
    </row>
    <row r="109" spans="1:11" ht="15.5" x14ac:dyDescent="0.35">
      <c r="A109" s="3" t="s">
        <v>92</v>
      </c>
      <c r="B109" s="1"/>
      <c r="C109" s="20">
        <v>21500</v>
      </c>
      <c r="D109" s="1"/>
      <c r="E109" s="1"/>
      <c r="F109" s="20">
        <f t="shared" ref="F109:G111" si="13">C109*B109</f>
        <v>0</v>
      </c>
      <c r="G109" s="20">
        <f t="shared" si="13"/>
        <v>0</v>
      </c>
      <c r="H109" s="20">
        <f t="shared" si="11"/>
        <v>0</v>
      </c>
      <c r="I109" s="20" t="b">
        <f t="shared" si="12"/>
        <v>1</v>
      </c>
      <c r="J109" s="20"/>
      <c r="K109" s="20"/>
    </row>
    <row r="110" spans="1:11" ht="15.5" x14ac:dyDescent="0.35">
      <c r="A110" s="3" t="s">
        <v>93</v>
      </c>
      <c r="B110" s="1"/>
      <c r="C110" s="20">
        <v>21500</v>
      </c>
      <c r="D110" s="1"/>
      <c r="E110" s="1"/>
      <c r="F110" s="20">
        <f t="shared" si="13"/>
        <v>0</v>
      </c>
      <c r="G110" s="20">
        <f t="shared" si="13"/>
        <v>0</v>
      </c>
      <c r="H110" s="20">
        <f t="shared" si="11"/>
        <v>0</v>
      </c>
      <c r="I110" s="20" t="b">
        <f t="shared" si="12"/>
        <v>1</v>
      </c>
      <c r="J110" s="20"/>
      <c r="K110" s="20"/>
    </row>
    <row r="111" spans="1:11" ht="15.5" x14ac:dyDescent="0.35">
      <c r="A111" s="3" t="s">
        <v>94</v>
      </c>
      <c r="B111" s="1"/>
      <c r="C111" s="20">
        <v>21500</v>
      </c>
      <c r="D111" s="1"/>
      <c r="E111" s="1"/>
      <c r="F111" s="20">
        <f t="shared" si="13"/>
        <v>0</v>
      </c>
      <c r="G111" s="20">
        <f t="shared" si="13"/>
        <v>0</v>
      </c>
      <c r="H111" s="20">
        <f t="shared" si="11"/>
        <v>0</v>
      </c>
      <c r="I111" s="20" t="b">
        <f t="shared" si="12"/>
        <v>1</v>
      </c>
      <c r="J111" s="20"/>
      <c r="K111" s="20"/>
    </row>
    <row r="112" spans="1:11" ht="15.5" x14ac:dyDescent="0.35">
      <c r="A112" s="19"/>
      <c r="B112" s="22">
        <f>SUM(B95:B111)</f>
        <v>0</v>
      </c>
      <c r="C112" s="20"/>
      <c r="D112" s="1"/>
      <c r="E112" s="1"/>
      <c r="F112" s="23">
        <f>SUM(F95:F111)</f>
        <v>0</v>
      </c>
      <c r="G112" s="23">
        <f>SUM(G95:G111)</f>
        <v>0</v>
      </c>
      <c r="H112" s="23">
        <f>SUM(H95:H111)</f>
        <v>0</v>
      </c>
      <c r="I112" s="23"/>
      <c r="J112" s="23">
        <f>SUM(J95:J111)</f>
        <v>880000</v>
      </c>
      <c r="K112" s="23">
        <f>H112-J112</f>
        <v>-880000</v>
      </c>
    </row>
    <row r="113" spans="1:11" ht="15.5" x14ac:dyDescent="0.35">
      <c r="A113" s="19" t="s">
        <v>95</v>
      </c>
      <c r="B113" s="1"/>
      <c r="C113" s="20"/>
      <c r="D113" s="1"/>
      <c r="E113" s="1"/>
      <c r="F113" s="20"/>
      <c r="G113" s="20"/>
      <c r="H113" s="20" t="s">
        <v>192</v>
      </c>
      <c r="I113" s="20"/>
      <c r="J113" s="20"/>
      <c r="K113" s="20"/>
    </row>
    <row r="114" spans="1:11" ht="15.5" x14ac:dyDescent="0.35">
      <c r="A114" s="3" t="s">
        <v>96</v>
      </c>
      <c r="B114" s="1"/>
      <c r="C114" s="20">
        <v>3000</v>
      </c>
      <c r="D114" s="1"/>
      <c r="E114" s="20"/>
      <c r="F114" s="20">
        <f t="shared" ref="F114:F117" si="14">C114*B114</f>
        <v>0</v>
      </c>
      <c r="G114" s="20"/>
      <c r="H114" s="20"/>
      <c r="I114" s="20"/>
      <c r="J114" s="20"/>
      <c r="K114" s="20"/>
    </row>
    <row r="115" spans="1:11" ht="15.5" x14ac:dyDescent="0.35">
      <c r="A115" s="3" t="s">
        <v>97</v>
      </c>
      <c r="B115" s="1"/>
      <c r="C115" s="20">
        <v>2500</v>
      </c>
      <c r="D115" s="1"/>
      <c r="E115" s="1"/>
      <c r="F115" s="20">
        <f t="shared" si="14"/>
        <v>0</v>
      </c>
      <c r="G115" s="20"/>
      <c r="H115" s="20"/>
      <c r="I115" s="20"/>
      <c r="J115" s="20"/>
      <c r="K115" s="20"/>
    </row>
    <row r="116" spans="1:11" ht="15.5" x14ac:dyDescent="0.35">
      <c r="A116" s="3" t="s">
        <v>98</v>
      </c>
      <c r="B116" s="1"/>
      <c r="C116" s="20">
        <v>1800</v>
      </c>
      <c r="D116" s="1"/>
      <c r="E116" s="1"/>
      <c r="F116" s="20">
        <f t="shared" si="14"/>
        <v>0</v>
      </c>
      <c r="G116" s="20"/>
      <c r="H116" s="20"/>
      <c r="I116" s="20"/>
      <c r="J116" s="20"/>
      <c r="K116" s="20"/>
    </row>
    <row r="117" spans="1:11" ht="15.5" x14ac:dyDescent="0.35">
      <c r="A117" s="3" t="s">
        <v>99</v>
      </c>
      <c r="B117" s="1"/>
      <c r="C117" s="20">
        <v>3500</v>
      </c>
      <c r="D117" s="1"/>
      <c r="E117" s="1"/>
      <c r="F117" s="20">
        <f t="shared" si="14"/>
        <v>0</v>
      </c>
      <c r="G117" s="20"/>
      <c r="H117" s="20"/>
      <c r="I117" s="20"/>
      <c r="J117" s="20"/>
      <c r="K117" s="20"/>
    </row>
    <row r="118" spans="1:11" ht="15.5" x14ac:dyDescent="0.35">
      <c r="A118" s="18"/>
      <c r="F118" s="21"/>
    </row>
    <row r="119" spans="1:11" ht="15.5" x14ac:dyDescent="0.35">
      <c r="A119" s="24" t="s">
        <v>108</v>
      </c>
      <c r="K119" s="21"/>
    </row>
    <row r="120" spans="1:11" ht="15.5" x14ac:dyDescent="0.35">
      <c r="A120" s="18" t="s">
        <v>114</v>
      </c>
      <c r="B120" s="67">
        <v>40000</v>
      </c>
    </row>
    <row r="121" spans="1:11" ht="15.5" x14ac:dyDescent="0.35">
      <c r="A121" s="18" t="s">
        <v>112</v>
      </c>
      <c r="B121" s="67">
        <v>40000</v>
      </c>
    </row>
    <row r="122" spans="1:11" ht="15.5" x14ac:dyDescent="0.35">
      <c r="A122" s="18" t="s">
        <v>309</v>
      </c>
      <c r="B122" s="67">
        <v>60000</v>
      </c>
    </row>
    <row r="123" spans="1:11" ht="15.5" x14ac:dyDescent="0.35">
      <c r="A123" s="18" t="s">
        <v>110</v>
      </c>
      <c r="B123" s="67">
        <v>40000</v>
      </c>
    </row>
    <row r="124" spans="1:11" ht="15.5" x14ac:dyDescent="0.35">
      <c r="A124" s="18" t="s">
        <v>111</v>
      </c>
      <c r="B124" s="67">
        <v>40000</v>
      </c>
    </row>
    <row r="125" spans="1:11" ht="15.5" x14ac:dyDescent="0.35">
      <c r="A125" s="18" t="s">
        <v>196</v>
      </c>
      <c r="B125" s="67">
        <v>40000</v>
      </c>
    </row>
    <row r="126" spans="1:11" ht="15.5" x14ac:dyDescent="0.35">
      <c r="A126" s="18" t="s">
        <v>113</v>
      </c>
      <c r="B126" s="67">
        <v>40000</v>
      </c>
    </row>
    <row r="127" spans="1:11" ht="15.5" x14ac:dyDescent="0.35">
      <c r="A127" s="18" t="s">
        <v>209</v>
      </c>
      <c r="B127" s="67">
        <v>40000</v>
      </c>
    </row>
    <row r="128" spans="1:11" ht="15.5" x14ac:dyDescent="0.35">
      <c r="A128" s="18" t="s">
        <v>115</v>
      </c>
      <c r="B128" s="67">
        <v>60000</v>
      </c>
    </row>
    <row r="129" spans="1:11" ht="15.5" x14ac:dyDescent="0.35">
      <c r="A129" s="18" t="s">
        <v>109</v>
      </c>
      <c r="B129" s="67">
        <v>40000</v>
      </c>
    </row>
    <row r="130" spans="1:11" ht="15.5" x14ac:dyDescent="0.35">
      <c r="A130" s="24" t="s">
        <v>4</v>
      </c>
      <c r="B130" s="75">
        <f>SUM(B120:B129)</f>
        <v>440000</v>
      </c>
    </row>
    <row r="131" spans="1:11" ht="15.5" x14ac:dyDescent="0.35">
      <c r="A131" s="24" t="s">
        <v>4</v>
      </c>
      <c r="B131" s="17">
        <f>SUM(B120:B130)</f>
        <v>880000</v>
      </c>
    </row>
    <row r="133" spans="1:11" ht="18.5" x14ac:dyDescent="0.45">
      <c r="A133" s="150" t="s">
        <v>1</v>
      </c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</row>
    <row r="134" spans="1:11" ht="18.5" x14ac:dyDescent="0.45">
      <c r="A134" s="150" t="s">
        <v>74</v>
      </c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</row>
    <row r="135" spans="1:11" ht="18.5" x14ac:dyDescent="0.45">
      <c r="A135" s="149" t="s">
        <v>360</v>
      </c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</row>
    <row r="136" spans="1:11" ht="18.5" x14ac:dyDescent="0.45">
      <c r="A136" s="150"/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</row>
    <row r="137" spans="1:11" ht="18.5" x14ac:dyDescent="0.45">
      <c r="A137" s="2" t="s">
        <v>75</v>
      </c>
      <c r="B137" s="2" t="s">
        <v>3</v>
      </c>
      <c r="C137" s="2" t="s">
        <v>100</v>
      </c>
      <c r="D137" s="2" t="s">
        <v>90</v>
      </c>
      <c r="E137" s="2" t="s">
        <v>91</v>
      </c>
      <c r="F137" s="2" t="s">
        <v>4</v>
      </c>
      <c r="G137" s="2" t="s">
        <v>101</v>
      </c>
      <c r="H137" s="2" t="s">
        <v>104</v>
      </c>
      <c r="I137" s="2"/>
      <c r="J137" s="2" t="s">
        <v>105</v>
      </c>
      <c r="K137" s="2" t="s">
        <v>106</v>
      </c>
    </row>
    <row r="138" spans="1:11" ht="15.5" x14ac:dyDescent="0.35">
      <c r="A138" s="3" t="s">
        <v>76</v>
      </c>
      <c r="B138" s="1"/>
      <c r="C138" s="20">
        <v>17500</v>
      </c>
      <c r="D138" s="1"/>
      <c r="E138" s="1"/>
      <c r="F138" s="20">
        <f>C138*B138</f>
        <v>0</v>
      </c>
      <c r="G138" s="20">
        <f>D138*C138</f>
        <v>0</v>
      </c>
      <c r="H138" s="20">
        <f>E138*C138</f>
        <v>0</v>
      </c>
      <c r="I138" s="20" t="b">
        <f>D138+E138=B138</f>
        <v>1</v>
      </c>
      <c r="J138" s="20">
        <f>B174</f>
        <v>880000</v>
      </c>
      <c r="K138" s="20"/>
    </row>
    <row r="139" spans="1:11" ht="15.5" x14ac:dyDescent="0.35">
      <c r="A139" s="3" t="s">
        <v>77</v>
      </c>
      <c r="B139" s="1"/>
      <c r="C139" s="20">
        <v>16000</v>
      </c>
      <c r="D139" s="1"/>
      <c r="E139" s="1"/>
      <c r="F139" s="20">
        <f t="shared" ref="F139:G150" si="15">C139*B139</f>
        <v>0</v>
      </c>
      <c r="G139" s="20">
        <f t="shared" si="15"/>
        <v>0</v>
      </c>
      <c r="H139" s="20">
        <f t="shared" ref="H139:H154" si="16">E139*C139</f>
        <v>0</v>
      </c>
      <c r="I139" s="20" t="b">
        <f t="shared" ref="I139:I154" si="17">D139+E139=B139</f>
        <v>1</v>
      </c>
      <c r="J139" s="20"/>
      <c r="K139" s="20"/>
    </row>
    <row r="140" spans="1:11" ht="15.5" x14ac:dyDescent="0.35">
      <c r="A140" s="3" t="s">
        <v>78</v>
      </c>
      <c r="B140" s="1"/>
      <c r="C140" s="20">
        <v>17500</v>
      </c>
      <c r="D140" s="1"/>
      <c r="E140" s="1"/>
      <c r="F140" s="20">
        <f t="shared" si="15"/>
        <v>0</v>
      </c>
      <c r="G140" s="20">
        <f t="shared" si="15"/>
        <v>0</v>
      </c>
      <c r="H140" s="20">
        <f t="shared" si="16"/>
        <v>0</v>
      </c>
      <c r="I140" s="20" t="b">
        <f t="shared" si="17"/>
        <v>1</v>
      </c>
      <c r="J140" s="20"/>
      <c r="K140" s="20"/>
    </row>
    <row r="141" spans="1:11" ht="15.5" x14ac:dyDescent="0.35">
      <c r="A141" s="3" t="s">
        <v>79</v>
      </c>
      <c r="B141" s="1"/>
      <c r="C141" s="20">
        <v>18500</v>
      </c>
      <c r="D141" s="1"/>
      <c r="E141" s="1"/>
      <c r="F141" s="20">
        <f t="shared" si="15"/>
        <v>0</v>
      </c>
      <c r="G141" s="20">
        <f t="shared" si="15"/>
        <v>0</v>
      </c>
      <c r="H141" s="20">
        <f t="shared" si="16"/>
        <v>0</v>
      </c>
      <c r="I141" s="20" t="b">
        <f t="shared" si="17"/>
        <v>1</v>
      </c>
      <c r="J141" s="20"/>
      <c r="K141" s="20"/>
    </row>
    <row r="142" spans="1:11" ht="15.5" x14ac:dyDescent="0.35">
      <c r="A142" s="3" t="s">
        <v>80</v>
      </c>
      <c r="B142" s="1"/>
      <c r="C142" s="20">
        <v>18500</v>
      </c>
      <c r="D142" s="1"/>
      <c r="E142" s="1"/>
      <c r="F142" s="20">
        <f t="shared" si="15"/>
        <v>0</v>
      </c>
      <c r="G142" s="20">
        <f t="shared" si="15"/>
        <v>0</v>
      </c>
      <c r="H142" s="20">
        <f t="shared" si="16"/>
        <v>0</v>
      </c>
      <c r="I142" s="20" t="b">
        <f t="shared" si="17"/>
        <v>1</v>
      </c>
      <c r="J142" s="20"/>
      <c r="K142" s="20"/>
    </row>
    <row r="143" spans="1:11" ht="15.5" x14ac:dyDescent="0.35">
      <c r="A143" s="3" t="s">
        <v>81</v>
      </c>
      <c r="B143" s="1"/>
      <c r="C143" s="20">
        <v>23000</v>
      </c>
      <c r="D143" s="1"/>
      <c r="E143" s="1"/>
      <c r="F143" s="20">
        <f t="shared" si="15"/>
        <v>0</v>
      </c>
      <c r="G143" s="20">
        <f t="shared" si="15"/>
        <v>0</v>
      </c>
      <c r="H143" s="20">
        <f t="shared" si="16"/>
        <v>0</v>
      </c>
      <c r="I143" s="20" t="b">
        <f t="shared" si="17"/>
        <v>1</v>
      </c>
      <c r="J143" s="20"/>
      <c r="K143" s="20"/>
    </row>
    <row r="144" spans="1:11" ht="15.5" x14ac:dyDescent="0.35">
      <c r="A144" s="3" t="s">
        <v>82</v>
      </c>
      <c r="B144" s="1"/>
      <c r="C144" s="20">
        <v>18000</v>
      </c>
      <c r="D144" s="1"/>
      <c r="E144" s="1"/>
      <c r="F144" s="20">
        <f t="shared" si="15"/>
        <v>0</v>
      </c>
      <c r="G144" s="20">
        <f t="shared" si="15"/>
        <v>0</v>
      </c>
      <c r="H144" s="20">
        <f t="shared" si="16"/>
        <v>0</v>
      </c>
      <c r="I144" s="20" t="b">
        <f t="shared" si="17"/>
        <v>1</v>
      </c>
      <c r="J144" s="20"/>
      <c r="K144" s="20"/>
    </row>
    <row r="145" spans="1:11" ht="15.5" x14ac:dyDescent="0.35">
      <c r="A145" s="3" t="s">
        <v>83</v>
      </c>
      <c r="B145" s="1"/>
      <c r="C145" s="20">
        <v>18000</v>
      </c>
      <c r="D145" s="1"/>
      <c r="E145" s="1"/>
      <c r="F145" s="20">
        <f t="shared" si="15"/>
        <v>0</v>
      </c>
      <c r="G145" s="20">
        <f t="shared" si="15"/>
        <v>0</v>
      </c>
      <c r="H145" s="20">
        <f t="shared" si="16"/>
        <v>0</v>
      </c>
      <c r="I145" s="20" t="b">
        <f t="shared" si="17"/>
        <v>1</v>
      </c>
      <c r="J145" s="20"/>
      <c r="K145" s="20"/>
    </row>
    <row r="146" spans="1:11" ht="15.5" x14ac:dyDescent="0.35">
      <c r="A146" s="3" t="s">
        <v>84</v>
      </c>
      <c r="B146" s="1"/>
      <c r="C146" s="20">
        <v>18500</v>
      </c>
      <c r="D146" s="1"/>
      <c r="E146" s="1"/>
      <c r="F146" s="20">
        <f t="shared" si="15"/>
        <v>0</v>
      </c>
      <c r="G146" s="20">
        <f t="shared" si="15"/>
        <v>0</v>
      </c>
      <c r="H146" s="20">
        <f t="shared" si="16"/>
        <v>0</v>
      </c>
      <c r="I146" s="20" t="b">
        <f t="shared" si="17"/>
        <v>1</v>
      </c>
      <c r="J146" s="20"/>
      <c r="K146" s="20"/>
    </row>
    <row r="147" spans="1:11" ht="15.5" x14ac:dyDescent="0.35">
      <c r="A147" s="3" t="s">
        <v>85</v>
      </c>
      <c r="B147" s="1"/>
      <c r="C147" s="20">
        <v>18500</v>
      </c>
      <c r="D147" s="1"/>
      <c r="E147" s="1"/>
      <c r="F147" s="20">
        <f t="shared" si="15"/>
        <v>0</v>
      </c>
      <c r="G147" s="20">
        <f t="shared" si="15"/>
        <v>0</v>
      </c>
      <c r="H147" s="20">
        <f t="shared" si="16"/>
        <v>0</v>
      </c>
      <c r="I147" s="20" t="b">
        <f t="shared" si="17"/>
        <v>1</v>
      </c>
      <c r="J147" s="20"/>
      <c r="K147" s="20"/>
    </row>
    <row r="148" spans="1:11" ht="15.5" x14ac:dyDescent="0.35">
      <c r="A148" s="3" t="s">
        <v>86</v>
      </c>
      <c r="B148" s="1"/>
      <c r="C148" s="20">
        <v>18500</v>
      </c>
      <c r="D148" s="1"/>
      <c r="E148" s="1"/>
      <c r="F148" s="20">
        <f t="shared" si="15"/>
        <v>0</v>
      </c>
      <c r="G148" s="20">
        <f t="shared" si="15"/>
        <v>0</v>
      </c>
      <c r="H148" s="20">
        <f t="shared" si="16"/>
        <v>0</v>
      </c>
      <c r="I148" s="20" t="b">
        <f t="shared" si="17"/>
        <v>1</v>
      </c>
      <c r="J148" s="20"/>
      <c r="K148" s="20"/>
    </row>
    <row r="149" spans="1:11" ht="15.5" x14ac:dyDescent="0.35">
      <c r="A149" s="3" t="s">
        <v>87</v>
      </c>
      <c r="B149" s="1"/>
      <c r="C149" s="20">
        <v>18500</v>
      </c>
      <c r="D149" s="1"/>
      <c r="E149" s="1"/>
      <c r="F149" s="20">
        <f t="shared" si="15"/>
        <v>0</v>
      </c>
      <c r="G149" s="20">
        <f t="shared" si="15"/>
        <v>0</v>
      </c>
      <c r="H149" s="20">
        <f t="shared" si="16"/>
        <v>0</v>
      </c>
      <c r="I149" s="20" t="b">
        <f t="shared" si="17"/>
        <v>1</v>
      </c>
      <c r="J149" s="20"/>
      <c r="K149" s="20"/>
    </row>
    <row r="150" spans="1:11" ht="15.5" x14ac:dyDescent="0.35">
      <c r="A150" s="3" t="s">
        <v>88</v>
      </c>
      <c r="B150" s="1"/>
      <c r="C150" s="20">
        <v>18500</v>
      </c>
      <c r="D150" s="1"/>
      <c r="E150" s="1"/>
      <c r="F150" s="20">
        <f t="shared" si="15"/>
        <v>0</v>
      </c>
      <c r="G150" s="20">
        <f t="shared" si="15"/>
        <v>0</v>
      </c>
      <c r="H150" s="20">
        <f t="shared" si="16"/>
        <v>0</v>
      </c>
      <c r="I150" s="20" t="b">
        <f t="shared" si="17"/>
        <v>1</v>
      </c>
      <c r="J150" s="20"/>
      <c r="K150" s="20"/>
    </row>
    <row r="151" spans="1:11" ht="15.5" x14ac:dyDescent="0.35">
      <c r="A151" s="19" t="s">
        <v>89</v>
      </c>
      <c r="B151" s="1"/>
      <c r="C151" s="20"/>
      <c r="D151" s="1"/>
      <c r="E151" s="1"/>
      <c r="F151" s="20"/>
      <c r="G151" s="20"/>
      <c r="H151" s="20">
        <f t="shared" si="16"/>
        <v>0</v>
      </c>
      <c r="I151" s="20" t="b">
        <f t="shared" si="17"/>
        <v>1</v>
      </c>
      <c r="J151" s="20"/>
      <c r="K151" s="20"/>
    </row>
    <row r="152" spans="1:11" ht="15.5" x14ac:dyDescent="0.35">
      <c r="A152" s="3" t="s">
        <v>92</v>
      </c>
      <c r="B152" s="1"/>
      <c r="C152" s="20">
        <v>21500</v>
      </c>
      <c r="D152" s="1"/>
      <c r="E152" s="1"/>
      <c r="F152" s="20">
        <f t="shared" ref="F152:G154" si="18">C152*B152</f>
        <v>0</v>
      </c>
      <c r="G152" s="20">
        <f t="shared" si="18"/>
        <v>0</v>
      </c>
      <c r="H152" s="20">
        <f t="shared" si="16"/>
        <v>0</v>
      </c>
      <c r="I152" s="20" t="b">
        <f t="shared" si="17"/>
        <v>1</v>
      </c>
      <c r="J152" s="20"/>
      <c r="K152" s="20"/>
    </row>
    <row r="153" spans="1:11" ht="15.5" x14ac:dyDescent="0.35">
      <c r="A153" s="3" t="s">
        <v>93</v>
      </c>
      <c r="B153" s="1"/>
      <c r="C153" s="20">
        <v>21500</v>
      </c>
      <c r="D153" s="1"/>
      <c r="E153" s="1"/>
      <c r="F153" s="20">
        <f t="shared" si="18"/>
        <v>0</v>
      </c>
      <c r="G153" s="20">
        <f t="shared" si="18"/>
        <v>0</v>
      </c>
      <c r="H153" s="20">
        <f t="shared" si="16"/>
        <v>0</v>
      </c>
      <c r="I153" s="20" t="b">
        <f t="shared" si="17"/>
        <v>1</v>
      </c>
      <c r="J153" s="20"/>
      <c r="K153" s="20"/>
    </row>
    <row r="154" spans="1:11" ht="15.5" x14ac:dyDescent="0.35">
      <c r="A154" s="3" t="s">
        <v>94</v>
      </c>
      <c r="B154" s="1"/>
      <c r="C154" s="20">
        <v>21500</v>
      </c>
      <c r="D154" s="1"/>
      <c r="E154" s="1"/>
      <c r="F154" s="20">
        <f t="shared" si="18"/>
        <v>0</v>
      </c>
      <c r="G154" s="20">
        <f t="shared" si="18"/>
        <v>0</v>
      </c>
      <c r="H154" s="20">
        <f t="shared" si="16"/>
        <v>0</v>
      </c>
      <c r="I154" s="20" t="b">
        <f t="shared" si="17"/>
        <v>1</v>
      </c>
      <c r="J154" s="20"/>
      <c r="K154" s="20"/>
    </row>
    <row r="155" spans="1:11" ht="15.5" x14ac:dyDescent="0.35">
      <c r="A155" s="19"/>
      <c r="B155" s="22">
        <f>SUM(B138:B154)</f>
        <v>0</v>
      </c>
      <c r="C155" s="20"/>
      <c r="D155" s="1"/>
      <c r="E155" s="1"/>
      <c r="F155" s="23">
        <f>SUM(F138:F154)</f>
        <v>0</v>
      </c>
      <c r="G155" s="23">
        <f>SUM(G138:G154)</f>
        <v>0</v>
      </c>
      <c r="H155" s="23">
        <f>SUM(H138:H154)</f>
        <v>0</v>
      </c>
      <c r="I155" s="23"/>
      <c r="J155" s="23">
        <f>SUM(J138:J154)</f>
        <v>880000</v>
      </c>
      <c r="K155" s="23">
        <f>H155-J155</f>
        <v>-880000</v>
      </c>
    </row>
    <row r="156" spans="1:11" ht="15.5" x14ac:dyDescent="0.35">
      <c r="A156" s="19" t="s">
        <v>95</v>
      </c>
      <c r="B156" s="1"/>
      <c r="C156" s="20"/>
      <c r="D156" s="1"/>
      <c r="E156" s="1"/>
      <c r="F156" s="20"/>
      <c r="G156" s="20"/>
      <c r="H156" s="20" t="s">
        <v>192</v>
      </c>
      <c r="I156" s="20"/>
      <c r="J156" s="20"/>
      <c r="K156" s="20"/>
    </row>
    <row r="157" spans="1:11" ht="15.5" x14ac:dyDescent="0.35">
      <c r="A157" s="3" t="s">
        <v>96</v>
      </c>
      <c r="B157" s="1"/>
      <c r="C157" s="20">
        <v>3000</v>
      </c>
      <c r="D157" s="1"/>
      <c r="E157" s="20"/>
      <c r="F157" s="20">
        <f t="shared" ref="F157:F160" si="19">C157*B157</f>
        <v>0</v>
      </c>
      <c r="G157" s="20"/>
      <c r="H157" s="20"/>
      <c r="I157" s="20"/>
      <c r="J157" s="20"/>
      <c r="K157" s="20"/>
    </row>
    <row r="158" spans="1:11" ht="15.5" x14ac:dyDescent="0.35">
      <c r="A158" s="3" t="s">
        <v>97</v>
      </c>
      <c r="B158" s="1"/>
      <c r="C158" s="20">
        <v>2500</v>
      </c>
      <c r="D158" s="1"/>
      <c r="E158" s="1"/>
      <c r="F158" s="20">
        <f t="shared" si="19"/>
        <v>0</v>
      </c>
      <c r="G158" s="20"/>
      <c r="H158" s="20"/>
      <c r="I158" s="20"/>
      <c r="J158" s="20"/>
      <c r="K158" s="20"/>
    </row>
    <row r="159" spans="1:11" ht="15.5" x14ac:dyDescent="0.35">
      <c r="A159" s="3" t="s">
        <v>98</v>
      </c>
      <c r="B159" s="1"/>
      <c r="C159" s="20">
        <v>1800</v>
      </c>
      <c r="D159" s="1"/>
      <c r="E159" s="1"/>
      <c r="F159" s="20">
        <f t="shared" si="19"/>
        <v>0</v>
      </c>
      <c r="G159" s="20"/>
      <c r="H159" s="20"/>
      <c r="I159" s="20"/>
      <c r="J159" s="20"/>
      <c r="K159" s="20"/>
    </row>
    <row r="160" spans="1:11" ht="15.5" x14ac:dyDescent="0.35">
      <c r="A160" s="3" t="s">
        <v>99</v>
      </c>
      <c r="B160" s="1"/>
      <c r="C160" s="20">
        <v>3500</v>
      </c>
      <c r="D160" s="1"/>
      <c r="E160" s="1"/>
      <c r="F160" s="20">
        <f t="shared" si="19"/>
        <v>0</v>
      </c>
      <c r="G160" s="20"/>
      <c r="H160" s="20"/>
      <c r="I160" s="20"/>
      <c r="J160" s="20"/>
      <c r="K160" s="20"/>
    </row>
    <row r="161" spans="1:11" ht="15.5" x14ac:dyDescent="0.35">
      <c r="A161" s="18"/>
      <c r="F161" s="21"/>
    </row>
    <row r="162" spans="1:11" ht="15.5" x14ac:dyDescent="0.35">
      <c r="A162" s="24" t="s">
        <v>108</v>
      </c>
      <c r="K162" s="21"/>
    </row>
    <row r="163" spans="1:11" ht="15.5" x14ac:dyDescent="0.35">
      <c r="A163" s="18" t="s">
        <v>114</v>
      </c>
      <c r="B163" s="67">
        <v>40000</v>
      </c>
    </row>
    <row r="164" spans="1:11" ht="15.5" x14ac:dyDescent="0.35">
      <c r="A164" s="18" t="s">
        <v>112</v>
      </c>
      <c r="B164" s="67">
        <v>40000</v>
      </c>
    </row>
    <row r="165" spans="1:11" ht="15.5" x14ac:dyDescent="0.35">
      <c r="A165" s="18" t="s">
        <v>309</v>
      </c>
      <c r="B165" s="67">
        <v>60000</v>
      </c>
    </row>
    <row r="166" spans="1:11" ht="15.5" x14ac:dyDescent="0.35">
      <c r="A166" s="18" t="s">
        <v>110</v>
      </c>
      <c r="B166" s="67">
        <v>40000</v>
      </c>
    </row>
    <row r="167" spans="1:11" ht="15.5" x14ac:dyDescent="0.35">
      <c r="A167" s="18" t="s">
        <v>111</v>
      </c>
      <c r="B167" s="67">
        <v>40000</v>
      </c>
    </row>
    <row r="168" spans="1:11" ht="15.5" x14ac:dyDescent="0.35">
      <c r="A168" s="18" t="s">
        <v>196</v>
      </c>
      <c r="B168" s="67">
        <v>40000</v>
      </c>
    </row>
    <row r="169" spans="1:11" ht="15.5" x14ac:dyDescent="0.35">
      <c r="A169" s="18" t="s">
        <v>113</v>
      </c>
      <c r="B169" s="67">
        <v>40000</v>
      </c>
    </row>
    <row r="170" spans="1:11" ht="15.5" x14ac:dyDescent="0.35">
      <c r="A170" s="18" t="s">
        <v>209</v>
      </c>
      <c r="B170" s="67">
        <v>40000</v>
      </c>
    </row>
    <row r="171" spans="1:11" ht="15.5" x14ac:dyDescent="0.35">
      <c r="A171" s="18" t="s">
        <v>115</v>
      </c>
      <c r="B171" s="67">
        <v>60000</v>
      </c>
    </row>
    <row r="172" spans="1:11" ht="15.5" x14ac:dyDescent="0.35">
      <c r="A172" s="18" t="s">
        <v>109</v>
      </c>
      <c r="B172" s="67">
        <v>40000</v>
      </c>
    </row>
    <row r="173" spans="1:11" ht="15.5" x14ac:dyDescent="0.35">
      <c r="A173" s="24" t="s">
        <v>4</v>
      </c>
      <c r="B173" s="75">
        <f>SUM(B163:B172)</f>
        <v>440000</v>
      </c>
    </row>
    <row r="174" spans="1:11" ht="15.5" x14ac:dyDescent="0.35">
      <c r="A174" s="24" t="s">
        <v>4</v>
      </c>
      <c r="B174" s="17">
        <f>SUM(B163:B173)</f>
        <v>880000</v>
      </c>
    </row>
    <row r="175" spans="1:11" ht="18.5" x14ac:dyDescent="0.4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</row>
    <row r="176" spans="1:11" ht="18.5" x14ac:dyDescent="0.45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</row>
    <row r="177" spans="1:11" ht="18.5" x14ac:dyDescent="0.45">
      <c r="A177" s="151" t="s">
        <v>1</v>
      </c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</row>
    <row r="178" spans="1:11" ht="18.5" x14ac:dyDescent="0.45">
      <c r="A178" s="150" t="s">
        <v>74</v>
      </c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</row>
    <row r="179" spans="1:11" ht="18.5" x14ac:dyDescent="0.45">
      <c r="A179" s="149" t="s">
        <v>360</v>
      </c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</row>
    <row r="180" spans="1:11" ht="18.5" x14ac:dyDescent="0.45">
      <c r="A180" s="150"/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</row>
    <row r="181" spans="1:11" ht="18.5" x14ac:dyDescent="0.45">
      <c r="A181" s="2" t="s">
        <v>75</v>
      </c>
      <c r="B181" s="2" t="s">
        <v>3</v>
      </c>
      <c r="C181" s="2" t="s">
        <v>100</v>
      </c>
      <c r="D181" s="2" t="s">
        <v>90</v>
      </c>
      <c r="E181" s="2" t="s">
        <v>91</v>
      </c>
      <c r="F181" s="2" t="s">
        <v>4</v>
      </c>
      <c r="G181" s="2" t="s">
        <v>101</v>
      </c>
      <c r="H181" s="2" t="s">
        <v>104</v>
      </c>
      <c r="I181" s="2"/>
      <c r="J181" s="2" t="s">
        <v>105</v>
      </c>
      <c r="K181" s="2" t="s">
        <v>106</v>
      </c>
    </row>
    <row r="182" spans="1:11" ht="15.5" x14ac:dyDescent="0.35">
      <c r="A182" s="3" t="s">
        <v>76</v>
      </c>
      <c r="B182" s="1"/>
      <c r="C182" s="20">
        <v>17500</v>
      </c>
      <c r="D182" s="1"/>
      <c r="E182" s="1"/>
      <c r="F182" s="20">
        <f>C182*B182</f>
        <v>0</v>
      </c>
      <c r="G182" s="20">
        <f>D182*C182</f>
        <v>0</v>
      </c>
      <c r="H182" s="20">
        <f>E182*C182</f>
        <v>0</v>
      </c>
      <c r="I182" s="20" t="b">
        <f>D182+E182=B182</f>
        <v>1</v>
      </c>
      <c r="J182" s="20">
        <f>B218</f>
        <v>880000</v>
      </c>
      <c r="K182" s="20"/>
    </row>
    <row r="183" spans="1:11" ht="15.5" x14ac:dyDescent="0.35">
      <c r="A183" s="3" t="s">
        <v>77</v>
      </c>
      <c r="B183" s="1"/>
      <c r="C183" s="20">
        <v>16000</v>
      </c>
      <c r="D183" s="1"/>
      <c r="E183" s="1"/>
      <c r="F183" s="20">
        <f t="shared" ref="F183:G194" si="20">C183*B183</f>
        <v>0</v>
      </c>
      <c r="G183" s="20">
        <f t="shared" si="20"/>
        <v>0</v>
      </c>
      <c r="H183" s="20">
        <f t="shared" ref="H183:H198" si="21">E183*C183</f>
        <v>0</v>
      </c>
      <c r="I183" s="20" t="b">
        <f t="shared" ref="I183:I198" si="22">D183+E183=B183</f>
        <v>1</v>
      </c>
      <c r="J183" s="20"/>
      <c r="K183" s="20"/>
    </row>
    <row r="184" spans="1:11" ht="15.5" x14ac:dyDescent="0.35">
      <c r="A184" s="3" t="s">
        <v>78</v>
      </c>
      <c r="B184" s="1"/>
      <c r="C184" s="20">
        <v>17500</v>
      </c>
      <c r="D184" s="1"/>
      <c r="E184" s="1"/>
      <c r="F184" s="20">
        <f t="shared" si="20"/>
        <v>0</v>
      </c>
      <c r="G184" s="20">
        <f t="shared" si="20"/>
        <v>0</v>
      </c>
      <c r="H184" s="20">
        <f t="shared" si="21"/>
        <v>0</v>
      </c>
      <c r="I184" s="20" t="b">
        <f t="shared" si="22"/>
        <v>1</v>
      </c>
      <c r="J184" s="20"/>
      <c r="K184" s="20"/>
    </row>
    <row r="185" spans="1:11" ht="15.5" x14ac:dyDescent="0.35">
      <c r="A185" s="3" t="s">
        <v>79</v>
      </c>
      <c r="B185" s="1"/>
      <c r="C185" s="20">
        <v>18500</v>
      </c>
      <c r="D185" s="1"/>
      <c r="E185" s="1"/>
      <c r="F185" s="20">
        <f t="shared" si="20"/>
        <v>0</v>
      </c>
      <c r="G185" s="20">
        <f t="shared" si="20"/>
        <v>0</v>
      </c>
      <c r="H185" s="20">
        <f t="shared" si="21"/>
        <v>0</v>
      </c>
      <c r="I185" s="20" t="b">
        <f t="shared" si="22"/>
        <v>1</v>
      </c>
      <c r="J185" s="20"/>
      <c r="K185" s="20"/>
    </row>
    <row r="186" spans="1:11" ht="15.5" x14ac:dyDescent="0.35">
      <c r="A186" s="3" t="s">
        <v>80</v>
      </c>
      <c r="B186" s="1"/>
      <c r="C186" s="20">
        <v>18500</v>
      </c>
      <c r="D186" s="1"/>
      <c r="E186" s="1"/>
      <c r="F186" s="20">
        <f t="shared" si="20"/>
        <v>0</v>
      </c>
      <c r="G186" s="20">
        <f t="shared" si="20"/>
        <v>0</v>
      </c>
      <c r="H186" s="20">
        <f t="shared" si="21"/>
        <v>0</v>
      </c>
      <c r="I186" s="20" t="b">
        <f t="shared" si="22"/>
        <v>1</v>
      </c>
      <c r="J186" s="20"/>
      <c r="K186" s="20"/>
    </row>
    <row r="187" spans="1:11" ht="15.5" x14ac:dyDescent="0.35">
      <c r="A187" s="3" t="s">
        <v>81</v>
      </c>
      <c r="B187" s="1"/>
      <c r="C187" s="20">
        <v>23000</v>
      </c>
      <c r="D187" s="1"/>
      <c r="E187" s="1"/>
      <c r="F187" s="20">
        <f t="shared" si="20"/>
        <v>0</v>
      </c>
      <c r="G187" s="20">
        <f t="shared" si="20"/>
        <v>0</v>
      </c>
      <c r="H187" s="20">
        <f t="shared" si="21"/>
        <v>0</v>
      </c>
      <c r="I187" s="20" t="b">
        <f t="shared" si="22"/>
        <v>1</v>
      </c>
      <c r="J187" s="20"/>
      <c r="K187" s="20"/>
    </row>
    <row r="188" spans="1:11" ht="15.5" x14ac:dyDescent="0.35">
      <c r="A188" s="3" t="s">
        <v>82</v>
      </c>
      <c r="B188" s="1"/>
      <c r="C188" s="20">
        <v>18000</v>
      </c>
      <c r="D188" s="1"/>
      <c r="E188" s="1"/>
      <c r="F188" s="20">
        <f t="shared" si="20"/>
        <v>0</v>
      </c>
      <c r="G188" s="20">
        <f t="shared" si="20"/>
        <v>0</v>
      </c>
      <c r="H188" s="20">
        <f t="shared" si="21"/>
        <v>0</v>
      </c>
      <c r="I188" s="20" t="b">
        <f t="shared" si="22"/>
        <v>1</v>
      </c>
      <c r="J188" s="20"/>
      <c r="K188" s="20"/>
    </row>
    <row r="189" spans="1:11" ht="15.5" x14ac:dyDescent="0.35">
      <c r="A189" s="3" t="s">
        <v>83</v>
      </c>
      <c r="B189" s="1"/>
      <c r="C189" s="20">
        <v>18000</v>
      </c>
      <c r="D189" s="1"/>
      <c r="E189" s="1"/>
      <c r="F189" s="20">
        <f t="shared" si="20"/>
        <v>0</v>
      </c>
      <c r="G189" s="20">
        <f t="shared" si="20"/>
        <v>0</v>
      </c>
      <c r="H189" s="20">
        <f t="shared" si="21"/>
        <v>0</v>
      </c>
      <c r="I189" s="20" t="b">
        <f t="shared" si="22"/>
        <v>1</v>
      </c>
      <c r="J189" s="20"/>
      <c r="K189" s="20"/>
    </row>
    <row r="190" spans="1:11" ht="15.5" x14ac:dyDescent="0.35">
      <c r="A190" s="3" t="s">
        <v>84</v>
      </c>
      <c r="B190" s="1"/>
      <c r="C190" s="20">
        <v>18500</v>
      </c>
      <c r="D190" s="1"/>
      <c r="E190" s="1"/>
      <c r="F190" s="20">
        <f t="shared" si="20"/>
        <v>0</v>
      </c>
      <c r="G190" s="20">
        <f t="shared" si="20"/>
        <v>0</v>
      </c>
      <c r="H190" s="20">
        <f t="shared" si="21"/>
        <v>0</v>
      </c>
      <c r="I190" s="20" t="b">
        <f t="shared" si="22"/>
        <v>1</v>
      </c>
      <c r="J190" s="20"/>
      <c r="K190" s="20"/>
    </row>
    <row r="191" spans="1:11" ht="15.5" x14ac:dyDescent="0.35">
      <c r="A191" s="3" t="s">
        <v>85</v>
      </c>
      <c r="B191" s="1"/>
      <c r="C191" s="20">
        <v>18500</v>
      </c>
      <c r="D191" s="1"/>
      <c r="E191" s="1"/>
      <c r="F191" s="20">
        <f t="shared" si="20"/>
        <v>0</v>
      </c>
      <c r="G191" s="20">
        <f t="shared" si="20"/>
        <v>0</v>
      </c>
      <c r="H191" s="20">
        <f t="shared" si="21"/>
        <v>0</v>
      </c>
      <c r="I191" s="20" t="b">
        <f t="shared" si="22"/>
        <v>1</v>
      </c>
      <c r="J191" s="20"/>
      <c r="K191" s="20"/>
    </row>
    <row r="192" spans="1:11" ht="15.5" x14ac:dyDescent="0.35">
      <c r="A192" s="3" t="s">
        <v>86</v>
      </c>
      <c r="B192" s="1"/>
      <c r="C192" s="20">
        <v>18500</v>
      </c>
      <c r="D192" s="1"/>
      <c r="E192" s="1"/>
      <c r="F192" s="20">
        <f t="shared" si="20"/>
        <v>0</v>
      </c>
      <c r="G192" s="20">
        <f t="shared" si="20"/>
        <v>0</v>
      </c>
      <c r="H192" s="20">
        <f t="shared" si="21"/>
        <v>0</v>
      </c>
      <c r="I192" s="20" t="b">
        <f t="shared" si="22"/>
        <v>1</v>
      </c>
      <c r="J192" s="20"/>
      <c r="K192" s="20"/>
    </row>
    <row r="193" spans="1:11" ht="15.5" x14ac:dyDescent="0.35">
      <c r="A193" s="3" t="s">
        <v>87</v>
      </c>
      <c r="B193" s="1"/>
      <c r="C193" s="20">
        <v>18500</v>
      </c>
      <c r="D193" s="1"/>
      <c r="E193" s="1"/>
      <c r="F193" s="20">
        <f t="shared" si="20"/>
        <v>0</v>
      </c>
      <c r="G193" s="20">
        <f t="shared" si="20"/>
        <v>0</v>
      </c>
      <c r="H193" s="20">
        <f t="shared" si="21"/>
        <v>0</v>
      </c>
      <c r="I193" s="20" t="b">
        <f t="shared" si="22"/>
        <v>1</v>
      </c>
      <c r="J193" s="20"/>
      <c r="K193" s="20"/>
    </row>
    <row r="194" spans="1:11" ht="15.5" x14ac:dyDescent="0.35">
      <c r="A194" s="3" t="s">
        <v>88</v>
      </c>
      <c r="B194" s="1"/>
      <c r="C194" s="20">
        <v>18500</v>
      </c>
      <c r="D194" s="1"/>
      <c r="E194" s="1"/>
      <c r="F194" s="20">
        <f t="shared" si="20"/>
        <v>0</v>
      </c>
      <c r="G194" s="20">
        <f t="shared" si="20"/>
        <v>0</v>
      </c>
      <c r="H194" s="20">
        <f t="shared" si="21"/>
        <v>0</v>
      </c>
      <c r="I194" s="20" t="b">
        <f t="shared" si="22"/>
        <v>1</v>
      </c>
      <c r="J194" s="20"/>
      <c r="K194" s="20"/>
    </row>
    <row r="195" spans="1:11" ht="15.5" x14ac:dyDescent="0.35">
      <c r="A195" s="19" t="s">
        <v>89</v>
      </c>
      <c r="B195" s="1"/>
      <c r="C195" s="20"/>
      <c r="D195" s="1"/>
      <c r="E195" s="1"/>
      <c r="F195" s="20"/>
      <c r="G195" s="20"/>
      <c r="H195" s="20">
        <f t="shared" si="21"/>
        <v>0</v>
      </c>
      <c r="I195" s="20" t="b">
        <f t="shared" si="22"/>
        <v>1</v>
      </c>
      <c r="J195" s="20"/>
      <c r="K195" s="20"/>
    </row>
    <row r="196" spans="1:11" ht="15.5" x14ac:dyDescent="0.35">
      <c r="A196" s="3" t="s">
        <v>92</v>
      </c>
      <c r="B196" s="1"/>
      <c r="C196" s="20">
        <v>21500</v>
      </c>
      <c r="D196" s="1"/>
      <c r="E196" s="1"/>
      <c r="F196" s="20">
        <f t="shared" ref="F196:G198" si="23">C196*B196</f>
        <v>0</v>
      </c>
      <c r="G196" s="20">
        <f t="shared" si="23"/>
        <v>0</v>
      </c>
      <c r="H196" s="20">
        <f t="shared" si="21"/>
        <v>0</v>
      </c>
      <c r="I196" s="20" t="b">
        <f t="shared" si="22"/>
        <v>1</v>
      </c>
      <c r="J196" s="20"/>
      <c r="K196" s="20"/>
    </row>
    <row r="197" spans="1:11" ht="15.5" x14ac:dyDescent="0.35">
      <c r="A197" s="3" t="s">
        <v>93</v>
      </c>
      <c r="B197" s="1"/>
      <c r="C197" s="20">
        <v>21500</v>
      </c>
      <c r="D197" s="1"/>
      <c r="E197" s="1"/>
      <c r="F197" s="20">
        <f t="shared" si="23"/>
        <v>0</v>
      </c>
      <c r="G197" s="20">
        <f t="shared" si="23"/>
        <v>0</v>
      </c>
      <c r="H197" s="20">
        <f t="shared" si="21"/>
        <v>0</v>
      </c>
      <c r="I197" s="20" t="b">
        <f t="shared" si="22"/>
        <v>1</v>
      </c>
      <c r="J197" s="20"/>
      <c r="K197" s="20"/>
    </row>
    <row r="198" spans="1:11" ht="15.5" x14ac:dyDescent="0.35">
      <c r="A198" s="3" t="s">
        <v>94</v>
      </c>
      <c r="B198" s="1"/>
      <c r="C198" s="20">
        <v>21500</v>
      </c>
      <c r="D198" s="1"/>
      <c r="E198" s="1"/>
      <c r="F198" s="20">
        <f t="shared" si="23"/>
        <v>0</v>
      </c>
      <c r="G198" s="20">
        <f t="shared" si="23"/>
        <v>0</v>
      </c>
      <c r="H198" s="20">
        <f t="shared" si="21"/>
        <v>0</v>
      </c>
      <c r="I198" s="20" t="b">
        <f t="shared" si="22"/>
        <v>1</v>
      </c>
      <c r="J198" s="20"/>
      <c r="K198" s="20"/>
    </row>
    <row r="199" spans="1:11" ht="15.5" x14ac:dyDescent="0.35">
      <c r="A199" s="19"/>
      <c r="B199" s="22">
        <f>SUM(B182:B198)</f>
        <v>0</v>
      </c>
      <c r="C199" s="20"/>
      <c r="D199" s="1"/>
      <c r="E199" s="1"/>
      <c r="F199" s="23">
        <f>SUM(F182:F198)</f>
        <v>0</v>
      </c>
      <c r="G199" s="23">
        <f>SUM(G182:G198)</f>
        <v>0</v>
      </c>
      <c r="H199" s="23">
        <f>SUM(H182:H198)</f>
        <v>0</v>
      </c>
      <c r="I199" s="23"/>
      <c r="J199" s="23">
        <f>SUM(J182:J198)</f>
        <v>880000</v>
      </c>
      <c r="K199" s="23">
        <f>H199-J199</f>
        <v>-880000</v>
      </c>
    </row>
    <row r="200" spans="1:11" ht="15.5" x14ac:dyDescent="0.35">
      <c r="A200" s="19" t="s">
        <v>95</v>
      </c>
      <c r="B200" s="1"/>
      <c r="C200" s="20"/>
      <c r="D200" s="1"/>
      <c r="E200" s="1"/>
      <c r="F200" s="20"/>
      <c r="G200" s="20"/>
      <c r="H200" s="20" t="s">
        <v>192</v>
      </c>
      <c r="I200" s="20"/>
      <c r="J200" s="20"/>
      <c r="K200" s="20"/>
    </row>
    <row r="201" spans="1:11" ht="15.5" x14ac:dyDescent="0.35">
      <c r="A201" s="3" t="s">
        <v>96</v>
      </c>
      <c r="B201" s="1"/>
      <c r="C201" s="20">
        <v>3000</v>
      </c>
      <c r="D201" s="1"/>
      <c r="E201" s="20"/>
      <c r="F201" s="20">
        <f t="shared" ref="F201:F204" si="24">C201*B201</f>
        <v>0</v>
      </c>
      <c r="G201" s="20"/>
      <c r="H201" s="20"/>
      <c r="I201" s="20"/>
      <c r="J201" s="20"/>
      <c r="K201" s="20"/>
    </row>
    <row r="202" spans="1:11" ht="15.5" x14ac:dyDescent="0.35">
      <c r="A202" s="3" t="s">
        <v>97</v>
      </c>
      <c r="B202" s="1"/>
      <c r="C202" s="20">
        <v>2500</v>
      </c>
      <c r="D202" s="1"/>
      <c r="E202" s="1"/>
      <c r="F202" s="20">
        <f t="shared" si="24"/>
        <v>0</v>
      </c>
      <c r="G202" s="20"/>
      <c r="H202" s="20"/>
      <c r="I202" s="20"/>
      <c r="J202" s="20"/>
      <c r="K202" s="20"/>
    </row>
    <row r="203" spans="1:11" ht="15.5" x14ac:dyDescent="0.35">
      <c r="A203" s="3" t="s">
        <v>98</v>
      </c>
      <c r="B203" s="1"/>
      <c r="C203" s="20">
        <v>1800</v>
      </c>
      <c r="D203" s="1"/>
      <c r="E203" s="1"/>
      <c r="F203" s="20">
        <f t="shared" si="24"/>
        <v>0</v>
      </c>
      <c r="G203" s="20"/>
      <c r="H203" s="20"/>
      <c r="I203" s="20"/>
      <c r="J203" s="20"/>
      <c r="K203" s="20"/>
    </row>
    <row r="204" spans="1:11" ht="15.5" x14ac:dyDescent="0.35">
      <c r="A204" s="3" t="s">
        <v>99</v>
      </c>
      <c r="B204" s="1"/>
      <c r="C204" s="20">
        <v>3500</v>
      </c>
      <c r="D204" s="1"/>
      <c r="E204" s="1"/>
      <c r="F204" s="20">
        <f t="shared" si="24"/>
        <v>0</v>
      </c>
      <c r="G204" s="20"/>
      <c r="H204" s="20"/>
      <c r="I204" s="20"/>
      <c r="J204" s="20"/>
      <c r="K204" s="20"/>
    </row>
    <row r="205" spans="1:11" ht="15.5" x14ac:dyDescent="0.35">
      <c r="A205" s="18"/>
      <c r="F205" s="21"/>
    </row>
    <row r="206" spans="1:11" ht="15.5" x14ac:dyDescent="0.35">
      <c r="A206" s="24" t="s">
        <v>108</v>
      </c>
      <c r="K206" s="21"/>
    </row>
    <row r="207" spans="1:11" ht="15.5" x14ac:dyDescent="0.35">
      <c r="A207" s="18" t="s">
        <v>114</v>
      </c>
      <c r="B207" s="67">
        <v>40000</v>
      </c>
    </row>
    <row r="208" spans="1:11" ht="15.5" x14ac:dyDescent="0.35">
      <c r="A208" s="18" t="s">
        <v>112</v>
      </c>
      <c r="B208" s="67">
        <v>40000</v>
      </c>
    </row>
    <row r="209" spans="1:11" ht="15.5" x14ac:dyDescent="0.35">
      <c r="A209" s="18" t="s">
        <v>309</v>
      </c>
      <c r="B209" s="67">
        <v>60000</v>
      </c>
    </row>
    <row r="210" spans="1:11" ht="15.5" x14ac:dyDescent="0.35">
      <c r="A210" s="18" t="s">
        <v>110</v>
      </c>
      <c r="B210" s="67">
        <v>40000</v>
      </c>
    </row>
    <row r="211" spans="1:11" ht="15.5" x14ac:dyDescent="0.35">
      <c r="A211" s="18" t="s">
        <v>111</v>
      </c>
      <c r="B211" s="67">
        <v>40000</v>
      </c>
    </row>
    <row r="212" spans="1:11" ht="15.5" x14ac:dyDescent="0.35">
      <c r="A212" s="18" t="s">
        <v>196</v>
      </c>
      <c r="B212" s="67">
        <v>40000</v>
      </c>
    </row>
    <row r="213" spans="1:11" ht="15.5" x14ac:dyDescent="0.35">
      <c r="A213" s="18" t="s">
        <v>113</v>
      </c>
      <c r="B213" s="67">
        <v>40000</v>
      </c>
    </row>
    <row r="214" spans="1:11" ht="15.5" x14ac:dyDescent="0.35">
      <c r="A214" s="18" t="s">
        <v>209</v>
      </c>
      <c r="B214" s="67">
        <v>40000</v>
      </c>
    </row>
    <row r="215" spans="1:11" ht="15.5" x14ac:dyDescent="0.35">
      <c r="A215" s="18" t="s">
        <v>115</v>
      </c>
      <c r="B215" s="67">
        <v>60000</v>
      </c>
    </row>
    <row r="216" spans="1:11" ht="15.5" x14ac:dyDescent="0.35">
      <c r="A216" s="18" t="s">
        <v>109</v>
      </c>
      <c r="B216" s="67">
        <v>40000</v>
      </c>
    </row>
    <row r="217" spans="1:11" ht="15.5" x14ac:dyDescent="0.35">
      <c r="A217" s="24" t="s">
        <v>4</v>
      </c>
      <c r="B217" s="75">
        <f>SUM(B207:B216)</f>
        <v>440000</v>
      </c>
    </row>
    <row r="218" spans="1:11" ht="15.5" x14ac:dyDescent="0.35">
      <c r="A218" s="24" t="s">
        <v>4</v>
      </c>
      <c r="B218" s="17">
        <f>SUM(B207:B217)</f>
        <v>880000</v>
      </c>
    </row>
    <row r="219" spans="1:11" ht="15.5" x14ac:dyDescent="0.35">
      <c r="A219" s="24"/>
      <c r="B219" s="17"/>
    </row>
    <row r="220" spans="1:11" ht="15.5" x14ac:dyDescent="0.35">
      <c r="A220" s="24"/>
      <c r="B220" s="17"/>
    </row>
    <row r="221" spans="1:11" ht="18.5" x14ac:dyDescent="0.45">
      <c r="A221" s="151" t="s">
        <v>1</v>
      </c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</row>
    <row r="222" spans="1:11" ht="18.5" x14ac:dyDescent="0.45">
      <c r="A222" s="150" t="s">
        <v>74</v>
      </c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</row>
    <row r="223" spans="1:11" ht="18.5" x14ac:dyDescent="0.45">
      <c r="A223" s="149" t="s">
        <v>360</v>
      </c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</row>
    <row r="224" spans="1:11" ht="18.5" x14ac:dyDescent="0.45">
      <c r="A224" s="150"/>
      <c r="B224" s="150"/>
      <c r="C224" s="150"/>
      <c r="D224" s="150"/>
      <c r="E224" s="150"/>
      <c r="F224" s="150"/>
      <c r="G224" s="150"/>
      <c r="H224" s="150"/>
      <c r="I224" s="150"/>
      <c r="J224" s="150"/>
      <c r="K224" s="150"/>
    </row>
    <row r="225" spans="1:11" ht="18.5" x14ac:dyDescent="0.45">
      <c r="A225" s="2" t="s">
        <v>75</v>
      </c>
      <c r="B225" s="2" t="s">
        <v>3</v>
      </c>
      <c r="C225" s="2" t="s">
        <v>100</v>
      </c>
      <c r="D225" s="2" t="s">
        <v>90</v>
      </c>
      <c r="E225" s="2" t="s">
        <v>91</v>
      </c>
      <c r="F225" s="2" t="s">
        <v>4</v>
      </c>
      <c r="G225" s="2" t="s">
        <v>101</v>
      </c>
      <c r="H225" s="2" t="s">
        <v>104</v>
      </c>
      <c r="I225" s="2"/>
      <c r="J225" s="2" t="s">
        <v>105</v>
      </c>
      <c r="K225" s="2" t="s">
        <v>106</v>
      </c>
    </row>
    <row r="226" spans="1:11" ht="15.5" x14ac:dyDescent="0.35">
      <c r="A226" s="3" t="s">
        <v>76</v>
      </c>
      <c r="B226" s="1"/>
      <c r="C226" s="20">
        <v>17500</v>
      </c>
      <c r="D226" s="1"/>
      <c r="E226" s="1"/>
      <c r="F226" s="20">
        <f>C226*B226</f>
        <v>0</v>
      </c>
      <c r="G226" s="20">
        <f>D226*C226</f>
        <v>0</v>
      </c>
      <c r="H226" s="20">
        <f>E226*C226</f>
        <v>0</v>
      </c>
      <c r="I226" s="20" t="b">
        <f>D226+E226=B226</f>
        <v>1</v>
      </c>
      <c r="J226" s="20">
        <f>B262</f>
        <v>880000</v>
      </c>
      <c r="K226" s="20"/>
    </row>
    <row r="227" spans="1:11" ht="15.5" x14ac:dyDescent="0.35">
      <c r="A227" s="3" t="s">
        <v>77</v>
      </c>
      <c r="B227" s="1"/>
      <c r="C227" s="20">
        <v>16000</v>
      </c>
      <c r="D227" s="1"/>
      <c r="E227" s="1"/>
      <c r="F227" s="20">
        <f t="shared" ref="F227:G238" si="25">C227*B227</f>
        <v>0</v>
      </c>
      <c r="G227" s="20">
        <f t="shared" si="25"/>
        <v>0</v>
      </c>
      <c r="H227" s="20">
        <f t="shared" ref="H227:H242" si="26">E227*C227</f>
        <v>0</v>
      </c>
      <c r="I227" s="20" t="b">
        <f t="shared" ref="I227:I242" si="27">D227+E227=B227</f>
        <v>1</v>
      </c>
      <c r="J227" s="20"/>
      <c r="K227" s="20"/>
    </row>
    <row r="228" spans="1:11" ht="15.5" x14ac:dyDescent="0.35">
      <c r="A228" s="3" t="s">
        <v>78</v>
      </c>
      <c r="B228" s="1"/>
      <c r="C228" s="20">
        <v>17500</v>
      </c>
      <c r="D228" s="1"/>
      <c r="E228" s="1"/>
      <c r="F228" s="20">
        <f t="shared" si="25"/>
        <v>0</v>
      </c>
      <c r="G228" s="20">
        <f t="shared" si="25"/>
        <v>0</v>
      </c>
      <c r="H228" s="20">
        <f t="shared" si="26"/>
        <v>0</v>
      </c>
      <c r="I228" s="20" t="b">
        <f t="shared" si="27"/>
        <v>1</v>
      </c>
      <c r="J228" s="20"/>
      <c r="K228" s="20"/>
    </row>
    <row r="229" spans="1:11" ht="15.5" x14ac:dyDescent="0.35">
      <c r="A229" s="3" t="s">
        <v>79</v>
      </c>
      <c r="B229" s="1"/>
      <c r="C229" s="20">
        <v>18500</v>
      </c>
      <c r="D229" s="1"/>
      <c r="E229" s="1"/>
      <c r="F229" s="20">
        <f t="shared" si="25"/>
        <v>0</v>
      </c>
      <c r="G229" s="20">
        <f t="shared" si="25"/>
        <v>0</v>
      </c>
      <c r="H229" s="20">
        <f t="shared" si="26"/>
        <v>0</v>
      </c>
      <c r="I229" s="20" t="b">
        <f t="shared" si="27"/>
        <v>1</v>
      </c>
      <c r="J229" s="20"/>
      <c r="K229" s="20"/>
    </row>
    <row r="230" spans="1:11" ht="15.5" x14ac:dyDescent="0.35">
      <c r="A230" s="3" t="s">
        <v>80</v>
      </c>
      <c r="B230" s="1"/>
      <c r="C230" s="20">
        <v>18500</v>
      </c>
      <c r="D230" s="1"/>
      <c r="E230" s="1"/>
      <c r="F230" s="20">
        <f t="shared" si="25"/>
        <v>0</v>
      </c>
      <c r="G230" s="20">
        <f t="shared" si="25"/>
        <v>0</v>
      </c>
      <c r="H230" s="20">
        <f t="shared" si="26"/>
        <v>0</v>
      </c>
      <c r="I230" s="20" t="b">
        <f t="shared" si="27"/>
        <v>1</v>
      </c>
      <c r="J230" s="20"/>
      <c r="K230" s="20"/>
    </row>
    <row r="231" spans="1:11" ht="15.5" x14ac:dyDescent="0.35">
      <c r="A231" s="3" t="s">
        <v>81</v>
      </c>
      <c r="B231" s="1"/>
      <c r="C231" s="20">
        <v>23000</v>
      </c>
      <c r="D231" s="1"/>
      <c r="E231" s="1"/>
      <c r="F231" s="20">
        <f t="shared" si="25"/>
        <v>0</v>
      </c>
      <c r="G231" s="20">
        <f t="shared" si="25"/>
        <v>0</v>
      </c>
      <c r="H231" s="20">
        <f t="shared" si="26"/>
        <v>0</v>
      </c>
      <c r="I231" s="20" t="b">
        <f t="shared" si="27"/>
        <v>1</v>
      </c>
      <c r="J231" s="20"/>
      <c r="K231" s="20"/>
    </row>
    <row r="232" spans="1:11" ht="15.5" x14ac:dyDescent="0.35">
      <c r="A232" s="3" t="s">
        <v>82</v>
      </c>
      <c r="B232" s="1"/>
      <c r="C232" s="20">
        <v>18000</v>
      </c>
      <c r="D232" s="1"/>
      <c r="E232" s="1"/>
      <c r="F232" s="20">
        <f t="shared" si="25"/>
        <v>0</v>
      </c>
      <c r="G232" s="20">
        <f t="shared" si="25"/>
        <v>0</v>
      </c>
      <c r="H232" s="20">
        <f t="shared" si="26"/>
        <v>0</v>
      </c>
      <c r="I232" s="20" t="b">
        <f t="shared" si="27"/>
        <v>1</v>
      </c>
      <c r="J232" s="20"/>
      <c r="K232" s="20"/>
    </row>
    <row r="233" spans="1:11" ht="15.5" x14ac:dyDescent="0.35">
      <c r="A233" s="3" t="s">
        <v>83</v>
      </c>
      <c r="B233" s="1"/>
      <c r="C233" s="20">
        <v>18000</v>
      </c>
      <c r="D233" s="1"/>
      <c r="E233" s="1"/>
      <c r="F233" s="20">
        <f t="shared" si="25"/>
        <v>0</v>
      </c>
      <c r="G233" s="20">
        <f t="shared" si="25"/>
        <v>0</v>
      </c>
      <c r="H233" s="20">
        <f t="shared" si="26"/>
        <v>0</v>
      </c>
      <c r="I233" s="20" t="b">
        <f t="shared" si="27"/>
        <v>1</v>
      </c>
      <c r="J233" s="20"/>
      <c r="K233" s="20"/>
    </row>
    <row r="234" spans="1:11" ht="15.5" x14ac:dyDescent="0.35">
      <c r="A234" s="3" t="s">
        <v>84</v>
      </c>
      <c r="B234" s="1"/>
      <c r="C234" s="20">
        <v>18500</v>
      </c>
      <c r="D234" s="1"/>
      <c r="E234" s="1"/>
      <c r="F234" s="20">
        <f t="shared" si="25"/>
        <v>0</v>
      </c>
      <c r="G234" s="20">
        <f t="shared" si="25"/>
        <v>0</v>
      </c>
      <c r="H234" s="20">
        <f t="shared" si="26"/>
        <v>0</v>
      </c>
      <c r="I234" s="20" t="b">
        <f t="shared" si="27"/>
        <v>1</v>
      </c>
      <c r="J234" s="20"/>
      <c r="K234" s="20"/>
    </row>
    <row r="235" spans="1:11" ht="15.5" x14ac:dyDescent="0.35">
      <c r="A235" s="3" t="s">
        <v>85</v>
      </c>
      <c r="B235" s="1"/>
      <c r="C235" s="20">
        <v>18500</v>
      </c>
      <c r="D235" s="1"/>
      <c r="E235" s="1"/>
      <c r="F235" s="20">
        <f t="shared" si="25"/>
        <v>0</v>
      </c>
      <c r="G235" s="20">
        <f t="shared" si="25"/>
        <v>0</v>
      </c>
      <c r="H235" s="20">
        <f t="shared" si="26"/>
        <v>0</v>
      </c>
      <c r="I235" s="20" t="b">
        <f t="shared" si="27"/>
        <v>1</v>
      </c>
      <c r="J235" s="20"/>
      <c r="K235" s="20"/>
    </row>
    <row r="236" spans="1:11" ht="15.5" x14ac:dyDescent="0.35">
      <c r="A236" s="3" t="s">
        <v>86</v>
      </c>
      <c r="B236" s="1"/>
      <c r="C236" s="20">
        <v>18500</v>
      </c>
      <c r="D236" s="1"/>
      <c r="E236" s="1"/>
      <c r="F236" s="20">
        <f t="shared" si="25"/>
        <v>0</v>
      </c>
      <c r="G236" s="20">
        <f t="shared" si="25"/>
        <v>0</v>
      </c>
      <c r="H236" s="20">
        <f t="shared" si="26"/>
        <v>0</v>
      </c>
      <c r="I236" s="20" t="b">
        <f t="shared" si="27"/>
        <v>1</v>
      </c>
      <c r="J236" s="20"/>
      <c r="K236" s="20"/>
    </row>
    <row r="237" spans="1:11" ht="15.5" x14ac:dyDescent="0.35">
      <c r="A237" s="3" t="s">
        <v>87</v>
      </c>
      <c r="B237" s="1"/>
      <c r="C237" s="20">
        <v>18500</v>
      </c>
      <c r="D237" s="1"/>
      <c r="E237" s="1"/>
      <c r="F237" s="20">
        <f t="shared" si="25"/>
        <v>0</v>
      </c>
      <c r="G237" s="20">
        <f t="shared" si="25"/>
        <v>0</v>
      </c>
      <c r="H237" s="20">
        <f t="shared" si="26"/>
        <v>0</v>
      </c>
      <c r="I237" s="20" t="b">
        <f t="shared" si="27"/>
        <v>1</v>
      </c>
      <c r="J237" s="20"/>
      <c r="K237" s="20"/>
    </row>
    <row r="238" spans="1:11" ht="15.5" x14ac:dyDescent="0.35">
      <c r="A238" s="3" t="s">
        <v>88</v>
      </c>
      <c r="B238" s="1"/>
      <c r="C238" s="20">
        <v>18500</v>
      </c>
      <c r="D238" s="1"/>
      <c r="E238" s="1"/>
      <c r="F238" s="20">
        <f t="shared" si="25"/>
        <v>0</v>
      </c>
      <c r="G238" s="20">
        <f t="shared" si="25"/>
        <v>0</v>
      </c>
      <c r="H238" s="20">
        <f t="shared" si="26"/>
        <v>0</v>
      </c>
      <c r="I238" s="20" t="b">
        <f t="shared" si="27"/>
        <v>1</v>
      </c>
      <c r="J238" s="20"/>
      <c r="K238" s="20"/>
    </row>
    <row r="239" spans="1:11" ht="15.5" x14ac:dyDescent="0.35">
      <c r="A239" s="19" t="s">
        <v>89</v>
      </c>
      <c r="B239" s="1"/>
      <c r="C239" s="20"/>
      <c r="D239" s="1"/>
      <c r="E239" s="1"/>
      <c r="F239" s="20"/>
      <c r="G239" s="20"/>
      <c r="H239" s="20">
        <f t="shared" si="26"/>
        <v>0</v>
      </c>
      <c r="I239" s="20" t="b">
        <f t="shared" si="27"/>
        <v>1</v>
      </c>
      <c r="J239" s="20"/>
      <c r="K239" s="20"/>
    </row>
    <row r="240" spans="1:11" ht="15.5" x14ac:dyDescent="0.35">
      <c r="A240" s="3" t="s">
        <v>92</v>
      </c>
      <c r="B240" s="1"/>
      <c r="C240" s="20">
        <v>21500</v>
      </c>
      <c r="D240" s="1"/>
      <c r="E240" s="1"/>
      <c r="F240" s="20">
        <f t="shared" ref="F240:G242" si="28">C240*B240</f>
        <v>0</v>
      </c>
      <c r="G240" s="20">
        <f t="shared" si="28"/>
        <v>0</v>
      </c>
      <c r="H240" s="20">
        <f t="shared" si="26"/>
        <v>0</v>
      </c>
      <c r="I240" s="20" t="b">
        <f t="shared" si="27"/>
        <v>1</v>
      </c>
      <c r="J240" s="20"/>
      <c r="K240" s="20"/>
    </row>
    <row r="241" spans="1:11" ht="15.5" x14ac:dyDescent="0.35">
      <c r="A241" s="3" t="s">
        <v>93</v>
      </c>
      <c r="B241" s="1"/>
      <c r="C241" s="20">
        <v>21500</v>
      </c>
      <c r="D241" s="1"/>
      <c r="E241" s="1"/>
      <c r="F241" s="20">
        <f t="shared" si="28"/>
        <v>0</v>
      </c>
      <c r="G241" s="20">
        <f t="shared" si="28"/>
        <v>0</v>
      </c>
      <c r="H241" s="20">
        <f t="shared" si="26"/>
        <v>0</v>
      </c>
      <c r="I241" s="20" t="b">
        <f t="shared" si="27"/>
        <v>1</v>
      </c>
      <c r="J241" s="20"/>
      <c r="K241" s="20"/>
    </row>
    <row r="242" spans="1:11" ht="15.5" x14ac:dyDescent="0.35">
      <c r="A242" s="3" t="s">
        <v>94</v>
      </c>
      <c r="B242" s="1"/>
      <c r="C242" s="20">
        <v>21500</v>
      </c>
      <c r="D242" s="1"/>
      <c r="E242" s="1"/>
      <c r="F242" s="20">
        <f t="shared" si="28"/>
        <v>0</v>
      </c>
      <c r="G242" s="20">
        <f t="shared" si="28"/>
        <v>0</v>
      </c>
      <c r="H242" s="20">
        <f t="shared" si="26"/>
        <v>0</v>
      </c>
      <c r="I242" s="20" t="b">
        <f t="shared" si="27"/>
        <v>1</v>
      </c>
      <c r="J242" s="20"/>
      <c r="K242" s="20"/>
    </row>
    <row r="243" spans="1:11" ht="15.5" x14ac:dyDescent="0.35">
      <c r="A243" s="19"/>
      <c r="B243" s="22">
        <f>SUM(B226:B242)</f>
        <v>0</v>
      </c>
      <c r="C243" s="20"/>
      <c r="D243" s="1"/>
      <c r="E243" s="1"/>
      <c r="F243" s="23">
        <f>SUM(F226:F242)</f>
        <v>0</v>
      </c>
      <c r="G243" s="23">
        <f>SUM(G226:G242)</f>
        <v>0</v>
      </c>
      <c r="H243" s="23">
        <f>SUM(H226:H242)</f>
        <v>0</v>
      </c>
      <c r="I243" s="23"/>
      <c r="J243" s="23">
        <f>SUM(J226:J242)</f>
        <v>880000</v>
      </c>
      <c r="K243" s="23">
        <f>H243-J243</f>
        <v>-880000</v>
      </c>
    </row>
    <row r="244" spans="1:11" ht="15.5" x14ac:dyDescent="0.35">
      <c r="A244" s="19" t="s">
        <v>95</v>
      </c>
      <c r="B244" s="1"/>
      <c r="C244" s="20"/>
      <c r="D244" s="1"/>
      <c r="E244" s="1"/>
      <c r="F244" s="20"/>
      <c r="G244" s="20"/>
      <c r="H244" s="20" t="s">
        <v>192</v>
      </c>
      <c r="I244" s="20"/>
      <c r="J244" s="20"/>
      <c r="K244" s="20"/>
    </row>
    <row r="245" spans="1:11" ht="15.5" x14ac:dyDescent="0.35">
      <c r="A245" s="3" t="s">
        <v>96</v>
      </c>
      <c r="B245" s="1"/>
      <c r="C245" s="20">
        <v>3000</v>
      </c>
      <c r="D245" s="1"/>
      <c r="E245" s="20"/>
      <c r="F245" s="20">
        <f t="shared" ref="F245:F248" si="29">C245*B245</f>
        <v>0</v>
      </c>
      <c r="G245" s="20"/>
      <c r="H245" s="20"/>
      <c r="I245" s="20"/>
      <c r="J245" s="20"/>
      <c r="K245" s="20"/>
    </row>
    <row r="246" spans="1:11" ht="15.5" x14ac:dyDescent="0.35">
      <c r="A246" s="3" t="s">
        <v>97</v>
      </c>
      <c r="B246" s="1"/>
      <c r="C246" s="20">
        <v>2500</v>
      </c>
      <c r="D246" s="1"/>
      <c r="E246" s="1"/>
      <c r="F246" s="20">
        <f t="shared" si="29"/>
        <v>0</v>
      </c>
      <c r="G246" s="20"/>
      <c r="H246" s="20"/>
      <c r="I246" s="20"/>
      <c r="J246" s="20"/>
      <c r="K246" s="20"/>
    </row>
    <row r="247" spans="1:11" ht="15.5" x14ac:dyDescent="0.35">
      <c r="A247" s="3" t="s">
        <v>98</v>
      </c>
      <c r="B247" s="1"/>
      <c r="C247" s="20">
        <v>1800</v>
      </c>
      <c r="D247" s="1"/>
      <c r="E247" s="1"/>
      <c r="F247" s="20">
        <f t="shared" si="29"/>
        <v>0</v>
      </c>
      <c r="G247" s="20"/>
      <c r="H247" s="20"/>
      <c r="I247" s="20"/>
      <c r="J247" s="20"/>
      <c r="K247" s="20"/>
    </row>
    <row r="248" spans="1:11" ht="15.5" x14ac:dyDescent="0.35">
      <c r="A248" s="3" t="s">
        <v>99</v>
      </c>
      <c r="B248" s="1"/>
      <c r="C248" s="20">
        <v>3500</v>
      </c>
      <c r="D248" s="1"/>
      <c r="E248" s="1"/>
      <c r="F248" s="20">
        <f t="shared" si="29"/>
        <v>0</v>
      </c>
      <c r="G248" s="20"/>
      <c r="H248" s="20"/>
      <c r="I248" s="20"/>
      <c r="J248" s="20"/>
      <c r="K248" s="20"/>
    </row>
    <row r="249" spans="1:11" ht="15.5" x14ac:dyDescent="0.35">
      <c r="A249" s="18"/>
      <c r="F249" s="21"/>
    </row>
    <row r="250" spans="1:11" ht="15.5" x14ac:dyDescent="0.35">
      <c r="A250" s="24" t="s">
        <v>108</v>
      </c>
      <c r="K250" s="21"/>
    </row>
    <row r="251" spans="1:11" ht="15.5" x14ac:dyDescent="0.35">
      <c r="A251" s="18" t="s">
        <v>114</v>
      </c>
      <c r="B251" s="67">
        <v>40000</v>
      </c>
    </row>
    <row r="252" spans="1:11" ht="15.5" x14ac:dyDescent="0.35">
      <c r="A252" s="18" t="s">
        <v>112</v>
      </c>
      <c r="B252" s="67">
        <v>40000</v>
      </c>
    </row>
    <row r="253" spans="1:11" ht="15.5" x14ac:dyDescent="0.35">
      <c r="A253" s="18" t="s">
        <v>309</v>
      </c>
      <c r="B253" s="67">
        <v>60000</v>
      </c>
    </row>
    <row r="254" spans="1:11" ht="15.5" x14ac:dyDescent="0.35">
      <c r="A254" s="18" t="s">
        <v>110</v>
      </c>
      <c r="B254" s="67">
        <v>40000</v>
      </c>
    </row>
    <row r="255" spans="1:11" ht="15.5" x14ac:dyDescent="0.35">
      <c r="A255" s="18" t="s">
        <v>111</v>
      </c>
      <c r="B255" s="67">
        <v>40000</v>
      </c>
    </row>
    <row r="256" spans="1:11" ht="15.5" x14ac:dyDescent="0.35">
      <c r="A256" s="18" t="s">
        <v>196</v>
      </c>
      <c r="B256" s="67">
        <v>40000</v>
      </c>
    </row>
    <row r="257" spans="1:11" ht="15.5" x14ac:dyDescent="0.35">
      <c r="A257" s="18" t="s">
        <v>113</v>
      </c>
      <c r="B257" s="67">
        <v>40000</v>
      </c>
    </row>
    <row r="258" spans="1:11" ht="15.5" x14ac:dyDescent="0.35">
      <c r="A258" s="18" t="s">
        <v>209</v>
      </c>
      <c r="B258" s="67">
        <v>40000</v>
      </c>
    </row>
    <row r="259" spans="1:11" ht="15.5" x14ac:dyDescent="0.35">
      <c r="A259" s="18" t="s">
        <v>115</v>
      </c>
      <c r="B259" s="67">
        <v>60000</v>
      </c>
    </row>
    <row r="260" spans="1:11" ht="15.5" x14ac:dyDescent="0.35">
      <c r="A260" s="18" t="s">
        <v>109</v>
      </c>
      <c r="B260" s="67">
        <v>40000</v>
      </c>
    </row>
    <row r="261" spans="1:11" ht="15.5" x14ac:dyDescent="0.35">
      <c r="A261" s="24" t="s">
        <v>4</v>
      </c>
      <c r="B261" s="75">
        <f>SUM(B251:B260)</f>
        <v>440000</v>
      </c>
    </row>
    <row r="262" spans="1:11" ht="15.5" x14ac:dyDescent="0.35">
      <c r="A262" s="24" t="s">
        <v>4</v>
      </c>
      <c r="B262" s="17">
        <f>SUM(B251:B261)</f>
        <v>880000</v>
      </c>
    </row>
    <row r="264" spans="1:11" ht="18.5" x14ac:dyDescent="0.45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</row>
    <row r="265" spans="1:11" ht="18.5" x14ac:dyDescent="0.45">
      <c r="A265" s="151" t="s">
        <v>1</v>
      </c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</row>
    <row r="266" spans="1:11" ht="18.5" x14ac:dyDescent="0.45">
      <c r="A266" s="150" t="s">
        <v>74</v>
      </c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</row>
    <row r="267" spans="1:11" ht="18.5" x14ac:dyDescent="0.45">
      <c r="A267" s="149" t="s">
        <v>360</v>
      </c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</row>
    <row r="268" spans="1:11" ht="18.5" x14ac:dyDescent="0.45">
      <c r="A268" s="150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</row>
    <row r="269" spans="1:11" ht="18.5" x14ac:dyDescent="0.45">
      <c r="A269" s="2" t="s">
        <v>75</v>
      </c>
      <c r="B269" s="2" t="s">
        <v>3</v>
      </c>
      <c r="C269" s="2" t="s">
        <v>100</v>
      </c>
      <c r="D269" s="2" t="s">
        <v>90</v>
      </c>
      <c r="E269" s="2" t="s">
        <v>91</v>
      </c>
      <c r="F269" s="2" t="s">
        <v>4</v>
      </c>
      <c r="G269" s="2" t="s">
        <v>101</v>
      </c>
      <c r="H269" s="2" t="s">
        <v>104</v>
      </c>
      <c r="I269" s="2"/>
      <c r="J269" s="2" t="s">
        <v>105</v>
      </c>
      <c r="K269" s="2" t="s">
        <v>106</v>
      </c>
    </row>
    <row r="270" spans="1:11" ht="15.5" x14ac:dyDescent="0.35">
      <c r="A270" s="3" t="s">
        <v>76</v>
      </c>
      <c r="B270" s="1"/>
      <c r="C270" s="20">
        <v>17500</v>
      </c>
      <c r="D270" s="1"/>
      <c r="E270" s="1"/>
      <c r="F270" s="20">
        <f>C270*B270</f>
        <v>0</v>
      </c>
      <c r="G270" s="20">
        <f>D270*C270</f>
        <v>0</v>
      </c>
      <c r="H270" s="20">
        <f>E270*C270</f>
        <v>0</v>
      </c>
      <c r="I270" s="20" t="b">
        <f>D270+E270=B270</f>
        <v>1</v>
      </c>
      <c r="J270" s="20">
        <f>B306</f>
        <v>880000</v>
      </c>
      <c r="K270" s="20"/>
    </row>
    <row r="271" spans="1:11" ht="15.5" x14ac:dyDescent="0.35">
      <c r="A271" s="3" t="s">
        <v>77</v>
      </c>
      <c r="B271" s="1"/>
      <c r="C271" s="20">
        <v>16000</v>
      </c>
      <c r="D271" s="1"/>
      <c r="E271" s="1"/>
      <c r="F271" s="20">
        <f t="shared" ref="F271:G282" si="30">C271*B271</f>
        <v>0</v>
      </c>
      <c r="G271" s="20">
        <f t="shared" si="30"/>
        <v>0</v>
      </c>
      <c r="H271" s="20">
        <f t="shared" ref="H271:H286" si="31">E271*C271</f>
        <v>0</v>
      </c>
      <c r="I271" s="20" t="b">
        <f t="shared" ref="I271:I286" si="32">D271+E271=B271</f>
        <v>1</v>
      </c>
      <c r="J271" s="20"/>
      <c r="K271" s="20"/>
    </row>
    <row r="272" spans="1:11" ht="15.5" x14ac:dyDescent="0.35">
      <c r="A272" s="3" t="s">
        <v>78</v>
      </c>
      <c r="B272" s="1"/>
      <c r="C272" s="20">
        <v>17500</v>
      </c>
      <c r="D272" s="1"/>
      <c r="E272" s="1"/>
      <c r="F272" s="20">
        <f t="shared" si="30"/>
        <v>0</v>
      </c>
      <c r="G272" s="20">
        <f t="shared" si="30"/>
        <v>0</v>
      </c>
      <c r="H272" s="20">
        <f t="shared" si="31"/>
        <v>0</v>
      </c>
      <c r="I272" s="20" t="b">
        <f t="shared" si="32"/>
        <v>1</v>
      </c>
      <c r="J272" s="20"/>
      <c r="K272" s="20"/>
    </row>
    <row r="273" spans="1:11" ht="15.5" x14ac:dyDescent="0.35">
      <c r="A273" s="3" t="s">
        <v>79</v>
      </c>
      <c r="B273" s="1"/>
      <c r="C273" s="20">
        <v>18500</v>
      </c>
      <c r="D273" s="1"/>
      <c r="E273" s="1"/>
      <c r="F273" s="20">
        <f t="shared" si="30"/>
        <v>0</v>
      </c>
      <c r="G273" s="20">
        <f t="shared" si="30"/>
        <v>0</v>
      </c>
      <c r="H273" s="20">
        <f t="shared" si="31"/>
        <v>0</v>
      </c>
      <c r="I273" s="20" t="b">
        <f t="shared" si="32"/>
        <v>1</v>
      </c>
      <c r="J273" s="20"/>
      <c r="K273" s="20"/>
    </row>
    <row r="274" spans="1:11" ht="15.5" x14ac:dyDescent="0.35">
      <c r="A274" s="3" t="s">
        <v>80</v>
      </c>
      <c r="B274" s="1"/>
      <c r="C274" s="20">
        <v>18500</v>
      </c>
      <c r="D274" s="1"/>
      <c r="E274" s="1"/>
      <c r="F274" s="20">
        <f t="shared" si="30"/>
        <v>0</v>
      </c>
      <c r="G274" s="20">
        <f t="shared" si="30"/>
        <v>0</v>
      </c>
      <c r="H274" s="20">
        <f t="shared" si="31"/>
        <v>0</v>
      </c>
      <c r="I274" s="20" t="b">
        <f t="shared" si="32"/>
        <v>1</v>
      </c>
      <c r="J274" s="20"/>
      <c r="K274" s="20"/>
    </row>
    <row r="275" spans="1:11" ht="15.5" x14ac:dyDescent="0.35">
      <c r="A275" s="3" t="s">
        <v>81</v>
      </c>
      <c r="B275" s="1"/>
      <c r="C275" s="20">
        <v>23000</v>
      </c>
      <c r="D275" s="1"/>
      <c r="E275" s="1"/>
      <c r="F275" s="20">
        <f t="shared" si="30"/>
        <v>0</v>
      </c>
      <c r="G275" s="20">
        <f t="shared" si="30"/>
        <v>0</v>
      </c>
      <c r="H275" s="20">
        <f t="shared" si="31"/>
        <v>0</v>
      </c>
      <c r="I275" s="20" t="b">
        <f t="shared" si="32"/>
        <v>1</v>
      </c>
      <c r="J275" s="20"/>
      <c r="K275" s="20"/>
    </row>
    <row r="276" spans="1:11" ht="15.5" x14ac:dyDescent="0.35">
      <c r="A276" s="3" t="s">
        <v>82</v>
      </c>
      <c r="B276" s="1"/>
      <c r="C276" s="20">
        <v>18000</v>
      </c>
      <c r="D276" s="1"/>
      <c r="E276" s="1"/>
      <c r="F276" s="20">
        <f t="shared" si="30"/>
        <v>0</v>
      </c>
      <c r="G276" s="20">
        <f t="shared" si="30"/>
        <v>0</v>
      </c>
      <c r="H276" s="20">
        <f t="shared" si="31"/>
        <v>0</v>
      </c>
      <c r="I276" s="20" t="b">
        <f t="shared" si="32"/>
        <v>1</v>
      </c>
      <c r="J276" s="20"/>
      <c r="K276" s="20"/>
    </row>
    <row r="277" spans="1:11" ht="15.5" x14ac:dyDescent="0.35">
      <c r="A277" s="3" t="s">
        <v>83</v>
      </c>
      <c r="B277" s="1"/>
      <c r="C277" s="20">
        <v>18000</v>
      </c>
      <c r="D277" s="1"/>
      <c r="E277" s="1"/>
      <c r="F277" s="20">
        <f t="shared" si="30"/>
        <v>0</v>
      </c>
      <c r="G277" s="20">
        <f t="shared" si="30"/>
        <v>0</v>
      </c>
      <c r="H277" s="20">
        <f t="shared" si="31"/>
        <v>0</v>
      </c>
      <c r="I277" s="20" t="b">
        <f t="shared" si="32"/>
        <v>1</v>
      </c>
      <c r="J277" s="20"/>
      <c r="K277" s="20"/>
    </row>
    <row r="278" spans="1:11" ht="15.5" x14ac:dyDescent="0.35">
      <c r="A278" s="3" t="s">
        <v>84</v>
      </c>
      <c r="B278" s="1"/>
      <c r="C278" s="20">
        <v>18500</v>
      </c>
      <c r="D278" s="1"/>
      <c r="E278" s="1"/>
      <c r="F278" s="20">
        <f t="shared" si="30"/>
        <v>0</v>
      </c>
      <c r="G278" s="20">
        <f t="shared" si="30"/>
        <v>0</v>
      </c>
      <c r="H278" s="20">
        <f t="shared" si="31"/>
        <v>0</v>
      </c>
      <c r="I278" s="20" t="b">
        <f t="shared" si="32"/>
        <v>1</v>
      </c>
      <c r="J278" s="20"/>
      <c r="K278" s="20"/>
    </row>
    <row r="279" spans="1:11" ht="15.5" x14ac:dyDescent="0.35">
      <c r="A279" s="3" t="s">
        <v>85</v>
      </c>
      <c r="B279" s="1"/>
      <c r="C279" s="20">
        <v>18500</v>
      </c>
      <c r="D279" s="1"/>
      <c r="E279" s="1"/>
      <c r="F279" s="20">
        <f t="shared" si="30"/>
        <v>0</v>
      </c>
      <c r="G279" s="20">
        <f t="shared" si="30"/>
        <v>0</v>
      </c>
      <c r="H279" s="20">
        <f t="shared" si="31"/>
        <v>0</v>
      </c>
      <c r="I279" s="20" t="b">
        <f t="shared" si="32"/>
        <v>1</v>
      </c>
      <c r="J279" s="20"/>
      <c r="K279" s="20"/>
    </row>
    <row r="280" spans="1:11" ht="15.5" x14ac:dyDescent="0.35">
      <c r="A280" s="3" t="s">
        <v>86</v>
      </c>
      <c r="B280" s="1"/>
      <c r="C280" s="20">
        <v>18500</v>
      </c>
      <c r="D280" s="1"/>
      <c r="E280" s="1"/>
      <c r="F280" s="20">
        <f t="shared" si="30"/>
        <v>0</v>
      </c>
      <c r="G280" s="20">
        <f t="shared" si="30"/>
        <v>0</v>
      </c>
      <c r="H280" s="20">
        <f t="shared" si="31"/>
        <v>0</v>
      </c>
      <c r="I280" s="20" t="b">
        <f t="shared" si="32"/>
        <v>1</v>
      </c>
      <c r="J280" s="20"/>
      <c r="K280" s="20"/>
    </row>
    <row r="281" spans="1:11" ht="15.5" x14ac:dyDescent="0.35">
      <c r="A281" s="3" t="s">
        <v>87</v>
      </c>
      <c r="B281" s="1"/>
      <c r="C281" s="20">
        <v>18500</v>
      </c>
      <c r="D281" s="1"/>
      <c r="E281" s="1"/>
      <c r="F281" s="20">
        <f t="shared" si="30"/>
        <v>0</v>
      </c>
      <c r="G281" s="20">
        <f t="shared" si="30"/>
        <v>0</v>
      </c>
      <c r="H281" s="20">
        <f t="shared" si="31"/>
        <v>0</v>
      </c>
      <c r="I281" s="20" t="b">
        <f t="shared" si="32"/>
        <v>1</v>
      </c>
      <c r="J281" s="20"/>
      <c r="K281" s="20"/>
    </row>
    <row r="282" spans="1:11" ht="15.5" x14ac:dyDescent="0.35">
      <c r="A282" s="3" t="s">
        <v>88</v>
      </c>
      <c r="B282" s="1"/>
      <c r="C282" s="20">
        <v>18500</v>
      </c>
      <c r="D282" s="1"/>
      <c r="E282" s="1"/>
      <c r="F282" s="20">
        <f t="shared" si="30"/>
        <v>0</v>
      </c>
      <c r="G282" s="20">
        <f t="shared" si="30"/>
        <v>0</v>
      </c>
      <c r="H282" s="20">
        <f t="shared" si="31"/>
        <v>0</v>
      </c>
      <c r="I282" s="20" t="b">
        <f t="shared" si="32"/>
        <v>1</v>
      </c>
      <c r="J282" s="20"/>
      <c r="K282" s="20"/>
    </row>
    <row r="283" spans="1:11" ht="15.5" x14ac:dyDescent="0.35">
      <c r="A283" s="19" t="s">
        <v>89</v>
      </c>
      <c r="B283" s="1"/>
      <c r="C283" s="20"/>
      <c r="D283" s="1"/>
      <c r="E283" s="1"/>
      <c r="F283" s="20"/>
      <c r="G283" s="20"/>
      <c r="H283" s="20">
        <f t="shared" si="31"/>
        <v>0</v>
      </c>
      <c r="I283" s="20" t="b">
        <f t="shared" si="32"/>
        <v>1</v>
      </c>
      <c r="J283" s="20"/>
      <c r="K283" s="20"/>
    </row>
    <row r="284" spans="1:11" ht="15.5" x14ac:dyDescent="0.35">
      <c r="A284" s="3" t="s">
        <v>92</v>
      </c>
      <c r="B284" s="1"/>
      <c r="C284" s="20">
        <v>21500</v>
      </c>
      <c r="D284" s="1"/>
      <c r="E284" s="1"/>
      <c r="F284" s="20">
        <f t="shared" ref="F284:G286" si="33">C284*B284</f>
        <v>0</v>
      </c>
      <c r="G284" s="20">
        <f t="shared" si="33"/>
        <v>0</v>
      </c>
      <c r="H284" s="20">
        <f t="shared" si="31"/>
        <v>0</v>
      </c>
      <c r="I284" s="20" t="b">
        <f t="shared" si="32"/>
        <v>1</v>
      </c>
      <c r="J284" s="20"/>
      <c r="K284" s="20"/>
    </row>
    <row r="285" spans="1:11" ht="15.5" x14ac:dyDescent="0.35">
      <c r="A285" s="3" t="s">
        <v>93</v>
      </c>
      <c r="B285" s="1"/>
      <c r="C285" s="20">
        <v>21500</v>
      </c>
      <c r="D285" s="1"/>
      <c r="E285" s="1"/>
      <c r="F285" s="20">
        <f t="shared" si="33"/>
        <v>0</v>
      </c>
      <c r="G285" s="20">
        <f t="shared" si="33"/>
        <v>0</v>
      </c>
      <c r="H285" s="20">
        <f t="shared" si="31"/>
        <v>0</v>
      </c>
      <c r="I285" s="20" t="b">
        <f t="shared" si="32"/>
        <v>1</v>
      </c>
      <c r="J285" s="20"/>
      <c r="K285" s="20"/>
    </row>
    <row r="286" spans="1:11" ht="15.5" x14ac:dyDescent="0.35">
      <c r="A286" s="3" t="s">
        <v>94</v>
      </c>
      <c r="B286" s="1"/>
      <c r="C286" s="20">
        <v>21500</v>
      </c>
      <c r="D286" s="1"/>
      <c r="E286" s="1"/>
      <c r="F286" s="20">
        <f t="shared" si="33"/>
        <v>0</v>
      </c>
      <c r="G286" s="20">
        <f t="shared" si="33"/>
        <v>0</v>
      </c>
      <c r="H286" s="20">
        <f t="shared" si="31"/>
        <v>0</v>
      </c>
      <c r="I286" s="20" t="b">
        <f t="shared" si="32"/>
        <v>1</v>
      </c>
      <c r="J286" s="20"/>
      <c r="K286" s="20"/>
    </row>
    <row r="287" spans="1:11" ht="15.5" x14ac:dyDescent="0.35">
      <c r="A287" s="19"/>
      <c r="B287" s="22">
        <f>SUM(B270:B286)</f>
        <v>0</v>
      </c>
      <c r="C287" s="20"/>
      <c r="D287" s="1"/>
      <c r="E287" s="1"/>
      <c r="F287" s="23">
        <f>SUM(F270:F286)</f>
        <v>0</v>
      </c>
      <c r="G287" s="23">
        <f>SUM(G270:G286)</f>
        <v>0</v>
      </c>
      <c r="H287" s="23">
        <f>SUM(H270:H286)</f>
        <v>0</v>
      </c>
      <c r="I287" s="23"/>
      <c r="J287" s="23">
        <f>SUM(J270:J286)</f>
        <v>880000</v>
      </c>
      <c r="K287" s="23">
        <f>H287-J287</f>
        <v>-880000</v>
      </c>
    </row>
    <row r="288" spans="1:11" ht="15.5" x14ac:dyDescent="0.35">
      <c r="A288" s="19" t="s">
        <v>95</v>
      </c>
      <c r="B288" s="1"/>
      <c r="C288" s="20"/>
      <c r="D288" s="1"/>
      <c r="E288" s="1"/>
      <c r="F288" s="20"/>
      <c r="G288" s="20"/>
      <c r="H288" s="20" t="s">
        <v>192</v>
      </c>
      <c r="I288" s="20"/>
      <c r="J288" s="20"/>
      <c r="K288" s="20"/>
    </row>
    <row r="289" spans="1:11" ht="15.5" x14ac:dyDescent="0.35">
      <c r="A289" s="3" t="s">
        <v>96</v>
      </c>
      <c r="B289" s="1"/>
      <c r="C289" s="20">
        <v>3000</v>
      </c>
      <c r="D289" s="1"/>
      <c r="E289" s="20"/>
      <c r="F289" s="20">
        <f t="shared" ref="F289:F292" si="34">C289*B289</f>
        <v>0</v>
      </c>
      <c r="G289" s="20"/>
      <c r="H289" s="20"/>
      <c r="I289" s="20"/>
      <c r="J289" s="20"/>
      <c r="K289" s="20"/>
    </row>
    <row r="290" spans="1:11" ht="15.5" x14ac:dyDescent="0.35">
      <c r="A290" s="3" t="s">
        <v>97</v>
      </c>
      <c r="B290" s="1"/>
      <c r="C290" s="20">
        <v>2500</v>
      </c>
      <c r="D290" s="1"/>
      <c r="E290" s="1"/>
      <c r="F290" s="20">
        <f t="shared" si="34"/>
        <v>0</v>
      </c>
      <c r="G290" s="20"/>
      <c r="H290" s="20"/>
      <c r="I290" s="20"/>
      <c r="J290" s="20"/>
      <c r="K290" s="20"/>
    </row>
    <row r="291" spans="1:11" ht="15.5" x14ac:dyDescent="0.35">
      <c r="A291" s="3" t="s">
        <v>98</v>
      </c>
      <c r="B291" s="1"/>
      <c r="C291" s="20">
        <v>1800</v>
      </c>
      <c r="D291" s="1"/>
      <c r="E291" s="1"/>
      <c r="F291" s="20">
        <f t="shared" si="34"/>
        <v>0</v>
      </c>
      <c r="G291" s="20"/>
      <c r="H291" s="20"/>
      <c r="I291" s="20"/>
      <c r="J291" s="20"/>
      <c r="K291" s="20"/>
    </row>
    <row r="292" spans="1:11" ht="15.5" x14ac:dyDescent="0.35">
      <c r="A292" s="3" t="s">
        <v>99</v>
      </c>
      <c r="B292" s="1"/>
      <c r="C292" s="20">
        <v>3500</v>
      </c>
      <c r="D292" s="1"/>
      <c r="E292" s="1"/>
      <c r="F292" s="20">
        <f t="shared" si="34"/>
        <v>0</v>
      </c>
      <c r="G292" s="20"/>
      <c r="H292" s="20"/>
      <c r="I292" s="20"/>
      <c r="J292" s="20"/>
      <c r="K292" s="20"/>
    </row>
    <row r="293" spans="1:11" ht="15.5" x14ac:dyDescent="0.35">
      <c r="A293" s="18"/>
      <c r="F293" s="21"/>
    </row>
    <row r="294" spans="1:11" ht="15.5" x14ac:dyDescent="0.35">
      <c r="A294" s="24" t="s">
        <v>108</v>
      </c>
      <c r="K294" s="21"/>
    </row>
    <row r="295" spans="1:11" ht="15.5" x14ac:dyDescent="0.35">
      <c r="A295" s="18" t="s">
        <v>114</v>
      </c>
      <c r="B295" s="67">
        <v>40000</v>
      </c>
    </row>
    <row r="296" spans="1:11" ht="15.5" x14ac:dyDescent="0.35">
      <c r="A296" s="18" t="s">
        <v>112</v>
      </c>
      <c r="B296" s="67">
        <v>40000</v>
      </c>
    </row>
    <row r="297" spans="1:11" ht="15.5" x14ac:dyDescent="0.35">
      <c r="A297" s="18" t="s">
        <v>309</v>
      </c>
      <c r="B297" s="67">
        <v>60000</v>
      </c>
    </row>
    <row r="298" spans="1:11" ht="15.5" x14ac:dyDescent="0.35">
      <c r="A298" s="18" t="s">
        <v>110</v>
      </c>
      <c r="B298" s="67">
        <v>40000</v>
      </c>
    </row>
    <row r="299" spans="1:11" ht="15.5" x14ac:dyDescent="0.35">
      <c r="A299" s="18" t="s">
        <v>111</v>
      </c>
      <c r="B299" s="67">
        <v>40000</v>
      </c>
    </row>
    <row r="300" spans="1:11" ht="15.5" x14ac:dyDescent="0.35">
      <c r="A300" s="18" t="s">
        <v>196</v>
      </c>
      <c r="B300" s="67">
        <v>40000</v>
      </c>
    </row>
    <row r="301" spans="1:11" ht="15.5" x14ac:dyDescent="0.35">
      <c r="A301" s="18" t="s">
        <v>113</v>
      </c>
      <c r="B301" s="67">
        <v>40000</v>
      </c>
    </row>
    <row r="302" spans="1:11" ht="15.5" x14ac:dyDescent="0.35">
      <c r="A302" s="18" t="s">
        <v>209</v>
      </c>
      <c r="B302" s="67">
        <v>40000</v>
      </c>
    </row>
    <row r="303" spans="1:11" ht="15.5" x14ac:dyDescent="0.35">
      <c r="A303" s="18" t="s">
        <v>115</v>
      </c>
      <c r="B303" s="67">
        <v>60000</v>
      </c>
    </row>
    <row r="304" spans="1:11" ht="15.5" x14ac:dyDescent="0.35">
      <c r="A304" s="18" t="s">
        <v>109</v>
      </c>
      <c r="B304" s="67">
        <v>40000</v>
      </c>
    </row>
    <row r="305" spans="1:11" ht="15.5" x14ac:dyDescent="0.35">
      <c r="A305" s="24" t="s">
        <v>4</v>
      </c>
      <c r="B305" s="75">
        <f>SUM(B295:B304)</f>
        <v>440000</v>
      </c>
    </row>
    <row r="306" spans="1:11" ht="15.5" x14ac:dyDescent="0.35">
      <c r="A306" s="24" t="s">
        <v>4</v>
      </c>
      <c r="B306" s="17">
        <f>SUM(B295:B305)</f>
        <v>880000</v>
      </c>
    </row>
    <row r="307" spans="1:11" ht="15.5" x14ac:dyDescent="0.35">
      <c r="A307" s="24"/>
      <c r="B307" s="17"/>
    </row>
    <row r="308" spans="1:11" ht="15.5" x14ac:dyDescent="0.35">
      <c r="A308" s="24"/>
      <c r="B308" s="17"/>
    </row>
    <row r="310" spans="1:11" ht="18.5" x14ac:dyDescent="0.45">
      <c r="A310" s="151" t="s">
        <v>1</v>
      </c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</row>
    <row r="311" spans="1:11" ht="18.5" x14ac:dyDescent="0.45">
      <c r="A311" s="150" t="s">
        <v>74</v>
      </c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</row>
    <row r="312" spans="1:11" ht="18.5" x14ac:dyDescent="0.45">
      <c r="A312" s="149" t="s">
        <v>360</v>
      </c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</row>
    <row r="313" spans="1:11" ht="18.5" x14ac:dyDescent="0.45">
      <c r="A313" s="150"/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</row>
    <row r="314" spans="1:11" ht="18.5" x14ac:dyDescent="0.45">
      <c r="A314" s="2" t="s">
        <v>75</v>
      </c>
      <c r="B314" s="2" t="s">
        <v>3</v>
      </c>
      <c r="C314" s="2" t="s">
        <v>100</v>
      </c>
      <c r="D314" s="2" t="s">
        <v>90</v>
      </c>
      <c r="E314" s="2" t="s">
        <v>91</v>
      </c>
      <c r="F314" s="2" t="s">
        <v>4</v>
      </c>
      <c r="G314" s="2" t="s">
        <v>101</v>
      </c>
      <c r="H314" s="2" t="s">
        <v>104</v>
      </c>
      <c r="I314" s="2"/>
      <c r="J314" s="2" t="s">
        <v>105</v>
      </c>
      <c r="K314" s="2" t="s">
        <v>106</v>
      </c>
    </row>
    <row r="315" spans="1:11" ht="15.5" x14ac:dyDescent="0.35">
      <c r="A315" s="3" t="s">
        <v>76</v>
      </c>
      <c r="B315" s="1"/>
      <c r="C315" s="20">
        <v>17500</v>
      </c>
      <c r="D315" s="1"/>
      <c r="E315" s="1"/>
      <c r="F315" s="20">
        <f>C315*B315</f>
        <v>0</v>
      </c>
      <c r="G315" s="20">
        <f>D315*C315</f>
        <v>0</v>
      </c>
      <c r="H315" s="20">
        <f>E315*C315</f>
        <v>0</v>
      </c>
      <c r="I315" s="20" t="b">
        <f>D315+E315=B315</f>
        <v>1</v>
      </c>
      <c r="J315" s="20">
        <f>B350</f>
        <v>440000</v>
      </c>
      <c r="K315" s="20"/>
    </row>
    <row r="316" spans="1:11" ht="15.5" x14ac:dyDescent="0.35">
      <c r="A316" s="3" t="s">
        <v>77</v>
      </c>
      <c r="B316" s="1"/>
      <c r="C316" s="20">
        <v>16000</v>
      </c>
      <c r="D316" s="1"/>
      <c r="E316" s="1"/>
      <c r="F316" s="20">
        <f t="shared" ref="F316:G327" si="35">C316*B316</f>
        <v>0</v>
      </c>
      <c r="G316" s="20">
        <f t="shared" si="35"/>
        <v>0</v>
      </c>
      <c r="H316" s="20">
        <f t="shared" ref="H316:H331" si="36">E316*C316</f>
        <v>0</v>
      </c>
      <c r="I316" s="20" t="b">
        <f t="shared" ref="I316:I331" si="37">D316+E316=B316</f>
        <v>1</v>
      </c>
      <c r="J316" s="20"/>
      <c r="K316" s="20"/>
    </row>
    <row r="317" spans="1:11" ht="15.5" x14ac:dyDescent="0.35">
      <c r="A317" s="3" t="s">
        <v>78</v>
      </c>
      <c r="B317" s="1"/>
      <c r="C317" s="20">
        <v>17500</v>
      </c>
      <c r="D317" s="1"/>
      <c r="E317" s="1"/>
      <c r="F317" s="20">
        <f t="shared" si="35"/>
        <v>0</v>
      </c>
      <c r="G317" s="20">
        <f t="shared" si="35"/>
        <v>0</v>
      </c>
      <c r="H317" s="20">
        <f t="shared" si="36"/>
        <v>0</v>
      </c>
      <c r="I317" s="20" t="b">
        <f t="shared" si="37"/>
        <v>1</v>
      </c>
      <c r="J317" s="20"/>
      <c r="K317" s="20"/>
    </row>
    <row r="318" spans="1:11" ht="15.5" x14ac:dyDescent="0.35">
      <c r="A318" s="3" t="s">
        <v>79</v>
      </c>
      <c r="B318" s="1"/>
      <c r="C318" s="20">
        <v>18500</v>
      </c>
      <c r="D318" s="1"/>
      <c r="E318" s="1"/>
      <c r="F318" s="20">
        <f t="shared" si="35"/>
        <v>0</v>
      </c>
      <c r="G318" s="20">
        <f t="shared" si="35"/>
        <v>0</v>
      </c>
      <c r="H318" s="20">
        <f t="shared" si="36"/>
        <v>0</v>
      </c>
      <c r="I318" s="20" t="b">
        <f t="shared" si="37"/>
        <v>1</v>
      </c>
      <c r="J318" s="20"/>
      <c r="K318" s="20"/>
    </row>
    <row r="319" spans="1:11" ht="15.5" x14ac:dyDescent="0.35">
      <c r="A319" s="3" t="s">
        <v>80</v>
      </c>
      <c r="B319" s="1"/>
      <c r="C319" s="20">
        <v>18500</v>
      </c>
      <c r="D319" s="1"/>
      <c r="E319" s="1"/>
      <c r="F319" s="20">
        <f t="shared" si="35"/>
        <v>0</v>
      </c>
      <c r="G319" s="20">
        <f t="shared" si="35"/>
        <v>0</v>
      </c>
      <c r="H319" s="20">
        <f t="shared" si="36"/>
        <v>0</v>
      </c>
      <c r="I319" s="20" t="b">
        <f t="shared" si="37"/>
        <v>1</v>
      </c>
      <c r="J319" s="20"/>
      <c r="K319" s="20"/>
    </row>
    <row r="320" spans="1:11" ht="15.5" x14ac:dyDescent="0.35">
      <c r="A320" s="3" t="s">
        <v>81</v>
      </c>
      <c r="B320" s="1"/>
      <c r="C320" s="20">
        <v>23000</v>
      </c>
      <c r="D320" s="1"/>
      <c r="E320" s="1"/>
      <c r="F320" s="20">
        <f t="shared" si="35"/>
        <v>0</v>
      </c>
      <c r="G320" s="20">
        <f t="shared" si="35"/>
        <v>0</v>
      </c>
      <c r="H320" s="20">
        <f t="shared" si="36"/>
        <v>0</v>
      </c>
      <c r="I320" s="20" t="b">
        <f t="shared" si="37"/>
        <v>1</v>
      </c>
      <c r="J320" s="20"/>
      <c r="K320" s="20"/>
    </row>
    <row r="321" spans="1:11" ht="15.5" x14ac:dyDescent="0.35">
      <c r="A321" s="3" t="s">
        <v>82</v>
      </c>
      <c r="B321" s="1"/>
      <c r="C321" s="20">
        <v>18000</v>
      </c>
      <c r="D321" s="1"/>
      <c r="E321" s="1"/>
      <c r="F321" s="20">
        <f t="shared" si="35"/>
        <v>0</v>
      </c>
      <c r="G321" s="20">
        <f t="shared" si="35"/>
        <v>0</v>
      </c>
      <c r="H321" s="20">
        <f t="shared" si="36"/>
        <v>0</v>
      </c>
      <c r="I321" s="20" t="b">
        <f t="shared" si="37"/>
        <v>1</v>
      </c>
      <c r="J321" s="20"/>
      <c r="K321" s="20"/>
    </row>
    <row r="322" spans="1:11" ht="15.5" x14ac:dyDescent="0.35">
      <c r="A322" s="3" t="s">
        <v>83</v>
      </c>
      <c r="B322" s="1"/>
      <c r="C322" s="20">
        <v>18000</v>
      </c>
      <c r="D322" s="1"/>
      <c r="E322" s="1"/>
      <c r="F322" s="20">
        <f t="shared" si="35"/>
        <v>0</v>
      </c>
      <c r="G322" s="20">
        <f t="shared" si="35"/>
        <v>0</v>
      </c>
      <c r="H322" s="20">
        <f t="shared" si="36"/>
        <v>0</v>
      </c>
      <c r="I322" s="20" t="b">
        <f t="shared" si="37"/>
        <v>1</v>
      </c>
      <c r="J322" s="20"/>
      <c r="K322" s="20"/>
    </row>
    <row r="323" spans="1:11" ht="15.5" x14ac:dyDescent="0.35">
      <c r="A323" s="3" t="s">
        <v>84</v>
      </c>
      <c r="B323" s="1"/>
      <c r="C323" s="20">
        <v>18500</v>
      </c>
      <c r="D323" s="1"/>
      <c r="E323" s="1"/>
      <c r="F323" s="20">
        <f t="shared" si="35"/>
        <v>0</v>
      </c>
      <c r="G323" s="20">
        <f t="shared" si="35"/>
        <v>0</v>
      </c>
      <c r="H323" s="20">
        <f t="shared" si="36"/>
        <v>0</v>
      </c>
      <c r="I323" s="20" t="b">
        <f t="shared" si="37"/>
        <v>1</v>
      </c>
      <c r="J323" s="20"/>
      <c r="K323" s="20"/>
    </row>
    <row r="324" spans="1:11" ht="15.5" x14ac:dyDescent="0.35">
      <c r="A324" s="3" t="s">
        <v>85</v>
      </c>
      <c r="B324" s="1"/>
      <c r="C324" s="20">
        <v>18500</v>
      </c>
      <c r="D324" s="1"/>
      <c r="E324" s="1"/>
      <c r="F324" s="20">
        <f t="shared" si="35"/>
        <v>0</v>
      </c>
      <c r="G324" s="20">
        <f t="shared" si="35"/>
        <v>0</v>
      </c>
      <c r="H324" s="20">
        <f t="shared" si="36"/>
        <v>0</v>
      </c>
      <c r="I324" s="20" t="b">
        <f t="shared" si="37"/>
        <v>1</v>
      </c>
      <c r="J324" s="20"/>
      <c r="K324" s="20"/>
    </row>
    <row r="325" spans="1:11" ht="15.5" x14ac:dyDescent="0.35">
      <c r="A325" s="3" t="s">
        <v>86</v>
      </c>
      <c r="B325" s="1"/>
      <c r="C325" s="20">
        <v>18500</v>
      </c>
      <c r="D325" s="1"/>
      <c r="E325" s="1"/>
      <c r="F325" s="20">
        <f t="shared" si="35"/>
        <v>0</v>
      </c>
      <c r="G325" s="20">
        <f t="shared" si="35"/>
        <v>0</v>
      </c>
      <c r="H325" s="20">
        <f t="shared" si="36"/>
        <v>0</v>
      </c>
      <c r="I325" s="20" t="b">
        <f t="shared" si="37"/>
        <v>1</v>
      </c>
      <c r="J325" s="20"/>
      <c r="K325" s="20"/>
    </row>
    <row r="326" spans="1:11" ht="15.5" x14ac:dyDescent="0.35">
      <c r="A326" s="3" t="s">
        <v>87</v>
      </c>
      <c r="B326" s="1"/>
      <c r="C326" s="20">
        <v>18500</v>
      </c>
      <c r="D326" s="1"/>
      <c r="E326" s="1"/>
      <c r="F326" s="20">
        <f t="shared" si="35"/>
        <v>0</v>
      </c>
      <c r="G326" s="20">
        <f t="shared" si="35"/>
        <v>0</v>
      </c>
      <c r="H326" s="20">
        <f t="shared" si="36"/>
        <v>0</v>
      </c>
      <c r="I326" s="20" t="b">
        <f t="shared" si="37"/>
        <v>1</v>
      </c>
      <c r="J326" s="20"/>
      <c r="K326" s="20"/>
    </row>
    <row r="327" spans="1:11" ht="15.5" x14ac:dyDescent="0.35">
      <c r="A327" s="3" t="s">
        <v>88</v>
      </c>
      <c r="B327" s="1"/>
      <c r="C327" s="20">
        <v>18500</v>
      </c>
      <c r="D327" s="1"/>
      <c r="E327" s="1"/>
      <c r="F327" s="20">
        <f t="shared" si="35"/>
        <v>0</v>
      </c>
      <c r="G327" s="20">
        <f t="shared" si="35"/>
        <v>0</v>
      </c>
      <c r="H327" s="20">
        <f t="shared" si="36"/>
        <v>0</v>
      </c>
      <c r="I327" s="20" t="b">
        <f t="shared" si="37"/>
        <v>1</v>
      </c>
      <c r="J327" s="20"/>
      <c r="K327" s="20"/>
    </row>
    <row r="328" spans="1:11" ht="15.5" x14ac:dyDescent="0.35">
      <c r="A328" s="19" t="s">
        <v>89</v>
      </c>
      <c r="B328" s="1"/>
      <c r="C328" s="20"/>
      <c r="D328" s="1"/>
      <c r="E328" s="1"/>
      <c r="F328" s="20"/>
      <c r="G328" s="20"/>
      <c r="H328" s="20">
        <f t="shared" si="36"/>
        <v>0</v>
      </c>
      <c r="I328" s="20" t="b">
        <f t="shared" si="37"/>
        <v>1</v>
      </c>
      <c r="J328" s="20"/>
      <c r="K328" s="20"/>
    </row>
    <row r="329" spans="1:11" ht="15.5" x14ac:dyDescent="0.35">
      <c r="A329" s="3" t="s">
        <v>92</v>
      </c>
      <c r="B329" s="1"/>
      <c r="C329" s="20">
        <v>21500</v>
      </c>
      <c r="D329" s="1"/>
      <c r="E329" s="1"/>
      <c r="F329" s="20">
        <f t="shared" ref="F329:G331" si="38">C329*B329</f>
        <v>0</v>
      </c>
      <c r="G329" s="20">
        <f t="shared" si="38"/>
        <v>0</v>
      </c>
      <c r="H329" s="20">
        <f t="shared" si="36"/>
        <v>0</v>
      </c>
      <c r="I329" s="20" t="b">
        <f t="shared" si="37"/>
        <v>1</v>
      </c>
      <c r="J329" s="20"/>
      <c r="K329" s="20"/>
    </row>
    <row r="330" spans="1:11" ht="15.5" x14ac:dyDescent="0.35">
      <c r="A330" s="3" t="s">
        <v>93</v>
      </c>
      <c r="B330" s="1"/>
      <c r="C330" s="20">
        <v>21500</v>
      </c>
      <c r="D330" s="1"/>
      <c r="E330" s="1"/>
      <c r="F330" s="20">
        <f t="shared" si="38"/>
        <v>0</v>
      </c>
      <c r="G330" s="20">
        <f t="shared" si="38"/>
        <v>0</v>
      </c>
      <c r="H330" s="20">
        <f t="shared" si="36"/>
        <v>0</v>
      </c>
      <c r="I330" s="20" t="b">
        <f t="shared" si="37"/>
        <v>1</v>
      </c>
      <c r="J330" s="20"/>
      <c r="K330" s="20"/>
    </row>
    <row r="331" spans="1:11" ht="15.5" x14ac:dyDescent="0.35">
      <c r="A331" s="3" t="s">
        <v>94</v>
      </c>
      <c r="B331" s="1"/>
      <c r="C331" s="20">
        <v>21500</v>
      </c>
      <c r="D331" s="1"/>
      <c r="E331" s="1"/>
      <c r="F331" s="20">
        <f t="shared" si="38"/>
        <v>0</v>
      </c>
      <c r="G331" s="20">
        <f t="shared" si="38"/>
        <v>0</v>
      </c>
      <c r="H331" s="20">
        <f t="shared" si="36"/>
        <v>0</v>
      </c>
      <c r="I331" s="20" t="b">
        <f t="shared" si="37"/>
        <v>1</v>
      </c>
      <c r="J331" s="20"/>
      <c r="K331" s="20"/>
    </row>
    <row r="332" spans="1:11" ht="15.5" x14ac:dyDescent="0.35">
      <c r="A332" s="19"/>
      <c r="B332" s="22">
        <f>SUM(B315:B331)</f>
        <v>0</v>
      </c>
      <c r="C332" s="20"/>
      <c r="D332" s="1"/>
      <c r="E332" s="1"/>
      <c r="F332" s="23">
        <f>SUM(F315:F331)</f>
        <v>0</v>
      </c>
      <c r="G332" s="23">
        <f>SUM(G315:G331)</f>
        <v>0</v>
      </c>
      <c r="H332" s="23">
        <f>SUM(H315:H331)</f>
        <v>0</v>
      </c>
      <c r="I332" s="23"/>
      <c r="J332" s="23">
        <f>SUM(J315:J331)</f>
        <v>440000</v>
      </c>
      <c r="K332" s="23">
        <f>H332-J332</f>
        <v>-440000</v>
      </c>
    </row>
    <row r="333" spans="1:11" ht="15.5" x14ac:dyDescent="0.35">
      <c r="A333" s="19" t="s">
        <v>95</v>
      </c>
      <c r="B333" s="1"/>
      <c r="C333" s="20"/>
      <c r="D333" s="1"/>
      <c r="E333" s="1"/>
      <c r="F333" s="20"/>
      <c r="G333" s="20"/>
      <c r="H333" s="20" t="s">
        <v>192</v>
      </c>
      <c r="I333" s="20"/>
      <c r="J333" s="20"/>
      <c r="K333" s="20"/>
    </row>
    <row r="334" spans="1:11" ht="15.5" x14ac:dyDescent="0.35">
      <c r="A334" s="3" t="s">
        <v>96</v>
      </c>
      <c r="B334" s="1"/>
      <c r="C334" s="20">
        <v>3000</v>
      </c>
      <c r="D334" s="1"/>
      <c r="E334" s="20"/>
      <c r="F334" s="20">
        <f t="shared" ref="F334:F337" si="39">C334*B334</f>
        <v>0</v>
      </c>
      <c r="G334" s="20"/>
      <c r="H334" s="20"/>
      <c r="I334" s="20"/>
      <c r="J334" s="20"/>
      <c r="K334" s="20"/>
    </row>
    <row r="335" spans="1:11" ht="15.5" x14ac:dyDescent="0.35">
      <c r="A335" s="3" t="s">
        <v>97</v>
      </c>
      <c r="B335" s="1"/>
      <c r="C335" s="20">
        <v>2500</v>
      </c>
      <c r="D335" s="1"/>
      <c r="E335" s="1"/>
      <c r="F335" s="20">
        <f t="shared" si="39"/>
        <v>0</v>
      </c>
      <c r="G335" s="20"/>
      <c r="H335" s="20"/>
      <c r="I335" s="20"/>
      <c r="J335" s="20"/>
      <c r="K335" s="20"/>
    </row>
    <row r="336" spans="1:11" ht="15.5" x14ac:dyDescent="0.35">
      <c r="A336" s="3" t="s">
        <v>98</v>
      </c>
      <c r="B336" s="1"/>
      <c r="C336" s="20">
        <v>1800</v>
      </c>
      <c r="D336" s="1"/>
      <c r="E336" s="1"/>
      <c r="F336" s="20">
        <f t="shared" si="39"/>
        <v>0</v>
      </c>
      <c r="G336" s="20"/>
      <c r="H336" s="20"/>
      <c r="I336" s="20"/>
      <c r="J336" s="20"/>
      <c r="K336" s="20"/>
    </row>
    <row r="337" spans="1:11" ht="15.5" x14ac:dyDescent="0.35">
      <c r="A337" s="3" t="s">
        <v>99</v>
      </c>
      <c r="B337" s="1"/>
      <c r="C337" s="20">
        <v>3500</v>
      </c>
      <c r="D337" s="1"/>
      <c r="E337" s="1"/>
      <c r="F337" s="20">
        <f t="shared" si="39"/>
        <v>0</v>
      </c>
      <c r="G337" s="20"/>
      <c r="H337" s="20"/>
      <c r="I337" s="20"/>
      <c r="J337" s="20"/>
      <c r="K337" s="20"/>
    </row>
    <row r="338" spans="1:11" ht="15.5" x14ac:dyDescent="0.35">
      <c r="A338" s="18"/>
      <c r="F338" s="21"/>
    </row>
    <row r="339" spans="1:11" ht="15.5" x14ac:dyDescent="0.35">
      <c r="A339" s="24" t="s">
        <v>108</v>
      </c>
      <c r="K339" s="21"/>
    </row>
    <row r="340" spans="1:11" ht="15.5" x14ac:dyDescent="0.35">
      <c r="A340" s="18" t="s">
        <v>114</v>
      </c>
      <c r="B340" s="67">
        <v>40000</v>
      </c>
    </row>
    <row r="341" spans="1:11" ht="15.5" x14ac:dyDescent="0.35">
      <c r="A341" s="18" t="s">
        <v>112</v>
      </c>
      <c r="B341" s="67">
        <v>40000</v>
      </c>
    </row>
    <row r="342" spans="1:11" ht="15.5" x14ac:dyDescent="0.35">
      <c r="A342" s="18" t="s">
        <v>309</v>
      </c>
      <c r="B342" s="67">
        <v>60000</v>
      </c>
    </row>
    <row r="343" spans="1:11" ht="15.5" x14ac:dyDescent="0.35">
      <c r="A343" s="18" t="s">
        <v>110</v>
      </c>
      <c r="B343" s="67">
        <v>40000</v>
      </c>
    </row>
    <row r="344" spans="1:11" ht="15.5" x14ac:dyDescent="0.35">
      <c r="A344" s="18" t="s">
        <v>111</v>
      </c>
      <c r="B344" s="67">
        <v>40000</v>
      </c>
    </row>
    <row r="345" spans="1:11" ht="15.5" x14ac:dyDescent="0.35">
      <c r="A345" s="18" t="s">
        <v>196</v>
      </c>
      <c r="B345" s="67">
        <v>40000</v>
      </c>
    </row>
    <row r="346" spans="1:11" ht="15.5" x14ac:dyDescent="0.35">
      <c r="A346" s="18" t="s">
        <v>113</v>
      </c>
      <c r="B346" s="67">
        <v>40000</v>
      </c>
    </row>
    <row r="347" spans="1:11" ht="15.5" x14ac:dyDescent="0.35">
      <c r="A347" s="18" t="s">
        <v>209</v>
      </c>
      <c r="B347" s="67">
        <v>40000</v>
      </c>
    </row>
    <row r="348" spans="1:11" ht="15.5" x14ac:dyDescent="0.35">
      <c r="A348" s="18" t="s">
        <v>115</v>
      </c>
      <c r="B348" s="67">
        <v>60000</v>
      </c>
    </row>
    <row r="349" spans="1:11" ht="15.5" x14ac:dyDescent="0.35">
      <c r="A349" s="18" t="s">
        <v>109</v>
      </c>
      <c r="B349" s="67">
        <v>40000</v>
      </c>
    </row>
    <row r="350" spans="1:11" ht="15.5" x14ac:dyDescent="0.35">
      <c r="A350" s="24" t="s">
        <v>4</v>
      </c>
      <c r="B350" s="75">
        <f>SUM(B340:B349)</f>
        <v>440000</v>
      </c>
    </row>
    <row r="353" spans="1:11" ht="18.5" x14ac:dyDescent="0.45">
      <c r="A353" s="151" t="s">
        <v>1</v>
      </c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</row>
    <row r="354" spans="1:11" ht="18.5" x14ac:dyDescent="0.45">
      <c r="A354" s="150" t="s">
        <v>74</v>
      </c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</row>
    <row r="355" spans="1:11" ht="18.5" x14ac:dyDescent="0.45">
      <c r="A355" s="149" t="s">
        <v>360</v>
      </c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</row>
    <row r="356" spans="1:11" ht="18.5" x14ac:dyDescent="0.45">
      <c r="A356" s="150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</row>
    <row r="357" spans="1:11" ht="18.5" x14ac:dyDescent="0.45">
      <c r="A357" s="2" t="s">
        <v>75</v>
      </c>
      <c r="B357" s="2" t="s">
        <v>3</v>
      </c>
      <c r="C357" s="2" t="s">
        <v>100</v>
      </c>
      <c r="D357" s="2" t="s">
        <v>90</v>
      </c>
      <c r="E357" s="2" t="s">
        <v>91</v>
      </c>
      <c r="F357" s="2" t="s">
        <v>4</v>
      </c>
      <c r="G357" s="2" t="s">
        <v>101</v>
      </c>
      <c r="H357" s="2" t="s">
        <v>104</v>
      </c>
      <c r="I357" s="2"/>
      <c r="J357" s="2" t="s">
        <v>105</v>
      </c>
      <c r="K357" s="2" t="s">
        <v>106</v>
      </c>
    </row>
    <row r="358" spans="1:11" ht="15.5" x14ac:dyDescent="0.35">
      <c r="A358" s="3" t="s">
        <v>76</v>
      </c>
      <c r="B358" s="1"/>
      <c r="C358" s="20">
        <v>17500</v>
      </c>
      <c r="D358" s="1"/>
      <c r="E358" s="1"/>
      <c r="F358" s="20">
        <f>C358*B358</f>
        <v>0</v>
      </c>
      <c r="G358" s="20">
        <f>D358*C358</f>
        <v>0</v>
      </c>
      <c r="H358" s="20">
        <f>E358*C358</f>
        <v>0</v>
      </c>
      <c r="I358" s="20" t="b">
        <f>D358+E358=B358</f>
        <v>1</v>
      </c>
      <c r="J358" s="20">
        <f>B393</f>
        <v>440000</v>
      </c>
      <c r="K358" s="20"/>
    </row>
    <row r="359" spans="1:11" ht="15.5" x14ac:dyDescent="0.35">
      <c r="A359" s="3" t="s">
        <v>77</v>
      </c>
      <c r="B359" s="1"/>
      <c r="C359" s="20">
        <v>16000</v>
      </c>
      <c r="D359" s="1"/>
      <c r="E359" s="1"/>
      <c r="F359" s="20">
        <f t="shared" ref="F359:G370" si="40">C359*B359</f>
        <v>0</v>
      </c>
      <c r="G359" s="20">
        <f t="shared" si="40"/>
        <v>0</v>
      </c>
      <c r="H359" s="20">
        <f t="shared" ref="H359:H374" si="41">E359*C359</f>
        <v>0</v>
      </c>
      <c r="I359" s="20" t="b">
        <f t="shared" ref="I359:I374" si="42">D359+E359=B359</f>
        <v>1</v>
      </c>
      <c r="J359" s="20"/>
      <c r="K359" s="20"/>
    </row>
    <row r="360" spans="1:11" ht="15.5" x14ac:dyDescent="0.35">
      <c r="A360" s="3" t="s">
        <v>78</v>
      </c>
      <c r="B360" s="1"/>
      <c r="C360" s="20">
        <v>17500</v>
      </c>
      <c r="D360" s="1"/>
      <c r="E360" s="1"/>
      <c r="F360" s="20">
        <f t="shared" si="40"/>
        <v>0</v>
      </c>
      <c r="G360" s="20">
        <f t="shared" si="40"/>
        <v>0</v>
      </c>
      <c r="H360" s="20">
        <f t="shared" si="41"/>
        <v>0</v>
      </c>
      <c r="I360" s="20" t="b">
        <f t="shared" si="42"/>
        <v>1</v>
      </c>
      <c r="J360" s="20"/>
      <c r="K360" s="20"/>
    </row>
    <row r="361" spans="1:11" ht="15.5" x14ac:dyDescent="0.35">
      <c r="A361" s="3" t="s">
        <v>79</v>
      </c>
      <c r="B361" s="1"/>
      <c r="C361" s="20">
        <v>18500</v>
      </c>
      <c r="D361" s="1"/>
      <c r="E361" s="1"/>
      <c r="F361" s="20">
        <f t="shared" si="40"/>
        <v>0</v>
      </c>
      <c r="G361" s="20">
        <f t="shared" si="40"/>
        <v>0</v>
      </c>
      <c r="H361" s="20">
        <f t="shared" si="41"/>
        <v>0</v>
      </c>
      <c r="I361" s="20" t="b">
        <f t="shared" si="42"/>
        <v>1</v>
      </c>
      <c r="J361" s="20"/>
      <c r="K361" s="20"/>
    </row>
    <row r="362" spans="1:11" ht="15.5" x14ac:dyDescent="0.35">
      <c r="A362" s="3" t="s">
        <v>80</v>
      </c>
      <c r="B362" s="1"/>
      <c r="C362" s="20">
        <v>18500</v>
      </c>
      <c r="D362" s="1"/>
      <c r="E362" s="1"/>
      <c r="F362" s="20">
        <f t="shared" si="40"/>
        <v>0</v>
      </c>
      <c r="G362" s="20">
        <f t="shared" si="40"/>
        <v>0</v>
      </c>
      <c r="H362" s="20">
        <f t="shared" si="41"/>
        <v>0</v>
      </c>
      <c r="I362" s="20" t="b">
        <f t="shared" si="42"/>
        <v>1</v>
      </c>
      <c r="J362" s="20"/>
      <c r="K362" s="20"/>
    </row>
    <row r="363" spans="1:11" ht="15.5" x14ac:dyDescent="0.35">
      <c r="A363" s="3" t="s">
        <v>81</v>
      </c>
      <c r="B363" s="1"/>
      <c r="C363" s="20">
        <v>23000</v>
      </c>
      <c r="D363" s="1"/>
      <c r="E363" s="1"/>
      <c r="F363" s="20">
        <f t="shared" si="40"/>
        <v>0</v>
      </c>
      <c r="G363" s="20">
        <f t="shared" si="40"/>
        <v>0</v>
      </c>
      <c r="H363" s="20">
        <f t="shared" si="41"/>
        <v>0</v>
      </c>
      <c r="I363" s="20" t="b">
        <f t="shared" si="42"/>
        <v>1</v>
      </c>
      <c r="J363" s="20"/>
      <c r="K363" s="20"/>
    </row>
    <row r="364" spans="1:11" ht="15.5" x14ac:dyDescent="0.35">
      <c r="A364" s="3" t="s">
        <v>82</v>
      </c>
      <c r="B364" s="1"/>
      <c r="C364" s="20">
        <v>18000</v>
      </c>
      <c r="D364" s="1"/>
      <c r="E364" s="1"/>
      <c r="F364" s="20">
        <f t="shared" si="40"/>
        <v>0</v>
      </c>
      <c r="G364" s="20">
        <f t="shared" si="40"/>
        <v>0</v>
      </c>
      <c r="H364" s="20">
        <f t="shared" si="41"/>
        <v>0</v>
      </c>
      <c r="I364" s="20" t="b">
        <f t="shared" si="42"/>
        <v>1</v>
      </c>
      <c r="J364" s="20"/>
      <c r="K364" s="20"/>
    </row>
    <row r="365" spans="1:11" ht="15.5" x14ac:dyDescent="0.35">
      <c r="A365" s="3" t="s">
        <v>83</v>
      </c>
      <c r="B365" s="1"/>
      <c r="C365" s="20">
        <v>18000</v>
      </c>
      <c r="D365" s="1"/>
      <c r="E365" s="1"/>
      <c r="F365" s="20">
        <f t="shared" si="40"/>
        <v>0</v>
      </c>
      <c r="G365" s="20">
        <f t="shared" si="40"/>
        <v>0</v>
      </c>
      <c r="H365" s="20">
        <f t="shared" si="41"/>
        <v>0</v>
      </c>
      <c r="I365" s="20" t="b">
        <f t="shared" si="42"/>
        <v>1</v>
      </c>
      <c r="J365" s="20"/>
      <c r="K365" s="20"/>
    </row>
    <row r="366" spans="1:11" ht="15.5" x14ac:dyDescent="0.35">
      <c r="A366" s="3" t="s">
        <v>84</v>
      </c>
      <c r="B366" s="1"/>
      <c r="C366" s="20">
        <v>18500</v>
      </c>
      <c r="D366" s="1"/>
      <c r="E366" s="1"/>
      <c r="F366" s="20">
        <f t="shared" si="40"/>
        <v>0</v>
      </c>
      <c r="G366" s="20">
        <f t="shared" si="40"/>
        <v>0</v>
      </c>
      <c r="H366" s="20">
        <f t="shared" si="41"/>
        <v>0</v>
      </c>
      <c r="I366" s="20" t="b">
        <f t="shared" si="42"/>
        <v>1</v>
      </c>
      <c r="J366" s="20"/>
      <c r="K366" s="20"/>
    </row>
    <row r="367" spans="1:11" ht="15.5" x14ac:dyDescent="0.35">
      <c r="A367" s="3" t="s">
        <v>85</v>
      </c>
      <c r="B367" s="1"/>
      <c r="C367" s="20">
        <v>18500</v>
      </c>
      <c r="D367" s="1"/>
      <c r="E367" s="1"/>
      <c r="F367" s="20">
        <f t="shared" si="40"/>
        <v>0</v>
      </c>
      <c r="G367" s="20">
        <f t="shared" si="40"/>
        <v>0</v>
      </c>
      <c r="H367" s="20">
        <f t="shared" si="41"/>
        <v>0</v>
      </c>
      <c r="I367" s="20" t="b">
        <f t="shared" si="42"/>
        <v>1</v>
      </c>
      <c r="J367" s="20"/>
      <c r="K367" s="20"/>
    </row>
    <row r="368" spans="1:11" ht="15.5" x14ac:dyDescent="0.35">
      <c r="A368" s="3" t="s">
        <v>86</v>
      </c>
      <c r="B368" s="1"/>
      <c r="C368" s="20">
        <v>18500</v>
      </c>
      <c r="D368" s="1"/>
      <c r="E368" s="1"/>
      <c r="F368" s="20">
        <f t="shared" si="40"/>
        <v>0</v>
      </c>
      <c r="G368" s="20">
        <f t="shared" si="40"/>
        <v>0</v>
      </c>
      <c r="H368" s="20">
        <f t="shared" si="41"/>
        <v>0</v>
      </c>
      <c r="I368" s="20" t="b">
        <f t="shared" si="42"/>
        <v>1</v>
      </c>
      <c r="J368" s="20"/>
      <c r="K368" s="20"/>
    </row>
    <row r="369" spans="1:11" ht="15.5" x14ac:dyDescent="0.35">
      <c r="A369" s="3" t="s">
        <v>87</v>
      </c>
      <c r="B369" s="1"/>
      <c r="C369" s="20">
        <v>18500</v>
      </c>
      <c r="D369" s="1"/>
      <c r="E369" s="1"/>
      <c r="F369" s="20">
        <f t="shared" si="40"/>
        <v>0</v>
      </c>
      <c r="G369" s="20">
        <f t="shared" si="40"/>
        <v>0</v>
      </c>
      <c r="H369" s="20">
        <f t="shared" si="41"/>
        <v>0</v>
      </c>
      <c r="I369" s="20" t="b">
        <f t="shared" si="42"/>
        <v>1</v>
      </c>
      <c r="J369" s="20"/>
      <c r="K369" s="20"/>
    </row>
    <row r="370" spans="1:11" ht="15.5" x14ac:dyDescent="0.35">
      <c r="A370" s="3" t="s">
        <v>88</v>
      </c>
      <c r="B370" s="1"/>
      <c r="C370" s="20">
        <v>18500</v>
      </c>
      <c r="D370" s="1"/>
      <c r="E370" s="1"/>
      <c r="F370" s="20">
        <f t="shared" si="40"/>
        <v>0</v>
      </c>
      <c r="G370" s="20">
        <f t="shared" si="40"/>
        <v>0</v>
      </c>
      <c r="H370" s="20">
        <f t="shared" si="41"/>
        <v>0</v>
      </c>
      <c r="I370" s="20" t="b">
        <f t="shared" si="42"/>
        <v>1</v>
      </c>
      <c r="J370" s="20"/>
      <c r="K370" s="20"/>
    </row>
    <row r="371" spans="1:11" ht="15.5" x14ac:dyDescent="0.35">
      <c r="A371" s="19" t="s">
        <v>89</v>
      </c>
      <c r="B371" s="1"/>
      <c r="C371" s="20"/>
      <c r="D371" s="1"/>
      <c r="E371" s="1"/>
      <c r="F371" s="20"/>
      <c r="G371" s="20"/>
      <c r="H371" s="20">
        <f t="shared" si="41"/>
        <v>0</v>
      </c>
      <c r="I371" s="20" t="b">
        <f t="shared" si="42"/>
        <v>1</v>
      </c>
      <c r="J371" s="20"/>
      <c r="K371" s="20"/>
    </row>
    <row r="372" spans="1:11" ht="15.5" x14ac:dyDescent="0.35">
      <c r="A372" s="3" t="s">
        <v>92</v>
      </c>
      <c r="B372" s="1"/>
      <c r="C372" s="20">
        <v>21500</v>
      </c>
      <c r="D372" s="1"/>
      <c r="E372" s="1"/>
      <c r="F372" s="20">
        <f t="shared" ref="F372:G374" si="43">C372*B372</f>
        <v>0</v>
      </c>
      <c r="G372" s="20">
        <f t="shared" si="43"/>
        <v>0</v>
      </c>
      <c r="H372" s="20">
        <f t="shared" si="41"/>
        <v>0</v>
      </c>
      <c r="I372" s="20" t="b">
        <f t="shared" si="42"/>
        <v>1</v>
      </c>
      <c r="J372" s="20"/>
      <c r="K372" s="20"/>
    </row>
    <row r="373" spans="1:11" ht="15.5" x14ac:dyDescent="0.35">
      <c r="A373" s="3" t="s">
        <v>93</v>
      </c>
      <c r="B373" s="1"/>
      <c r="C373" s="20">
        <v>21500</v>
      </c>
      <c r="D373" s="1"/>
      <c r="E373" s="1"/>
      <c r="F373" s="20">
        <f t="shared" si="43"/>
        <v>0</v>
      </c>
      <c r="G373" s="20">
        <f t="shared" si="43"/>
        <v>0</v>
      </c>
      <c r="H373" s="20">
        <f t="shared" si="41"/>
        <v>0</v>
      </c>
      <c r="I373" s="20" t="b">
        <f t="shared" si="42"/>
        <v>1</v>
      </c>
      <c r="J373" s="20"/>
      <c r="K373" s="20"/>
    </row>
    <row r="374" spans="1:11" ht="15.5" x14ac:dyDescent="0.35">
      <c r="A374" s="3" t="s">
        <v>94</v>
      </c>
      <c r="B374" s="1"/>
      <c r="C374" s="20">
        <v>21500</v>
      </c>
      <c r="D374" s="1"/>
      <c r="E374" s="1"/>
      <c r="F374" s="20">
        <f t="shared" si="43"/>
        <v>0</v>
      </c>
      <c r="G374" s="20">
        <f t="shared" si="43"/>
        <v>0</v>
      </c>
      <c r="H374" s="20">
        <f t="shared" si="41"/>
        <v>0</v>
      </c>
      <c r="I374" s="20" t="b">
        <f t="shared" si="42"/>
        <v>1</v>
      </c>
      <c r="J374" s="20"/>
      <c r="K374" s="20"/>
    </row>
    <row r="375" spans="1:11" ht="15.5" x14ac:dyDescent="0.35">
      <c r="A375" s="19"/>
      <c r="B375" s="22">
        <f>SUM(B358:B374)</f>
        <v>0</v>
      </c>
      <c r="C375" s="20"/>
      <c r="D375" s="1"/>
      <c r="E375" s="1"/>
      <c r="F375" s="23">
        <f>SUM(F358:F374)</f>
        <v>0</v>
      </c>
      <c r="G375" s="23">
        <f>SUM(G358:G374)</f>
        <v>0</v>
      </c>
      <c r="H375" s="23">
        <f>SUM(H358:H374)</f>
        <v>0</v>
      </c>
      <c r="I375" s="23"/>
      <c r="J375" s="23">
        <f>SUM(J358:J374)</f>
        <v>440000</v>
      </c>
      <c r="K375" s="23">
        <f>H375-J375</f>
        <v>-440000</v>
      </c>
    </row>
    <row r="376" spans="1:11" ht="15.5" x14ac:dyDescent="0.35">
      <c r="A376" s="19" t="s">
        <v>95</v>
      </c>
      <c r="B376" s="1"/>
      <c r="C376" s="20"/>
      <c r="D376" s="1"/>
      <c r="E376" s="1"/>
      <c r="F376" s="20"/>
      <c r="G376" s="20"/>
      <c r="H376" s="20" t="s">
        <v>192</v>
      </c>
      <c r="I376" s="20"/>
      <c r="J376" s="20"/>
      <c r="K376" s="20"/>
    </row>
    <row r="377" spans="1:11" ht="15.5" x14ac:dyDescent="0.35">
      <c r="A377" s="3" t="s">
        <v>96</v>
      </c>
      <c r="B377" s="1"/>
      <c r="C377" s="20">
        <v>3000</v>
      </c>
      <c r="D377" s="1"/>
      <c r="E377" s="20"/>
      <c r="F377" s="20">
        <f t="shared" ref="F377:F380" si="44">C377*B377</f>
        <v>0</v>
      </c>
      <c r="G377" s="20"/>
      <c r="H377" s="20"/>
      <c r="I377" s="20"/>
      <c r="J377" s="20"/>
      <c r="K377" s="20"/>
    </row>
    <row r="378" spans="1:11" ht="15.5" x14ac:dyDescent="0.35">
      <c r="A378" s="3" t="s">
        <v>97</v>
      </c>
      <c r="B378" s="1"/>
      <c r="C378" s="20">
        <v>2500</v>
      </c>
      <c r="D378" s="1"/>
      <c r="E378" s="1"/>
      <c r="F378" s="20">
        <f t="shared" si="44"/>
        <v>0</v>
      </c>
      <c r="G378" s="20"/>
      <c r="H378" s="20"/>
      <c r="I378" s="20"/>
      <c r="J378" s="20"/>
      <c r="K378" s="20"/>
    </row>
    <row r="379" spans="1:11" ht="15.5" x14ac:dyDescent="0.35">
      <c r="A379" s="3" t="s">
        <v>98</v>
      </c>
      <c r="B379" s="1"/>
      <c r="C379" s="20">
        <v>1800</v>
      </c>
      <c r="D379" s="1"/>
      <c r="E379" s="1"/>
      <c r="F379" s="20">
        <f t="shared" si="44"/>
        <v>0</v>
      </c>
      <c r="G379" s="20"/>
      <c r="H379" s="20"/>
      <c r="I379" s="20"/>
      <c r="J379" s="20"/>
      <c r="K379" s="20"/>
    </row>
    <row r="380" spans="1:11" ht="15.5" x14ac:dyDescent="0.35">
      <c r="A380" s="3" t="s">
        <v>99</v>
      </c>
      <c r="B380" s="1"/>
      <c r="C380" s="20">
        <v>3500</v>
      </c>
      <c r="D380" s="1"/>
      <c r="E380" s="1"/>
      <c r="F380" s="20">
        <f t="shared" si="44"/>
        <v>0</v>
      </c>
      <c r="G380" s="20"/>
      <c r="H380" s="20"/>
      <c r="I380" s="20"/>
      <c r="J380" s="20"/>
      <c r="K380" s="20"/>
    </row>
    <row r="381" spans="1:11" ht="15.5" x14ac:dyDescent="0.35">
      <c r="A381" s="18"/>
      <c r="F381" s="21"/>
    </row>
    <row r="382" spans="1:11" ht="15.5" x14ac:dyDescent="0.35">
      <c r="A382" s="24" t="s">
        <v>108</v>
      </c>
      <c r="K382" s="21"/>
    </row>
    <row r="383" spans="1:11" ht="15.5" x14ac:dyDescent="0.35">
      <c r="A383" s="18" t="s">
        <v>114</v>
      </c>
      <c r="B383" s="67">
        <v>40000</v>
      </c>
    </row>
    <row r="384" spans="1:11" ht="15.5" x14ac:dyDescent="0.35">
      <c r="A384" s="18" t="s">
        <v>112</v>
      </c>
      <c r="B384" s="67">
        <v>40000</v>
      </c>
    </row>
    <row r="385" spans="1:11" ht="15.5" x14ac:dyDescent="0.35">
      <c r="A385" s="18" t="s">
        <v>309</v>
      </c>
      <c r="B385" s="67">
        <v>60000</v>
      </c>
    </row>
    <row r="386" spans="1:11" ht="15.5" x14ac:dyDescent="0.35">
      <c r="A386" s="18" t="s">
        <v>110</v>
      </c>
      <c r="B386" s="67">
        <v>40000</v>
      </c>
    </row>
    <row r="387" spans="1:11" ht="15.5" x14ac:dyDescent="0.35">
      <c r="A387" s="18" t="s">
        <v>111</v>
      </c>
      <c r="B387" s="67">
        <v>40000</v>
      </c>
    </row>
    <row r="388" spans="1:11" ht="15.5" x14ac:dyDescent="0.35">
      <c r="A388" s="18" t="s">
        <v>196</v>
      </c>
      <c r="B388" s="67">
        <v>40000</v>
      </c>
    </row>
    <row r="389" spans="1:11" ht="15.5" x14ac:dyDescent="0.35">
      <c r="A389" s="18" t="s">
        <v>113</v>
      </c>
      <c r="B389" s="67">
        <v>40000</v>
      </c>
    </row>
    <row r="390" spans="1:11" ht="15.5" x14ac:dyDescent="0.35">
      <c r="A390" s="18" t="s">
        <v>209</v>
      </c>
      <c r="B390" s="67">
        <v>40000</v>
      </c>
    </row>
    <row r="391" spans="1:11" ht="15.5" x14ac:dyDescent="0.35">
      <c r="A391" s="18" t="s">
        <v>115</v>
      </c>
      <c r="B391" s="67">
        <v>60000</v>
      </c>
    </row>
    <row r="392" spans="1:11" ht="15.5" x14ac:dyDescent="0.35">
      <c r="A392" s="18" t="s">
        <v>109</v>
      </c>
      <c r="B392" s="67">
        <v>40000</v>
      </c>
    </row>
    <row r="393" spans="1:11" ht="15.5" x14ac:dyDescent="0.35">
      <c r="A393" s="24" t="s">
        <v>4</v>
      </c>
      <c r="B393" s="75">
        <f>SUM(B383:B392)</f>
        <v>440000</v>
      </c>
    </row>
    <row r="397" spans="1:11" ht="18.5" x14ac:dyDescent="0.45">
      <c r="A397" s="151" t="s">
        <v>1</v>
      </c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</row>
    <row r="398" spans="1:11" ht="18.5" x14ac:dyDescent="0.45">
      <c r="A398" s="150" t="s">
        <v>74</v>
      </c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</row>
    <row r="399" spans="1:11" ht="18.5" x14ac:dyDescent="0.45">
      <c r="A399" s="149" t="s">
        <v>360</v>
      </c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</row>
    <row r="400" spans="1:11" ht="18.5" x14ac:dyDescent="0.45">
      <c r="A400" s="150"/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</row>
    <row r="401" spans="1:11" ht="18.5" x14ac:dyDescent="0.45">
      <c r="A401" s="2" t="s">
        <v>75</v>
      </c>
      <c r="B401" s="2" t="s">
        <v>3</v>
      </c>
      <c r="C401" s="2" t="s">
        <v>100</v>
      </c>
      <c r="D401" s="2" t="s">
        <v>90</v>
      </c>
      <c r="E401" s="2" t="s">
        <v>91</v>
      </c>
      <c r="F401" s="2" t="s">
        <v>4</v>
      </c>
      <c r="G401" s="2" t="s">
        <v>101</v>
      </c>
      <c r="H401" s="2" t="s">
        <v>104</v>
      </c>
      <c r="I401" s="2"/>
      <c r="J401" s="2" t="s">
        <v>105</v>
      </c>
      <c r="K401" s="2" t="s">
        <v>106</v>
      </c>
    </row>
    <row r="402" spans="1:11" ht="15.5" x14ac:dyDescent="0.35">
      <c r="A402" s="3" t="s">
        <v>76</v>
      </c>
      <c r="B402" s="1"/>
      <c r="C402" s="20">
        <v>17500</v>
      </c>
      <c r="D402" s="1"/>
      <c r="E402" s="1"/>
      <c r="F402" s="20">
        <f>C402*B402</f>
        <v>0</v>
      </c>
      <c r="G402" s="20">
        <f>D402*C402</f>
        <v>0</v>
      </c>
      <c r="H402" s="20">
        <f>E402*C402</f>
        <v>0</v>
      </c>
      <c r="I402" s="20" t="b">
        <f>D402+E402=B402</f>
        <v>1</v>
      </c>
      <c r="J402" s="20">
        <f>B437</f>
        <v>440000</v>
      </c>
      <c r="K402" s="20"/>
    </row>
    <row r="403" spans="1:11" ht="15.5" x14ac:dyDescent="0.35">
      <c r="A403" s="3" t="s">
        <v>77</v>
      </c>
      <c r="B403" s="1"/>
      <c r="C403" s="20">
        <v>16000</v>
      </c>
      <c r="D403" s="1"/>
      <c r="E403" s="1"/>
      <c r="F403" s="20">
        <f t="shared" ref="F403:G414" si="45">C403*B403</f>
        <v>0</v>
      </c>
      <c r="G403" s="20">
        <f t="shared" si="45"/>
        <v>0</v>
      </c>
      <c r="H403" s="20">
        <f t="shared" ref="H403:H418" si="46">E403*C403</f>
        <v>0</v>
      </c>
      <c r="I403" s="20" t="b">
        <f t="shared" ref="I403:I418" si="47">D403+E403=B403</f>
        <v>1</v>
      </c>
      <c r="J403" s="20"/>
      <c r="K403" s="20"/>
    </row>
    <row r="404" spans="1:11" ht="15.5" x14ac:dyDescent="0.35">
      <c r="A404" s="3" t="s">
        <v>78</v>
      </c>
      <c r="B404" s="1"/>
      <c r="C404" s="20">
        <v>17500</v>
      </c>
      <c r="D404" s="1"/>
      <c r="E404" s="1"/>
      <c r="F404" s="20">
        <f t="shared" si="45"/>
        <v>0</v>
      </c>
      <c r="G404" s="20">
        <f t="shared" si="45"/>
        <v>0</v>
      </c>
      <c r="H404" s="20">
        <f t="shared" si="46"/>
        <v>0</v>
      </c>
      <c r="I404" s="20" t="b">
        <f t="shared" si="47"/>
        <v>1</v>
      </c>
      <c r="J404" s="20"/>
      <c r="K404" s="20"/>
    </row>
    <row r="405" spans="1:11" ht="15.5" x14ac:dyDescent="0.35">
      <c r="A405" s="3" t="s">
        <v>79</v>
      </c>
      <c r="B405" s="1"/>
      <c r="C405" s="20">
        <v>18500</v>
      </c>
      <c r="D405" s="1"/>
      <c r="E405" s="1"/>
      <c r="F405" s="20">
        <f t="shared" si="45"/>
        <v>0</v>
      </c>
      <c r="G405" s="20">
        <f t="shared" si="45"/>
        <v>0</v>
      </c>
      <c r="H405" s="20">
        <f t="shared" si="46"/>
        <v>0</v>
      </c>
      <c r="I405" s="20" t="b">
        <f t="shared" si="47"/>
        <v>1</v>
      </c>
      <c r="J405" s="20"/>
      <c r="K405" s="20"/>
    </row>
    <row r="406" spans="1:11" ht="15.5" x14ac:dyDescent="0.35">
      <c r="A406" s="3" t="s">
        <v>80</v>
      </c>
      <c r="B406" s="1"/>
      <c r="C406" s="20">
        <v>18500</v>
      </c>
      <c r="D406" s="1"/>
      <c r="E406" s="1"/>
      <c r="F406" s="20">
        <f t="shared" si="45"/>
        <v>0</v>
      </c>
      <c r="G406" s="20">
        <f t="shared" si="45"/>
        <v>0</v>
      </c>
      <c r="H406" s="20">
        <f t="shared" si="46"/>
        <v>0</v>
      </c>
      <c r="I406" s="20" t="b">
        <f t="shared" si="47"/>
        <v>1</v>
      </c>
      <c r="J406" s="20"/>
      <c r="K406" s="20"/>
    </row>
    <row r="407" spans="1:11" ht="15.5" x14ac:dyDescent="0.35">
      <c r="A407" s="3" t="s">
        <v>81</v>
      </c>
      <c r="B407" s="1"/>
      <c r="C407" s="20">
        <v>23000</v>
      </c>
      <c r="D407" s="1"/>
      <c r="E407" s="1"/>
      <c r="F407" s="20">
        <f t="shared" si="45"/>
        <v>0</v>
      </c>
      <c r="G407" s="20">
        <f t="shared" si="45"/>
        <v>0</v>
      </c>
      <c r="H407" s="20">
        <f t="shared" si="46"/>
        <v>0</v>
      </c>
      <c r="I407" s="20" t="b">
        <f t="shared" si="47"/>
        <v>1</v>
      </c>
      <c r="J407" s="20"/>
      <c r="K407" s="20"/>
    </row>
    <row r="408" spans="1:11" ht="15.5" x14ac:dyDescent="0.35">
      <c r="A408" s="3" t="s">
        <v>82</v>
      </c>
      <c r="B408" s="1"/>
      <c r="C408" s="20">
        <v>18000</v>
      </c>
      <c r="D408" s="1"/>
      <c r="E408" s="1"/>
      <c r="F408" s="20">
        <f t="shared" si="45"/>
        <v>0</v>
      </c>
      <c r="G408" s="20">
        <f t="shared" si="45"/>
        <v>0</v>
      </c>
      <c r="H408" s="20">
        <f t="shared" si="46"/>
        <v>0</v>
      </c>
      <c r="I408" s="20" t="b">
        <f t="shared" si="47"/>
        <v>1</v>
      </c>
      <c r="J408" s="20"/>
      <c r="K408" s="20"/>
    </row>
    <row r="409" spans="1:11" ht="15.5" x14ac:dyDescent="0.35">
      <c r="A409" s="3" t="s">
        <v>83</v>
      </c>
      <c r="B409" s="1"/>
      <c r="C409" s="20">
        <v>18000</v>
      </c>
      <c r="D409" s="1"/>
      <c r="E409" s="1"/>
      <c r="F409" s="20">
        <f t="shared" si="45"/>
        <v>0</v>
      </c>
      <c r="G409" s="20">
        <f t="shared" si="45"/>
        <v>0</v>
      </c>
      <c r="H409" s="20">
        <f t="shared" si="46"/>
        <v>0</v>
      </c>
      <c r="I409" s="20" t="b">
        <f t="shared" si="47"/>
        <v>1</v>
      </c>
      <c r="J409" s="20"/>
      <c r="K409" s="20"/>
    </row>
    <row r="410" spans="1:11" ht="15.5" x14ac:dyDescent="0.35">
      <c r="A410" s="3" t="s">
        <v>84</v>
      </c>
      <c r="B410" s="1"/>
      <c r="C410" s="20">
        <v>18500</v>
      </c>
      <c r="D410" s="1"/>
      <c r="E410" s="1"/>
      <c r="F410" s="20">
        <f t="shared" si="45"/>
        <v>0</v>
      </c>
      <c r="G410" s="20">
        <f t="shared" si="45"/>
        <v>0</v>
      </c>
      <c r="H410" s="20">
        <f t="shared" si="46"/>
        <v>0</v>
      </c>
      <c r="I410" s="20" t="b">
        <f t="shared" si="47"/>
        <v>1</v>
      </c>
      <c r="J410" s="20"/>
      <c r="K410" s="20"/>
    </row>
    <row r="411" spans="1:11" ht="15.5" x14ac:dyDescent="0.35">
      <c r="A411" s="3" t="s">
        <v>85</v>
      </c>
      <c r="B411" s="1"/>
      <c r="C411" s="20">
        <v>18500</v>
      </c>
      <c r="D411" s="1"/>
      <c r="E411" s="1"/>
      <c r="F411" s="20">
        <f t="shared" si="45"/>
        <v>0</v>
      </c>
      <c r="G411" s="20">
        <f t="shared" si="45"/>
        <v>0</v>
      </c>
      <c r="H411" s="20">
        <f t="shared" si="46"/>
        <v>0</v>
      </c>
      <c r="I411" s="20" t="b">
        <f t="shared" si="47"/>
        <v>1</v>
      </c>
      <c r="J411" s="20"/>
      <c r="K411" s="20"/>
    </row>
    <row r="412" spans="1:11" ht="15.5" x14ac:dyDescent="0.35">
      <c r="A412" s="3" t="s">
        <v>86</v>
      </c>
      <c r="B412" s="1"/>
      <c r="C412" s="20">
        <v>18500</v>
      </c>
      <c r="D412" s="1"/>
      <c r="E412" s="1"/>
      <c r="F412" s="20">
        <f t="shared" si="45"/>
        <v>0</v>
      </c>
      <c r="G412" s="20">
        <f t="shared" si="45"/>
        <v>0</v>
      </c>
      <c r="H412" s="20">
        <f t="shared" si="46"/>
        <v>0</v>
      </c>
      <c r="I412" s="20" t="b">
        <f t="shared" si="47"/>
        <v>1</v>
      </c>
      <c r="J412" s="20"/>
      <c r="K412" s="20"/>
    </row>
    <row r="413" spans="1:11" ht="15.5" x14ac:dyDescent="0.35">
      <c r="A413" s="3" t="s">
        <v>87</v>
      </c>
      <c r="B413" s="1"/>
      <c r="C413" s="20">
        <v>18500</v>
      </c>
      <c r="D413" s="1"/>
      <c r="E413" s="1"/>
      <c r="F413" s="20">
        <f t="shared" si="45"/>
        <v>0</v>
      </c>
      <c r="G413" s="20">
        <f t="shared" si="45"/>
        <v>0</v>
      </c>
      <c r="H413" s="20">
        <f t="shared" si="46"/>
        <v>0</v>
      </c>
      <c r="I413" s="20" t="b">
        <f t="shared" si="47"/>
        <v>1</v>
      </c>
      <c r="J413" s="20"/>
      <c r="K413" s="20"/>
    </row>
    <row r="414" spans="1:11" ht="15.5" x14ac:dyDescent="0.35">
      <c r="A414" s="3" t="s">
        <v>88</v>
      </c>
      <c r="B414" s="1"/>
      <c r="C414" s="20">
        <v>18500</v>
      </c>
      <c r="D414" s="1"/>
      <c r="E414" s="1"/>
      <c r="F414" s="20">
        <f t="shared" si="45"/>
        <v>0</v>
      </c>
      <c r="G414" s="20">
        <f t="shared" si="45"/>
        <v>0</v>
      </c>
      <c r="H414" s="20">
        <f t="shared" si="46"/>
        <v>0</v>
      </c>
      <c r="I414" s="20" t="b">
        <f t="shared" si="47"/>
        <v>1</v>
      </c>
      <c r="J414" s="20"/>
      <c r="K414" s="20"/>
    </row>
    <row r="415" spans="1:11" ht="15.5" x14ac:dyDescent="0.35">
      <c r="A415" s="19" t="s">
        <v>89</v>
      </c>
      <c r="B415" s="1"/>
      <c r="C415" s="20"/>
      <c r="D415" s="1"/>
      <c r="E415" s="1"/>
      <c r="F415" s="20"/>
      <c r="G415" s="20"/>
      <c r="H415" s="20">
        <f t="shared" si="46"/>
        <v>0</v>
      </c>
      <c r="I415" s="20" t="b">
        <f t="shared" si="47"/>
        <v>1</v>
      </c>
      <c r="J415" s="20"/>
      <c r="K415" s="20"/>
    </row>
    <row r="416" spans="1:11" ht="15.5" x14ac:dyDescent="0.35">
      <c r="A416" s="3" t="s">
        <v>92</v>
      </c>
      <c r="B416" s="1"/>
      <c r="C416" s="20">
        <v>21500</v>
      </c>
      <c r="D416" s="1"/>
      <c r="E416" s="1"/>
      <c r="F416" s="20">
        <f t="shared" ref="F416:G418" si="48">C416*B416</f>
        <v>0</v>
      </c>
      <c r="G416" s="20">
        <f t="shared" si="48"/>
        <v>0</v>
      </c>
      <c r="H416" s="20">
        <f t="shared" si="46"/>
        <v>0</v>
      </c>
      <c r="I416" s="20" t="b">
        <f t="shared" si="47"/>
        <v>1</v>
      </c>
      <c r="J416" s="20"/>
      <c r="K416" s="20"/>
    </row>
    <row r="417" spans="1:11" ht="15.5" x14ac:dyDescent="0.35">
      <c r="A417" s="3" t="s">
        <v>93</v>
      </c>
      <c r="B417" s="1"/>
      <c r="C417" s="20">
        <v>21500</v>
      </c>
      <c r="D417" s="1"/>
      <c r="E417" s="1"/>
      <c r="F417" s="20">
        <f t="shared" si="48"/>
        <v>0</v>
      </c>
      <c r="G417" s="20">
        <f t="shared" si="48"/>
        <v>0</v>
      </c>
      <c r="H417" s="20">
        <f t="shared" si="46"/>
        <v>0</v>
      </c>
      <c r="I417" s="20" t="b">
        <f t="shared" si="47"/>
        <v>1</v>
      </c>
      <c r="J417" s="20"/>
      <c r="K417" s="20"/>
    </row>
    <row r="418" spans="1:11" ht="15.5" x14ac:dyDescent="0.35">
      <c r="A418" s="3" t="s">
        <v>94</v>
      </c>
      <c r="B418" s="1"/>
      <c r="C418" s="20">
        <v>21500</v>
      </c>
      <c r="D418" s="1"/>
      <c r="E418" s="1"/>
      <c r="F418" s="20">
        <f t="shared" si="48"/>
        <v>0</v>
      </c>
      <c r="G418" s="20">
        <f t="shared" si="48"/>
        <v>0</v>
      </c>
      <c r="H418" s="20">
        <f t="shared" si="46"/>
        <v>0</v>
      </c>
      <c r="I418" s="20" t="b">
        <f t="shared" si="47"/>
        <v>1</v>
      </c>
      <c r="J418" s="20"/>
      <c r="K418" s="20"/>
    </row>
    <row r="419" spans="1:11" ht="15.5" x14ac:dyDescent="0.35">
      <c r="A419" s="19"/>
      <c r="B419" s="22">
        <f>SUM(B402:B418)</f>
        <v>0</v>
      </c>
      <c r="C419" s="20"/>
      <c r="D419" s="1"/>
      <c r="E419" s="1"/>
      <c r="F419" s="23">
        <f>SUM(F402:F418)</f>
        <v>0</v>
      </c>
      <c r="G419" s="23">
        <f>SUM(G402:G418)</f>
        <v>0</v>
      </c>
      <c r="H419" s="23">
        <f>SUM(H402:H418)</f>
        <v>0</v>
      </c>
      <c r="I419" s="23"/>
      <c r="J419" s="23">
        <f>SUM(J402:J418)</f>
        <v>440000</v>
      </c>
      <c r="K419" s="23">
        <f>H419-J419</f>
        <v>-440000</v>
      </c>
    </row>
    <row r="420" spans="1:11" ht="15.5" x14ac:dyDescent="0.35">
      <c r="A420" s="19" t="s">
        <v>95</v>
      </c>
      <c r="B420" s="1"/>
      <c r="C420" s="20"/>
      <c r="D420" s="1"/>
      <c r="E420" s="1"/>
      <c r="F420" s="20"/>
      <c r="G420" s="20"/>
      <c r="H420" s="20" t="s">
        <v>192</v>
      </c>
      <c r="I420" s="20"/>
      <c r="J420" s="20"/>
      <c r="K420" s="20"/>
    </row>
    <row r="421" spans="1:11" ht="15.5" x14ac:dyDescent="0.35">
      <c r="A421" s="3" t="s">
        <v>96</v>
      </c>
      <c r="B421" s="1"/>
      <c r="C421" s="20">
        <v>3000</v>
      </c>
      <c r="D421" s="1"/>
      <c r="E421" s="20"/>
      <c r="F421" s="20">
        <f t="shared" ref="F421:F424" si="49">C421*B421</f>
        <v>0</v>
      </c>
      <c r="G421" s="20"/>
      <c r="H421" s="20"/>
      <c r="I421" s="20"/>
      <c r="J421" s="20"/>
      <c r="K421" s="20"/>
    </row>
    <row r="422" spans="1:11" ht="15.5" x14ac:dyDescent="0.35">
      <c r="A422" s="3" t="s">
        <v>97</v>
      </c>
      <c r="B422" s="1"/>
      <c r="C422" s="20">
        <v>2500</v>
      </c>
      <c r="D422" s="1"/>
      <c r="E422" s="1"/>
      <c r="F422" s="20">
        <f t="shared" si="49"/>
        <v>0</v>
      </c>
      <c r="G422" s="20"/>
      <c r="H422" s="20"/>
      <c r="I422" s="20"/>
      <c r="J422" s="20"/>
      <c r="K422" s="20"/>
    </row>
    <row r="423" spans="1:11" ht="15.5" x14ac:dyDescent="0.35">
      <c r="A423" s="3" t="s">
        <v>98</v>
      </c>
      <c r="B423" s="1"/>
      <c r="C423" s="20">
        <v>1800</v>
      </c>
      <c r="D423" s="1"/>
      <c r="E423" s="1"/>
      <c r="F423" s="20">
        <f t="shared" si="49"/>
        <v>0</v>
      </c>
      <c r="G423" s="20"/>
      <c r="H423" s="20"/>
      <c r="I423" s="20"/>
      <c r="J423" s="20"/>
      <c r="K423" s="20"/>
    </row>
    <row r="424" spans="1:11" ht="15.5" x14ac:dyDescent="0.35">
      <c r="A424" s="3" t="s">
        <v>99</v>
      </c>
      <c r="B424" s="1"/>
      <c r="C424" s="20">
        <v>3500</v>
      </c>
      <c r="D424" s="1"/>
      <c r="E424" s="1"/>
      <c r="F424" s="20">
        <f t="shared" si="49"/>
        <v>0</v>
      </c>
      <c r="G424" s="20"/>
      <c r="H424" s="20"/>
      <c r="I424" s="20"/>
      <c r="J424" s="20"/>
      <c r="K424" s="20"/>
    </row>
    <row r="425" spans="1:11" ht="15.5" x14ac:dyDescent="0.35">
      <c r="A425" s="18"/>
      <c r="F425" s="21"/>
    </row>
    <row r="426" spans="1:11" ht="15.5" x14ac:dyDescent="0.35">
      <c r="A426" s="24" t="s">
        <v>108</v>
      </c>
      <c r="K426" s="21"/>
    </row>
    <row r="427" spans="1:11" ht="15.5" x14ac:dyDescent="0.35">
      <c r="A427" s="18" t="s">
        <v>114</v>
      </c>
      <c r="B427" s="67">
        <v>40000</v>
      </c>
    </row>
    <row r="428" spans="1:11" ht="15.5" x14ac:dyDescent="0.35">
      <c r="A428" s="18" t="s">
        <v>112</v>
      </c>
      <c r="B428" s="67">
        <v>40000</v>
      </c>
    </row>
    <row r="429" spans="1:11" ht="15.5" x14ac:dyDescent="0.35">
      <c r="A429" s="18" t="s">
        <v>309</v>
      </c>
      <c r="B429" s="67">
        <v>60000</v>
      </c>
    </row>
    <row r="430" spans="1:11" ht="15.5" x14ac:dyDescent="0.35">
      <c r="A430" s="18" t="s">
        <v>110</v>
      </c>
      <c r="B430" s="67">
        <v>40000</v>
      </c>
    </row>
    <row r="431" spans="1:11" ht="15.5" x14ac:dyDescent="0.35">
      <c r="A431" s="18" t="s">
        <v>111</v>
      </c>
      <c r="B431" s="67">
        <v>40000</v>
      </c>
    </row>
    <row r="432" spans="1:11" ht="15.5" x14ac:dyDescent="0.35">
      <c r="A432" s="18" t="s">
        <v>196</v>
      </c>
      <c r="B432" s="67">
        <v>40000</v>
      </c>
    </row>
    <row r="433" spans="1:13" ht="15.5" x14ac:dyDescent="0.35">
      <c r="A433" s="18" t="s">
        <v>113</v>
      </c>
      <c r="B433" s="67">
        <v>40000</v>
      </c>
    </row>
    <row r="434" spans="1:13" ht="15.5" x14ac:dyDescent="0.35">
      <c r="A434" s="18" t="s">
        <v>209</v>
      </c>
      <c r="B434" s="67">
        <v>40000</v>
      </c>
    </row>
    <row r="435" spans="1:13" ht="15.5" x14ac:dyDescent="0.35">
      <c r="A435" s="18" t="s">
        <v>115</v>
      </c>
      <c r="B435" s="67">
        <v>60000</v>
      </c>
    </row>
    <row r="436" spans="1:13" ht="15.5" x14ac:dyDescent="0.35">
      <c r="A436" s="18" t="s">
        <v>109</v>
      </c>
      <c r="B436" s="67">
        <v>40000</v>
      </c>
    </row>
    <row r="437" spans="1:13" ht="15.5" x14ac:dyDescent="0.35">
      <c r="A437" s="24" t="s">
        <v>4</v>
      </c>
      <c r="B437" s="75">
        <f>SUM(B427:B436)</f>
        <v>440000</v>
      </c>
    </row>
    <row r="438" spans="1:13" ht="15.5" x14ac:dyDescent="0.35">
      <c r="A438" s="24"/>
      <c r="B438" s="75"/>
    </row>
    <row r="439" spans="1:13" ht="15.5" x14ac:dyDescent="0.35">
      <c r="A439" s="24"/>
      <c r="B439" s="75"/>
    </row>
    <row r="440" spans="1:13" ht="15.5" x14ac:dyDescent="0.35">
      <c r="A440" s="24"/>
      <c r="B440" s="75"/>
    </row>
    <row r="441" spans="1:13" ht="18.5" x14ac:dyDescent="0.45">
      <c r="A441" s="151" t="s">
        <v>1</v>
      </c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</row>
    <row r="442" spans="1:13" ht="18.5" x14ac:dyDescent="0.45">
      <c r="A442" s="150" t="s">
        <v>74</v>
      </c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</row>
    <row r="443" spans="1:13" ht="18.5" x14ac:dyDescent="0.45">
      <c r="A443" s="149" t="s">
        <v>360</v>
      </c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</row>
    <row r="444" spans="1:13" ht="18.5" x14ac:dyDescent="0.45">
      <c r="A444" s="150"/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</row>
    <row r="445" spans="1:13" ht="18.5" x14ac:dyDescent="0.45">
      <c r="A445" s="2" t="s">
        <v>75</v>
      </c>
      <c r="B445" s="2" t="s">
        <v>3</v>
      </c>
      <c r="C445" s="2" t="s">
        <v>100</v>
      </c>
      <c r="D445" s="2" t="s">
        <v>90</v>
      </c>
      <c r="E445" s="2" t="s">
        <v>91</v>
      </c>
      <c r="F445" s="2" t="s">
        <v>4</v>
      </c>
      <c r="G445" s="2" t="s">
        <v>101</v>
      </c>
      <c r="H445" s="2" t="s">
        <v>104</v>
      </c>
      <c r="I445" s="2"/>
      <c r="J445" s="2" t="s">
        <v>105</v>
      </c>
      <c r="K445" s="2" t="s">
        <v>106</v>
      </c>
    </row>
    <row r="446" spans="1:13" ht="15.5" x14ac:dyDescent="0.35">
      <c r="A446" s="3" t="s">
        <v>76</v>
      </c>
      <c r="B446" s="1"/>
      <c r="C446" s="20">
        <v>17500</v>
      </c>
      <c r="D446" s="1"/>
      <c r="E446" s="1"/>
      <c r="F446" s="20">
        <f>C446*B446</f>
        <v>0</v>
      </c>
      <c r="G446" s="20">
        <f>D446*C446</f>
        <v>0</v>
      </c>
      <c r="H446" s="20">
        <f>E446*C446</f>
        <v>0</v>
      </c>
      <c r="I446" s="20" t="b">
        <f>D446+E446=B446</f>
        <v>1</v>
      </c>
      <c r="J446" s="20">
        <f>B481</f>
        <v>440000</v>
      </c>
      <c r="K446" s="20"/>
      <c r="M446" s="21"/>
    </row>
    <row r="447" spans="1:13" ht="15.5" x14ac:dyDescent="0.35">
      <c r="A447" s="3" t="s">
        <v>77</v>
      </c>
      <c r="B447" s="1"/>
      <c r="C447" s="20">
        <v>16000</v>
      </c>
      <c r="D447" s="1"/>
      <c r="E447" s="1"/>
      <c r="F447" s="20">
        <f t="shared" ref="F447:G458" si="50">C447*B447</f>
        <v>0</v>
      </c>
      <c r="G447" s="20">
        <f t="shared" si="50"/>
        <v>0</v>
      </c>
      <c r="H447" s="20">
        <f t="shared" ref="H447:H462" si="51">E447*C447</f>
        <v>0</v>
      </c>
      <c r="I447" s="20" t="b">
        <f t="shared" ref="I447:I462" si="52">D447+E447=B447</f>
        <v>1</v>
      </c>
      <c r="J447" s="20"/>
      <c r="K447" s="20"/>
    </row>
    <row r="448" spans="1:13" ht="15.5" x14ac:dyDescent="0.35">
      <c r="A448" s="3" t="s">
        <v>78</v>
      </c>
      <c r="B448" s="1"/>
      <c r="C448" s="20">
        <v>17500</v>
      </c>
      <c r="D448" s="1"/>
      <c r="E448" s="1"/>
      <c r="F448" s="20">
        <f t="shared" si="50"/>
        <v>0</v>
      </c>
      <c r="G448" s="20">
        <f t="shared" si="50"/>
        <v>0</v>
      </c>
      <c r="H448" s="20">
        <f t="shared" si="51"/>
        <v>0</v>
      </c>
      <c r="I448" s="20" t="b">
        <f t="shared" si="52"/>
        <v>1</v>
      </c>
      <c r="J448" s="20"/>
      <c r="K448" s="20"/>
    </row>
    <row r="449" spans="1:11" ht="15.5" x14ac:dyDescent="0.35">
      <c r="A449" s="3" t="s">
        <v>79</v>
      </c>
      <c r="B449" s="1"/>
      <c r="C449" s="20">
        <v>18500</v>
      </c>
      <c r="D449" s="1"/>
      <c r="E449" s="1"/>
      <c r="F449" s="20">
        <f t="shared" si="50"/>
        <v>0</v>
      </c>
      <c r="G449" s="20">
        <f t="shared" si="50"/>
        <v>0</v>
      </c>
      <c r="H449" s="20">
        <f t="shared" si="51"/>
        <v>0</v>
      </c>
      <c r="I449" s="20" t="b">
        <f t="shared" si="52"/>
        <v>1</v>
      </c>
      <c r="J449" s="20"/>
      <c r="K449" s="20"/>
    </row>
    <row r="450" spans="1:11" ht="15.5" x14ac:dyDescent="0.35">
      <c r="A450" s="3" t="s">
        <v>80</v>
      </c>
      <c r="B450" s="1"/>
      <c r="C450" s="20">
        <v>18500</v>
      </c>
      <c r="D450" s="1"/>
      <c r="E450" s="1"/>
      <c r="F450" s="20">
        <f t="shared" si="50"/>
        <v>0</v>
      </c>
      <c r="G450" s="20">
        <f t="shared" si="50"/>
        <v>0</v>
      </c>
      <c r="H450" s="20">
        <f t="shared" si="51"/>
        <v>0</v>
      </c>
      <c r="I450" s="20" t="b">
        <f t="shared" si="52"/>
        <v>1</v>
      </c>
      <c r="J450" s="20"/>
      <c r="K450" s="20"/>
    </row>
    <row r="451" spans="1:11" ht="15.5" x14ac:dyDescent="0.35">
      <c r="A451" s="3" t="s">
        <v>81</v>
      </c>
      <c r="B451" s="1"/>
      <c r="C451" s="20">
        <v>23000</v>
      </c>
      <c r="D451" s="1"/>
      <c r="E451" s="1"/>
      <c r="F451" s="20">
        <f t="shared" si="50"/>
        <v>0</v>
      </c>
      <c r="G451" s="20">
        <f t="shared" si="50"/>
        <v>0</v>
      </c>
      <c r="H451" s="20">
        <f t="shared" si="51"/>
        <v>0</v>
      </c>
      <c r="I451" s="20" t="b">
        <f t="shared" si="52"/>
        <v>1</v>
      </c>
      <c r="J451" s="20"/>
      <c r="K451" s="20"/>
    </row>
    <row r="452" spans="1:11" ht="15.5" x14ac:dyDescent="0.35">
      <c r="A452" s="3" t="s">
        <v>82</v>
      </c>
      <c r="B452" s="1"/>
      <c r="C452" s="20">
        <v>18000</v>
      </c>
      <c r="D452" s="1"/>
      <c r="E452" s="1"/>
      <c r="F452" s="20">
        <f t="shared" si="50"/>
        <v>0</v>
      </c>
      <c r="G452" s="20">
        <f t="shared" si="50"/>
        <v>0</v>
      </c>
      <c r="H452" s="20">
        <f t="shared" si="51"/>
        <v>0</v>
      </c>
      <c r="I452" s="20" t="b">
        <f t="shared" si="52"/>
        <v>1</v>
      </c>
      <c r="J452" s="20"/>
      <c r="K452" s="20"/>
    </row>
    <row r="453" spans="1:11" ht="15.5" x14ac:dyDescent="0.35">
      <c r="A453" s="3" t="s">
        <v>83</v>
      </c>
      <c r="B453" s="1"/>
      <c r="C453" s="20">
        <v>18000</v>
      </c>
      <c r="D453" s="1"/>
      <c r="E453" s="1"/>
      <c r="F453" s="20">
        <f t="shared" si="50"/>
        <v>0</v>
      </c>
      <c r="G453" s="20">
        <f t="shared" si="50"/>
        <v>0</v>
      </c>
      <c r="H453" s="20">
        <f t="shared" si="51"/>
        <v>0</v>
      </c>
      <c r="I453" s="20" t="b">
        <f t="shared" si="52"/>
        <v>1</v>
      </c>
      <c r="J453" s="20"/>
      <c r="K453" s="20"/>
    </row>
    <row r="454" spans="1:11" ht="15.5" x14ac:dyDescent="0.35">
      <c r="A454" s="3" t="s">
        <v>84</v>
      </c>
      <c r="B454" s="1"/>
      <c r="C454" s="20">
        <v>18500</v>
      </c>
      <c r="D454" s="1"/>
      <c r="E454" s="1"/>
      <c r="F454" s="20">
        <f t="shared" si="50"/>
        <v>0</v>
      </c>
      <c r="G454" s="20">
        <f t="shared" si="50"/>
        <v>0</v>
      </c>
      <c r="H454" s="20">
        <f t="shared" si="51"/>
        <v>0</v>
      </c>
      <c r="I454" s="20" t="b">
        <f t="shared" si="52"/>
        <v>1</v>
      </c>
      <c r="J454" s="20"/>
      <c r="K454" s="20"/>
    </row>
    <row r="455" spans="1:11" ht="15.5" x14ac:dyDescent="0.35">
      <c r="A455" s="3" t="s">
        <v>85</v>
      </c>
      <c r="B455" s="1"/>
      <c r="C455" s="20">
        <v>18500</v>
      </c>
      <c r="D455" s="1"/>
      <c r="E455" s="1"/>
      <c r="F455" s="20">
        <f t="shared" si="50"/>
        <v>0</v>
      </c>
      <c r="G455" s="20">
        <f t="shared" si="50"/>
        <v>0</v>
      </c>
      <c r="H455" s="20">
        <f t="shared" si="51"/>
        <v>0</v>
      </c>
      <c r="I455" s="20" t="b">
        <f t="shared" si="52"/>
        <v>1</v>
      </c>
      <c r="J455" s="20"/>
      <c r="K455" s="20"/>
    </row>
    <row r="456" spans="1:11" ht="15.5" x14ac:dyDescent="0.35">
      <c r="A456" s="3" t="s">
        <v>86</v>
      </c>
      <c r="B456" s="1"/>
      <c r="C456" s="20">
        <v>18500</v>
      </c>
      <c r="D456" s="1"/>
      <c r="E456" s="1"/>
      <c r="F456" s="20">
        <f t="shared" si="50"/>
        <v>0</v>
      </c>
      <c r="G456" s="20">
        <f t="shared" si="50"/>
        <v>0</v>
      </c>
      <c r="H456" s="20">
        <f t="shared" si="51"/>
        <v>0</v>
      </c>
      <c r="I456" s="20" t="b">
        <f t="shared" si="52"/>
        <v>1</v>
      </c>
      <c r="J456" s="20"/>
      <c r="K456" s="20"/>
    </row>
    <row r="457" spans="1:11" ht="15.5" x14ac:dyDescent="0.35">
      <c r="A457" s="3" t="s">
        <v>87</v>
      </c>
      <c r="B457" s="1"/>
      <c r="C457" s="20">
        <v>18500</v>
      </c>
      <c r="D457" s="1"/>
      <c r="E457" s="1"/>
      <c r="F457" s="20">
        <f t="shared" si="50"/>
        <v>0</v>
      </c>
      <c r="G457" s="20">
        <f t="shared" si="50"/>
        <v>0</v>
      </c>
      <c r="H457" s="20">
        <f t="shared" si="51"/>
        <v>0</v>
      </c>
      <c r="I457" s="20" t="b">
        <f t="shared" si="52"/>
        <v>1</v>
      </c>
      <c r="J457" s="20"/>
      <c r="K457" s="20"/>
    </row>
    <row r="458" spans="1:11" ht="15.5" x14ac:dyDescent="0.35">
      <c r="A458" s="3" t="s">
        <v>88</v>
      </c>
      <c r="B458" s="1"/>
      <c r="C458" s="20">
        <v>18500</v>
      </c>
      <c r="D458" s="1"/>
      <c r="E458" s="1"/>
      <c r="F458" s="20">
        <f t="shared" si="50"/>
        <v>0</v>
      </c>
      <c r="G458" s="20">
        <f t="shared" si="50"/>
        <v>0</v>
      </c>
      <c r="H458" s="20">
        <f t="shared" si="51"/>
        <v>0</v>
      </c>
      <c r="I458" s="20" t="b">
        <f t="shared" si="52"/>
        <v>1</v>
      </c>
      <c r="J458" s="20"/>
      <c r="K458" s="20"/>
    </row>
    <row r="459" spans="1:11" ht="15.5" x14ac:dyDescent="0.35">
      <c r="A459" s="19" t="s">
        <v>89</v>
      </c>
      <c r="B459" s="1"/>
      <c r="C459" s="20"/>
      <c r="D459" s="1"/>
      <c r="E459" s="1"/>
      <c r="F459" s="20"/>
      <c r="G459" s="20"/>
      <c r="H459" s="20">
        <f t="shared" si="51"/>
        <v>0</v>
      </c>
      <c r="I459" s="20" t="b">
        <f t="shared" si="52"/>
        <v>1</v>
      </c>
      <c r="J459" s="20"/>
      <c r="K459" s="20"/>
    </row>
    <row r="460" spans="1:11" ht="15.5" x14ac:dyDescent="0.35">
      <c r="A460" s="3" t="s">
        <v>92</v>
      </c>
      <c r="B460" s="1"/>
      <c r="C460" s="20">
        <v>21500</v>
      </c>
      <c r="D460" s="1"/>
      <c r="E460" s="1"/>
      <c r="F460" s="20">
        <f t="shared" ref="F460:G462" si="53">C460*B460</f>
        <v>0</v>
      </c>
      <c r="G460" s="20">
        <f t="shared" si="53"/>
        <v>0</v>
      </c>
      <c r="H460" s="20">
        <f t="shared" si="51"/>
        <v>0</v>
      </c>
      <c r="I460" s="20" t="b">
        <f t="shared" si="52"/>
        <v>1</v>
      </c>
      <c r="J460" s="20"/>
      <c r="K460" s="20"/>
    </row>
    <row r="461" spans="1:11" ht="15.5" x14ac:dyDescent="0.35">
      <c r="A461" s="3" t="s">
        <v>93</v>
      </c>
      <c r="B461" s="1"/>
      <c r="C461" s="20">
        <v>21500</v>
      </c>
      <c r="D461" s="1"/>
      <c r="E461" s="1"/>
      <c r="F461" s="20">
        <f t="shared" si="53"/>
        <v>0</v>
      </c>
      <c r="G461" s="20">
        <f t="shared" si="53"/>
        <v>0</v>
      </c>
      <c r="H461" s="20">
        <f t="shared" si="51"/>
        <v>0</v>
      </c>
      <c r="I461" s="20" t="b">
        <f t="shared" si="52"/>
        <v>1</v>
      </c>
      <c r="J461" s="20"/>
      <c r="K461" s="20"/>
    </row>
    <row r="462" spans="1:11" ht="15.5" x14ac:dyDescent="0.35">
      <c r="A462" s="3" t="s">
        <v>94</v>
      </c>
      <c r="B462" s="1"/>
      <c r="C462" s="20">
        <v>21500</v>
      </c>
      <c r="D462" s="1"/>
      <c r="E462" s="1"/>
      <c r="F462" s="20">
        <f t="shared" si="53"/>
        <v>0</v>
      </c>
      <c r="G462" s="20">
        <f t="shared" si="53"/>
        <v>0</v>
      </c>
      <c r="H462" s="20">
        <f t="shared" si="51"/>
        <v>0</v>
      </c>
      <c r="I462" s="20" t="b">
        <f t="shared" si="52"/>
        <v>1</v>
      </c>
      <c r="J462" s="20"/>
      <c r="K462" s="20"/>
    </row>
    <row r="463" spans="1:11" ht="15.5" x14ac:dyDescent="0.35">
      <c r="A463" s="19"/>
      <c r="B463" s="22">
        <f>SUM(B446:B462)</f>
        <v>0</v>
      </c>
      <c r="C463" s="20"/>
      <c r="D463" s="1"/>
      <c r="E463" s="1"/>
      <c r="F463" s="23">
        <f>SUM(F446:F462)</f>
        <v>0</v>
      </c>
      <c r="G463" s="23">
        <f>SUM(G446:G462)</f>
        <v>0</v>
      </c>
      <c r="H463" s="23">
        <f>SUM(H446:H462)</f>
        <v>0</v>
      </c>
      <c r="I463" s="23"/>
      <c r="J463" s="23">
        <f>SUM(J446:J462)</f>
        <v>440000</v>
      </c>
      <c r="K463" s="23">
        <f>H463-J463</f>
        <v>-440000</v>
      </c>
    </row>
    <row r="464" spans="1:11" ht="15.5" x14ac:dyDescent="0.35">
      <c r="A464" s="19" t="s">
        <v>95</v>
      </c>
      <c r="B464" s="1"/>
      <c r="C464" s="20"/>
      <c r="D464" s="1"/>
      <c r="E464" s="1"/>
      <c r="F464" s="20"/>
      <c r="G464" s="20"/>
      <c r="H464" s="20" t="s">
        <v>192</v>
      </c>
      <c r="I464" s="20"/>
      <c r="J464" s="20"/>
      <c r="K464" s="20"/>
    </row>
    <row r="465" spans="1:11" ht="15.5" x14ac:dyDescent="0.35">
      <c r="A465" s="3" t="s">
        <v>96</v>
      </c>
      <c r="B465" s="1"/>
      <c r="C465" s="20">
        <v>3000</v>
      </c>
      <c r="D465" s="1"/>
      <c r="E465" s="20"/>
      <c r="F465" s="20">
        <f t="shared" ref="F465:F468" si="54">C465*B465</f>
        <v>0</v>
      </c>
      <c r="G465" s="20"/>
      <c r="H465" s="20"/>
      <c r="I465" s="20"/>
      <c r="J465" s="20"/>
      <c r="K465" s="20"/>
    </row>
    <row r="466" spans="1:11" ht="15.5" x14ac:dyDescent="0.35">
      <c r="A466" s="3" t="s">
        <v>97</v>
      </c>
      <c r="B466" s="1"/>
      <c r="C466" s="20">
        <v>2500</v>
      </c>
      <c r="D466" s="1"/>
      <c r="E466" s="1"/>
      <c r="F466" s="20">
        <f t="shared" si="54"/>
        <v>0</v>
      </c>
      <c r="G466" s="20"/>
      <c r="H466" s="20"/>
      <c r="I466" s="20"/>
      <c r="J466" s="20"/>
      <c r="K466" s="20"/>
    </row>
    <row r="467" spans="1:11" ht="15.5" x14ac:dyDescent="0.35">
      <c r="A467" s="3" t="s">
        <v>98</v>
      </c>
      <c r="B467" s="1"/>
      <c r="C467" s="20">
        <v>1800</v>
      </c>
      <c r="D467" s="1"/>
      <c r="E467" s="1"/>
      <c r="F467" s="20">
        <f t="shared" si="54"/>
        <v>0</v>
      </c>
      <c r="G467" s="20"/>
      <c r="H467" s="20"/>
      <c r="I467" s="20"/>
      <c r="J467" s="20"/>
      <c r="K467" s="20"/>
    </row>
    <row r="468" spans="1:11" ht="15.5" x14ac:dyDescent="0.35">
      <c r="A468" s="3" t="s">
        <v>99</v>
      </c>
      <c r="B468" s="1"/>
      <c r="C468" s="20">
        <v>3500</v>
      </c>
      <c r="D468" s="1"/>
      <c r="E468" s="1"/>
      <c r="F468" s="20">
        <f t="shared" si="54"/>
        <v>0</v>
      </c>
      <c r="G468" s="20"/>
      <c r="H468" s="20"/>
      <c r="I468" s="20"/>
      <c r="J468" s="20"/>
      <c r="K468" s="20"/>
    </row>
    <row r="469" spans="1:11" ht="15.5" x14ac:dyDescent="0.35">
      <c r="A469" s="18"/>
      <c r="F469" s="21"/>
    </row>
    <row r="470" spans="1:11" ht="15.5" x14ac:dyDescent="0.35">
      <c r="A470" s="24" t="s">
        <v>108</v>
      </c>
      <c r="K470" s="21"/>
    </row>
    <row r="471" spans="1:11" ht="15.5" x14ac:dyDescent="0.35">
      <c r="A471" s="18" t="s">
        <v>114</v>
      </c>
      <c r="B471" s="67">
        <v>40000</v>
      </c>
    </row>
    <row r="472" spans="1:11" ht="15.5" x14ac:dyDescent="0.35">
      <c r="A472" s="18" t="s">
        <v>112</v>
      </c>
      <c r="B472" s="67">
        <v>40000</v>
      </c>
    </row>
    <row r="473" spans="1:11" ht="15.5" x14ac:dyDescent="0.35">
      <c r="A473" s="18" t="s">
        <v>309</v>
      </c>
      <c r="B473" s="67">
        <v>60000</v>
      </c>
    </row>
    <row r="474" spans="1:11" ht="15.5" x14ac:dyDescent="0.35">
      <c r="A474" s="18" t="s">
        <v>110</v>
      </c>
      <c r="B474" s="67">
        <v>40000</v>
      </c>
    </row>
    <row r="475" spans="1:11" ht="15.5" x14ac:dyDescent="0.35">
      <c r="A475" s="18" t="s">
        <v>111</v>
      </c>
      <c r="B475" s="67">
        <v>40000</v>
      </c>
    </row>
    <row r="476" spans="1:11" ht="15.5" x14ac:dyDescent="0.35">
      <c r="A476" s="18" t="s">
        <v>196</v>
      </c>
      <c r="B476" s="67">
        <v>40000</v>
      </c>
    </row>
    <row r="477" spans="1:11" ht="15.5" x14ac:dyDescent="0.35">
      <c r="A477" s="18" t="s">
        <v>113</v>
      </c>
      <c r="B477" s="67">
        <v>40000</v>
      </c>
    </row>
    <row r="478" spans="1:11" ht="15.5" x14ac:dyDescent="0.35">
      <c r="A478" s="18" t="s">
        <v>209</v>
      </c>
      <c r="B478" s="67">
        <v>40000</v>
      </c>
    </row>
    <row r="479" spans="1:11" ht="15.5" x14ac:dyDescent="0.35">
      <c r="A479" s="18" t="s">
        <v>115</v>
      </c>
      <c r="B479" s="67">
        <v>60000</v>
      </c>
    </row>
    <row r="480" spans="1:11" ht="15.5" x14ac:dyDescent="0.35">
      <c r="A480" s="18" t="s">
        <v>109</v>
      </c>
      <c r="B480" s="67">
        <v>40000</v>
      </c>
    </row>
    <row r="481" spans="1:11" ht="15.5" x14ac:dyDescent="0.35">
      <c r="A481" s="24" t="s">
        <v>4</v>
      </c>
      <c r="B481" s="75">
        <f>SUM(B471:B480)</f>
        <v>440000</v>
      </c>
    </row>
    <row r="484" spans="1:11" ht="18.5" x14ac:dyDescent="0.45">
      <c r="A484" s="151" t="s">
        <v>1</v>
      </c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</row>
    <row r="485" spans="1:11" ht="18.5" x14ac:dyDescent="0.45">
      <c r="A485" s="150" t="s">
        <v>74</v>
      </c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</row>
    <row r="486" spans="1:11" ht="18.5" x14ac:dyDescent="0.45">
      <c r="A486" s="149" t="s">
        <v>360</v>
      </c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</row>
    <row r="487" spans="1:11" ht="18.5" x14ac:dyDescent="0.45">
      <c r="A487" s="150"/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</row>
    <row r="488" spans="1:11" ht="18.5" x14ac:dyDescent="0.45">
      <c r="A488" s="2" t="s">
        <v>75</v>
      </c>
      <c r="B488" s="2" t="s">
        <v>3</v>
      </c>
      <c r="C488" s="2" t="s">
        <v>100</v>
      </c>
      <c r="D488" s="2" t="s">
        <v>90</v>
      </c>
      <c r="E488" s="2" t="s">
        <v>91</v>
      </c>
      <c r="F488" s="2" t="s">
        <v>4</v>
      </c>
      <c r="G488" s="2" t="s">
        <v>101</v>
      </c>
      <c r="H488" s="2" t="s">
        <v>104</v>
      </c>
      <c r="I488" s="2"/>
      <c r="J488" s="2" t="s">
        <v>105</v>
      </c>
      <c r="K488" s="2" t="s">
        <v>106</v>
      </c>
    </row>
    <row r="489" spans="1:11" ht="15.5" x14ac:dyDescent="0.35">
      <c r="A489" s="3" t="s">
        <v>76</v>
      </c>
      <c r="B489" s="1"/>
      <c r="C489" s="20">
        <v>17500</v>
      </c>
      <c r="D489" s="1"/>
      <c r="E489" s="1"/>
      <c r="F489" s="20">
        <f>C489*B489</f>
        <v>0</v>
      </c>
      <c r="G489" s="20">
        <f>D489*C489</f>
        <v>0</v>
      </c>
      <c r="H489" s="20">
        <f>E489*C489</f>
        <v>0</v>
      </c>
      <c r="I489" s="20" t="b">
        <f>D489+E489=B489</f>
        <v>1</v>
      </c>
      <c r="J489" s="20">
        <f>B524</f>
        <v>440000</v>
      </c>
      <c r="K489" s="20"/>
    </row>
    <row r="490" spans="1:11" ht="15.5" x14ac:dyDescent="0.35">
      <c r="A490" s="3" t="s">
        <v>77</v>
      </c>
      <c r="B490" s="1"/>
      <c r="C490" s="20">
        <v>16000</v>
      </c>
      <c r="D490" s="1"/>
      <c r="E490" s="1"/>
      <c r="F490" s="20">
        <f t="shared" ref="F490:G501" si="55">C490*B490</f>
        <v>0</v>
      </c>
      <c r="G490" s="20">
        <f t="shared" si="55"/>
        <v>0</v>
      </c>
      <c r="H490" s="20">
        <f t="shared" ref="H490:H505" si="56">E490*C490</f>
        <v>0</v>
      </c>
      <c r="I490" s="20" t="b">
        <f t="shared" ref="I490:I505" si="57">D490+E490=B490</f>
        <v>1</v>
      </c>
      <c r="J490" s="20"/>
      <c r="K490" s="20"/>
    </row>
    <row r="491" spans="1:11" ht="15.5" x14ac:dyDescent="0.35">
      <c r="A491" s="3" t="s">
        <v>78</v>
      </c>
      <c r="B491" s="1"/>
      <c r="C491" s="20">
        <v>17500</v>
      </c>
      <c r="D491" s="1"/>
      <c r="E491" s="1"/>
      <c r="F491" s="20">
        <f t="shared" si="55"/>
        <v>0</v>
      </c>
      <c r="G491" s="20">
        <f t="shared" si="55"/>
        <v>0</v>
      </c>
      <c r="H491" s="20">
        <f t="shared" si="56"/>
        <v>0</v>
      </c>
      <c r="I491" s="20" t="b">
        <f t="shared" si="57"/>
        <v>1</v>
      </c>
      <c r="J491" s="20"/>
      <c r="K491" s="20"/>
    </row>
    <row r="492" spans="1:11" ht="15.5" x14ac:dyDescent="0.35">
      <c r="A492" s="3" t="s">
        <v>79</v>
      </c>
      <c r="B492" s="1"/>
      <c r="C492" s="20">
        <v>18500</v>
      </c>
      <c r="D492" s="1"/>
      <c r="E492" s="1"/>
      <c r="F492" s="20">
        <f t="shared" si="55"/>
        <v>0</v>
      </c>
      <c r="G492" s="20">
        <f t="shared" si="55"/>
        <v>0</v>
      </c>
      <c r="H492" s="20">
        <f t="shared" si="56"/>
        <v>0</v>
      </c>
      <c r="I492" s="20" t="b">
        <f t="shared" si="57"/>
        <v>1</v>
      </c>
      <c r="J492" s="20"/>
      <c r="K492" s="20"/>
    </row>
    <row r="493" spans="1:11" ht="15.5" x14ac:dyDescent="0.35">
      <c r="A493" s="3" t="s">
        <v>80</v>
      </c>
      <c r="B493" s="1"/>
      <c r="C493" s="20">
        <v>18500</v>
      </c>
      <c r="D493" s="1"/>
      <c r="E493" s="1"/>
      <c r="F493" s="20">
        <f t="shared" si="55"/>
        <v>0</v>
      </c>
      <c r="G493" s="20">
        <f t="shared" si="55"/>
        <v>0</v>
      </c>
      <c r="H493" s="20">
        <f t="shared" si="56"/>
        <v>0</v>
      </c>
      <c r="I493" s="20" t="b">
        <f t="shared" si="57"/>
        <v>1</v>
      </c>
      <c r="J493" s="20"/>
      <c r="K493" s="20"/>
    </row>
    <row r="494" spans="1:11" ht="15.5" x14ac:dyDescent="0.35">
      <c r="A494" s="3" t="s">
        <v>81</v>
      </c>
      <c r="B494" s="1"/>
      <c r="C494" s="20">
        <v>23000</v>
      </c>
      <c r="D494" s="1"/>
      <c r="E494" s="1"/>
      <c r="F494" s="20">
        <f t="shared" si="55"/>
        <v>0</v>
      </c>
      <c r="G494" s="20">
        <f t="shared" si="55"/>
        <v>0</v>
      </c>
      <c r="H494" s="20">
        <f t="shared" si="56"/>
        <v>0</v>
      </c>
      <c r="I494" s="20" t="b">
        <f t="shared" si="57"/>
        <v>1</v>
      </c>
      <c r="J494" s="20"/>
      <c r="K494" s="20"/>
    </row>
    <row r="495" spans="1:11" ht="15.5" x14ac:dyDescent="0.35">
      <c r="A495" s="3" t="s">
        <v>82</v>
      </c>
      <c r="B495" s="1"/>
      <c r="C495" s="20">
        <v>18000</v>
      </c>
      <c r="D495" s="1"/>
      <c r="E495" s="1"/>
      <c r="F495" s="20">
        <f t="shared" si="55"/>
        <v>0</v>
      </c>
      <c r="G495" s="20">
        <f t="shared" si="55"/>
        <v>0</v>
      </c>
      <c r="H495" s="20">
        <f t="shared" si="56"/>
        <v>0</v>
      </c>
      <c r="I495" s="20" t="b">
        <f t="shared" si="57"/>
        <v>1</v>
      </c>
      <c r="J495" s="20"/>
      <c r="K495" s="20"/>
    </row>
    <row r="496" spans="1:11" ht="15.5" x14ac:dyDescent="0.35">
      <c r="A496" s="3" t="s">
        <v>83</v>
      </c>
      <c r="B496" s="1"/>
      <c r="C496" s="20">
        <v>18000</v>
      </c>
      <c r="D496" s="1"/>
      <c r="E496" s="1"/>
      <c r="F496" s="20">
        <f t="shared" si="55"/>
        <v>0</v>
      </c>
      <c r="G496" s="20">
        <f t="shared" si="55"/>
        <v>0</v>
      </c>
      <c r="H496" s="20">
        <f t="shared" si="56"/>
        <v>0</v>
      </c>
      <c r="I496" s="20" t="b">
        <f t="shared" si="57"/>
        <v>1</v>
      </c>
      <c r="J496" s="20"/>
      <c r="K496" s="20"/>
    </row>
    <row r="497" spans="1:11" ht="15.5" x14ac:dyDescent="0.35">
      <c r="A497" s="3" t="s">
        <v>84</v>
      </c>
      <c r="B497" s="1"/>
      <c r="C497" s="20">
        <v>18500</v>
      </c>
      <c r="D497" s="1"/>
      <c r="E497" s="1"/>
      <c r="F497" s="20">
        <f t="shared" si="55"/>
        <v>0</v>
      </c>
      <c r="G497" s="20">
        <f t="shared" si="55"/>
        <v>0</v>
      </c>
      <c r="H497" s="20">
        <f t="shared" si="56"/>
        <v>0</v>
      </c>
      <c r="I497" s="20" t="b">
        <f t="shared" si="57"/>
        <v>1</v>
      </c>
      <c r="J497" s="20"/>
      <c r="K497" s="20"/>
    </row>
    <row r="498" spans="1:11" ht="15.5" x14ac:dyDescent="0.35">
      <c r="A498" s="3" t="s">
        <v>85</v>
      </c>
      <c r="B498" s="1"/>
      <c r="C498" s="20">
        <v>18500</v>
      </c>
      <c r="D498" s="1"/>
      <c r="E498" s="1"/>
      <c r="F498" s="20">
        <f t="shared" si="55"/>
        <v>0</v>
      </c>
      <c r="G498" s="20">
        <f t="shared" si="55"/>
        <v>0</v>
      </c>
      <c r="H498" s="20">
        <f t="shared" si="56"/>
        <v>0</v>
      </c>
      <c r="I498" s="20" t="b">
        <f t="shared" si="57"/>
        <v>1</v>
      </c>
      <c r="J498" s="20"/>
      <c r="K498" s="20"/>
    </row>
    <row r="499" spans="1:11" ht="15.5" x14ac:dyDescent="0.35">
      <c r="A499" s="3" t="s">
        <v>86</v>
      </c>
      <c r="B499" s="1"/>
      <c r="C499" s="20">
        <v>18500</v>
      </c>
      <c r="D499" s="1"/>
      <c r="E499" s="1"/>
      <c r="F499" s="20">
        <f t="shared" si="55"/>
        <v>0</v>
      </c>
      <c r="G499" s="20">
        <f t="shared" si="55"/>
        <v>0</v>
      </c>
      <c r="H499" s="20">
        <f t="shared" si="56"/>
        <v>0</v>
      </c>
      <c r="I499" s="20" t="b">
        <f t="shared" si="57"/>
        <v>1</v>
      </c>
      <c r="J499" s="20"/>
      <c r="K499" s="20"/>
    </row>
    <row r="500" spans="1:11" ht="15.5" x14ac:dyDescent="0.35">
      <c r="A500" s="3" t="s">
        <v>87</v>
      </c>
      <c r="B500" s="1"/>
      <c r="C500" s="20">
        <v>18500</v>
      </c>
      <c r="D500" s="1"/>
      <c r="E500" s="1"/>
      <c r="F500" s="20">
        <f t="shared" si="55"/>
        <v>0</v>
      </c>
      <c r="G500" s="20">
        <f t="shared" si="55"/>
        <v>0</v>
      </c>
      <c r="H500" s="20">
        <f t="shared" si="56"/>
        <v>0</v>
      </c>
      <c r="I500" s="20" t="b">
        <f t="shared" si="57"/>
        <v>1</v>
      </c>
      <c r="J500" s="20"/>
      <c r="K500" s="20"/>
    </row>
    <row r="501" spans="1:11" ht="15.5" x14ac:dyDescent="0.35">
      <c r="A501" s="3" t="s">
        <v>88</v>
      </c>
      <c r="B501" s="1"/>
      <c r="C501" s="20">
        <v>18500</v>
      </c>
      <c r="D501" s="1"/>
      <c r="E501" s="1"/>
      <c r="F501" s="20">
        <f t="shared" si="55"/>
        <v>0</v>
      </c>
      <c r="G501" s="20">
        <f t="shared" si="55"/>
        <v>0</v>
      </c>
      <c r="H501" s="20">
        <f t="shared" si="56"/>
        <v>0</v>
      </c>
      <c r="I501" s="20" t="b">
        <f t="shared" si="57"/>
        <v>1</v>
      </c>
      <c r="J501" s="20"/>
      <c r="K501" s="20"/>
    </row>
    <row r="502" spans="1:11" ht="15.5" x14ac:dyDescent="0.35">
      <c r="A502" s="19" t="s">
        <v>89</v>
      </c>
      <c r="B502" s="1"/>
      <c r="C502" s="20"/>
      <c r="D502" s="1"/>
      <c r="E502" s="1"/>
      <c r="F502" s="20"/>
      <c r="G502" s="20"/>
      <c r="H502" s="20">
        <f t="shared" si="56"/>
        <v>0</v>
      </c>
      <c r="I502" s="20" t="b">
        <f t="shared" si="57"/>
        <v>1</v>
      </c>
      <c r="J502" s="20"/>
      <c r="K502" s="20"/>
    </row>
    <row r="503" spans="1:11" ht="15.5" x14ac:dyDescent="0.35">
      <c r="A503" s="3" t="s">
        <v>92</v>
      </c>
      <c r="B503" s="1"/>
      <c r="C503" s="20">
        <v>21500</v>
      </c>
      <c r="D503" s="1"/>
      <c r="E503" s="1"/>
      <c r="F503" s="20">
        <f t="shared" ref="F503:G505" si="58">C503*B503</f>
        <v>0</v>
      </c>
      <c r="G503" s="20">
        <f t="shared" si="58"/>
        <v>0</v>
      </c>
      <c r="H503" s="20">
        <f t="shared" si="56"/>
        <v>0</v>
      </c>
      <c r="I503" s="20" t="b">
        <f t="shared" si="57"/>
        <v>1</v>
      </c>
      <c r="J503" s="20"/>
      <c r="K503" s="20"/>
    </row>
    <row r="504" spans="1:11" ht="15.5" x14ac:dyDescent="0.35">
      <c r="A504" s="3" t="s">
        <v>93</v>
      </c>
      <c r="B504" s="1"/>
      <c r="C504" s="20">
        <v>21500</v>
      </c>
      <c r="D504" s="1"/>
      <c r="E504" s="1"/>
      <c r="F504" s="20">
        <f t="shared" si="58"/>
        <v>0</v>
      </c>
      <c r="G504" s="20">
        <f t="shared" si="58"/>
        <v>0</v>
      </c>
      <c r="H504" s="20">
        <f t="shared" si="56"/>
        <v>0</v>
      </c>
      <c r="I504" s="20" t="b">
        <f t="shared" si="57"/>
        <v>1</v>
      </c>
      <c r="J504" s="20"/>
      <c r="K504" s="20"/>
    </row>
    <row r="505" spans="1:11" ht="15.5" x14ac:dyDescent="0.35">
      <c r="A505" s="3" t="s">
        <v>94</v>
      </c>
      <c r="B505" s="1"/>
      <c r="C505" s="20">
        <v>21500</v>
      </c>
      <c r="D505" s="1"/>
      <c r="E505" s="1"/>
      <c r="F505" s="20">
        <f t="shared" si="58"/>
        <v>0</v>
      </c>
      <c r="G505" s="20">
        <f t="shared" si="58"/>
        <v>0</v>
      </c>
      <c r="H505" s="20">
        <f t="shared" si="56"/>
        <v>0</v>
      </c>
      <c r="I505" s="20" t="b">
        <f t="shared" si="57"/>
        <v>1</v>
      </c>
      <c r="J505" s="20"/>
      <c r="K505" s="20"/>
    </row>
    <row r="506" spans="1:11" ht="15.5" x14ac:dyDescent="0.35">
      <c r="A506" s="19"/>
      <c r="B506" s="22">
        <f>SUM(B489:B505)</f>
        <v>0</v>
      </c>
      <c r="C506" s="20"/>
      <c r="D506" s="1"/>
      <c r="E506" s="1"/>
      <c r="F506" s="23">
        <f>SUM(F489:F505)</f>
        <v>0</v>
      </c>
      <c r="G506" s="23">
        <f>SUM(G489:G505)</f>
        <v>0</v>
      </c>
      <c r="H506" s="23">
        <f>SUM(H489:H505)</f>
        <v>0</v>
      </c>
      <c r="I506" s="23"/>
      <c r="J506" s="23">
        <f>SUM(J489:J505)</f>
        <v>440000</v>
      </c>
      <c r="K506" s="23">
        <f>H506-J506</f>
        <v>-440000</v>
      </c>
    </row>
    <row r="507" spans="1:11" ht="15.5" x14ac:dyDescent="0.35">
      <c r="A507" s="19" t="s">
        <v>95</v>
      </c>
      <c r="B507" s="1"/>
      <c r="C507" s="20"/>
      <c r="D507" s="1"/>
      <c r="E507" s="1"/>
      <c r="F507" s="20"/>
      <c r="G507" s="20"/>
      <c r="H507" s="20" t="s">
        <v>192</v>
      </c>
      <c r="I507" s="20"/>
      <c r="J507" s="20"/>
      <c r="K507" s="20"/>
    </row>
    <row r="508" spans="1:11" ht="15.5" x14ac:dyDescent="0.35">
      <c r="A508" s="3" t="s">
        <v>96</v>
      </c>
      <c r="B508" s="1"/>
      <c r="C508" s="20">
        <v>3000</v>
      </c>
      <c r="D508" s="1"/>
      <c r="E508" s="20"/>
      <c r="F508" s="20">
        <f t="shared" ref="F508:F511" si="59">C508*B508</f>
        <v>0</v>
      </c>
      <c r="G508" s="20"/>
      <c r="H508" s="20"/>
      <c r="I508" s="20"/>
      <c r="J508" s="20"/>
      <c r="K508" s="20"/>
    </row>
    <row r="509" spans="1:11" ht="15.5" x14ac:dyDescent="0.35">
      <c r="A509" s="3" t="s">
        <v>97</v>
      </c>
      <c r="B509" s="1"/>
      <c r="C509" s="20">
        <v>2500</v>
      </c>
      <c r="D509" s="1"/>
      <c r="E509" s="1"/>
      <c r="F509" s="20">
        <f t="shared" si="59"/>
        <v>0</v>
      </c>
      <c r="G509" s="20"/>
      <c r="H509" s="20"/>
      <c r="I509" s="20"/>
      <c r="J509" s="20"/>
      <c r="K509" s="20"/>
    </row>
    <row r="510" spans="1:11" ht="15.5" x14ac:dyDescent="0.35">
      <c r="A510" s="3" t="s">
        <v>98</v>
      </c>
      <c r="B510" s="1"/>
      <c r="C510" s="20">
        <v>1800</v>
      </c>
      <c r="D510" s="1"/>
      <c r="E510" s="1"/>
      <c r="F510" s="20">
        <f t="shared" si="59"/>
        <v>0</v>
      </c>
      <c r="G510" s="20"/>
      <c r="H510" s="20"/>
      <c r="I510" s="20"/>
      <c r="J510" s="20"/>
      <c r="K510" s="20"/>
    </row>
    <row r="511" spans="1:11" ht="15.5" x14ac:dyDescent="0.35">
      <c r="A511" s="3" t="s">
        <v>99</v>
      </c>
      <c r="B511" s="1"/>
      <c r="C511" s="20">
        <v>3500</v>
      </c>
      <c r="D511" s="1"/>
      <c r="E511" s="1"/>
      <c r="F511" s="20">
        <f t="shared" si="59"/>
        <v>0</v>
      </c>
      <c r="G511" s="20"/>
      <c r="H511" s="20"/>
      <c r="I511" s="20"/>
      <c r="J511" s="20"/>
      <c r="K511" s="20"/>
    </row>
    <row r="512" spans="1:11" ht="15.5" x14ac:dyDescent="0.35">
      <c r="A512" s="18"/>
      <c r="F512" s="21"/>
    </row>
    <row r="513" spans="1:11" ht="15.5" x14ac:dyDescent="0.35">
      <c r="A513" s="24" t="s">
        <v>108</v>
      </c>
      <c r="K513" s="21"/>
    </row>
    <row r="514" spans="1:11" ht="15.5" x14ac:dyDescent="0.35">
      <c r="A514" s="18" t="s">
        <v>114</v>
      </c>
      <c r="B514" s="67">
        <v>40000</v>
      </c>
    </row>
    <row r="515" spans="1:11" ht="15.5" x14ac:dyDescent="0.35">
      <c r="A515" s="18" t="s">
        <v>112</v>
      </c>
      <c r="B515" s="67">
        <v>40000</v>
      </c>
    </row>
    <row r="516" spans="1:11" ht="15.5" x14ac:dyDescent="0.35">
      <c r="A516" s="18" t="s">
        <v>309</v>
      </c>
      <c r="B516" s="67">
        <v>60000</v>
      </c>
    </row>
    <row r="517" spans="1:11" ht="15.5" x14ac:dyDescent="0.35">
      <c r="A517" s="18" t="s">
        <v>110</v>
      </c>
      <c r="B517" s="67">
        <v>40000</v>
      </c>
    </row>
    <row r="518" spans="1:11" ht="15.5" x14ac:dyDescent="0.35">
      <c r="A518" s="18" t="s">
        <v>111</v>
      </c>
      <c r="B518" s="67">
        <v>40000</v>
      </c>
    </row>
    <row r="519" spans="1:11" ht="15.5" x14ac:dyDescent="0.35">
      <c r="A519" s="18" t="s">
        <v>196</v>
      </c>
      <c r="B519" s="67">
        <v>40000</v>
      </c>
    </row>
    <row r="520" spans="1:11" ht="15.5" x14ac:dyDescent="0.35">
      <c r="A520" s="18" t="s">
        <v>113</v>
      </c>
      <c r="B520" s="67">
        <v>40000</v>
      </c>
    </row>
    <row r="521" spans="1:11" ht="15.5" x14ac:dyDescent="0.35">
      <c r="A521" s="18" t="s">
        <v>209</v>
      </c>
      <c r="B521" s="67">
        <v>40000</v>
      </c>
    </row>
    <row r="522" spans="1:11" ht="15.5" x14ac:dyDescent="0.35">
      <c r="A522" s="18" t="s">
        <v>115</v>
      </c>
      <c r="B522" s="67">
        <v>60000</v>
      </c>
    </row>
    <row r="523" spans="1:11" ht="15.5" x14ac:dyDescent="0.35">
      <c r="A523" s="18" t="s">
        <v>109</v>
      </c>
      <c r="B523" s="67">
        <v>40000</v>
      </c>
    </row>
    <row r="524" spans="1:11" ht="15.5" x14ac:dyDescent="0.35">
      <c r="A524" s="24" t="s">
        <v>4</v>
      </c>
      <c r="B524" s="75">
        <f>SUM(B514:B523)</f>
        <v>440000</v>
      </c>
    </row>
    <row r="527" spans="1:11" ht="18.5" x14ac:dyDescent="0.45">
      <c r="A527" s="151" t="s">
        <v>1</v>
      </c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</row>
    <row r="528" spans="1:11" ht="18.5" x14ac:dyDescent="0.45">
      <c r="A528" s="150" t="s">
        <v>74</v>
      </c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</row>
    <row r="529" spans="1:11" ht="18.5" x14ac:dyDescent="0.45">
      <c r="A529" s="149" t="s">
        <v>360</v>
      </c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</row>
    <row r="530" spans="1:11" ht="18.5" x14ac:dyDescent="0.45">
      <c r="A530" s="150"/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</row>
    <row r="531" spans="1:11" ht="18.5" x14ac:dyDescent="0.45">
      <c r="A531" s="2" t="s">
        <v>75</v>
      </c>
      <c r="B531" s="2" t="s">
        <v>3</v>
      </c>
      <c r="C531" s="2" t="s">
        <v>100</v>
      </c>
      <c r="D531" s="2" t="s">
        <v>90</v>
      </c>
      <c r="E531" s="2" t="s">
        <v>91</v>
      </c>
      <c r="F531" s="2" t="s">
        <v>4</v>
      </c>
      <c r="G531" s="2" t="s">
        <v>101</v>
      </c>
      <c r="H531" s="2" t="s">
        <v>104</v>
      </c>
      <c r="I531" s="2"/>
      <c r="J531" s="2" t="s">
        <v>105</v>
      </c>
      <c r="K531" s="2" t="s">
        <v>106</v>
      </c>
    </row>
    <row r="532" spans="1:11" ht="15.5" x14ac:dyDescent="0.35">
      <c r="A532" s="3" t="s">
        <v>76</v>
      </c>
      <c r="B532" s="1"/>
      <c r="C532" s="20">
        <v>17500</v>
      </c>
      <c r="D532" s="1"/>
      <c r="E532" s="1"/>
      <c r="F532" s="20">
        <f>C532*B532</f>
        <v>0</v>
      </c>
      <c r="G532" s="20">
        <f>D532*C532</f>
        <v>0</v>
      </c>
      <c r="H532" s="20">
        <f>E532*C532</f>
        <v>0</v>
      </c>
      <c r="I532" s="20" t="b">
        <f>D532+E532=B532</f>
        <v>1</v>
      </c>
      <c r="J532" s="20">
        <f>B567</f>
        <v>440000</v>
      </c>
      <c r="K532" s="20"/>
    </row>
    <row r="533" spans="1:11" ht="15.5" x14ac:dyDescent="0.35">
      <c r="A533" s="3" t="s">
        <v>77</v>
      </c>
      <c r="B533" s="1"/>
      <c r="C533" s="20">
        <v>16000</v>
      </c>
      <c r="D533" s="1"/>
      <c r="E533" s="1"/>
      <c r="F533" s="20">
        <f t="shared" ref="F533:G544" si="60">C533*B533</f>
        <v>0</v>
      </c>
      <c r="G533" s="20">
        <f t="shared" si="60"/>
        <v>0</v>
      </c>
      <c r="H533" s="20">
        <f t="shared" ref="H533:H548" si="61">E533*C533</f>
        <v>0</v>
      </c>
      <c r="I533" s="20" t="b">
        <f t="shared" ref="I533:I548" si="62">D533+E533=B533</f>
        <v>1</v>
      </c>
      <c r="J533" s="20"/>
      <c r="K533" s="20"/>
    </row>
    <row r="534" spans="1:11" ht="15.5" x14ac:dyDescent="0.35">
      <c r="A534" s="3" t="s">
        <v>78</v>
      </c>
      <c r="B534" s="1"/>
      <c r="C534" s="20">
        <v>17500</v>
      </c>
      <c r="D534" s="1"/>
      <c r="E534" s="1"/>
      <c r="F534" s="20">
        <f t="shared" si="60"/>
        <v>0</v>
      </c>
      <c r="G534" s="20">
        <f t="shared" si="60"/>
        <v>0</v>
      </c>
      <c r="H534" s="20">
        <f t="shared" si="61"/>
        <v>0</v>
      </c>
      <c r="I534" s="20" t="b">
        <f t="shared" si="62"/>
        <v>1</v>
      </c>
      <c r="J534" s="20"/>
      <c r="K534" s="20"/>
    </row>
    <row r="535" spans="1:11" ht="15.5" x14ac:dyDescent="0.35">
      <c r="A535" s="3" t="s">
        <v>79</v>
      </c>
      <c r="B535" s="1"/>
      <c r="C535" s="20">
        <v>18500</v>
      </c>
      <c r="D535" s="1"/>
      <c r="E535" s="1"/>
      <c r="F535" s="20">
        <f t="shared" si="60"/>
        <v>0</v>
      </c>
      <c r="G535" s="20">
        <f t="shared" si="60"/>
        <v>0</v>
      </c>
      <c r="H535" s="20">
        <f t="shared" si="61"/>
        <v>0</v>
      </c>
      <c r="I535" s="20" t="b">
        <f t="shared" si="62"/>
        <v>1</v>
      </c>
      <c r="J535" s="20"/>
      <c r="K535" s="20"/>
    </row>
    <row r="536" spans="1:11" ht="15.5" x14ac:dyDescent="0.35">
      <c r="A536" s="3" t="s">
        <v>80</v>
      </c>
      <c r="B536" s="1"/>
      <c r="C536" s="20">
        <v>18500</v>
      </c>
      <c r="D536" s="1"/>
      <c r="E536" s="1"/>
      <c r="F536" s="20">
        <f t="shared" si="60"/>
        <v>0</v>
      </c>
      <c r="G536" s="20">
        <f t="shared" si="60"/>
        <v>0</v>
      </c>
      <c r="H536" s="20">
        <f t="shared" si="61"/>
        <v>0</v>
      </c>
      <c r="I536" s="20" t="b">
        <f t="shared" si="62"/>
        <v>1</v>
      </c>
      <c r="J536" s="20"/>
      <c r="K536" s="20"/>
    </row>
    <row r="537" spans="1:11" ht="15.5" x14ac:dyDescent="0.35">
      <c r="A537" s="3" t="s">
        <v>81</v>
      </c>
      <c r="B537" s="1"/>
      <c r="C537" s="20">
        <v>23000</v>
      </c>
      <c r="D537" s="1"/>
      <c r="E537" s="1"/>
      <c r="F537" s="20">
        <f t="shared" si="60"/>
        <v>0</v>
      </c>
      <c r="G537" s="20">
        <f t="shared" si="60"/>
        <v>0</v>
      </c>
      <c r="H537" s="20">
        <f t="shared" si="61"/>
        <v>0</v>
      </c>
      <c r="I537" s="20" t="b">
        <f t="shared" si="62"/>
        <v>1</v>
      </c>
      <c r="J537" s="20"/>
      <c r="K537" s="20"/>
    </row>
    <row r="538" spans="1:11" ht="15.5" x14ac:dyDescent="0.35">
      <c r="A538" s="3" t="s">
        <v>82</v>
      </c>
      <c r="B538" s="1"/>
      <c r="C538" s="20">
        <v>18000</v>
      </c>
      <c r="D538" s="1"/>
      <c r="E538" s="1"/>
      <c r="F538" s="20">
        <f t="shared" si="60"/>
        <v>0</v>
      </c>
      <c r="G538" s="20">
        <f t="shared" si="60"/>
        <v>0</v>
      </c>
      <c r="H538" s="20">
        <f t="shared" si="61"/>
        <v>0</v>
      </c>
      <c r="I538" s="20" t="b">
        <f t="shared" si="62"/>
        <v>1</v>
      </c>
      <c r="J538" s="20"/>
      <c r="K538" s="20"/>
    </row>
    <row r="539" spans="1:11" ht="15.5" x14ac:dyDescent="0.35">
      <c r="A539" s="3" t="s">
        <v>83</v>
      </c>
      <c r="B539" s="1"/>
      <c r="C539" s="20">
        <v>18000</v>
      </c>
      <c r="D539" s="1"/>
      <c r="E539" s="1"/>
      <c r="F539" s="20">
        <f t="shared" si="60"/>
        <v>0</v>
      </c>
      <c r="G539" s="20">
        <f t="shared" si="60"/>
        <v>0</v>
      </c>
      <c r="H539" s="20">
        <f t="shared" si="61"/>
        <v>0</v>
      </c>
      <c r="I539" s="20" t="b">
        <f t="shared" si="62"/>
        <v>1</v>
      </c>
      <c r="J539" s="20"/>
      <c r="K539" s="20"/>
    </row>
    <row r="540" spans="1:11" ht="15.5" x14ac:dyDescent="0.35">
      <c r="A540" s="3" t="s">
        <v>84</v>
      </c>
      <c r="B540" s="1"/>
      <c r="C540" s="20">
        <v>18500</v>
      </c>
      <c r="D540" s="1"/>
      <c r="E540" s="1"/>
      <c r="F540" s="20">
        <f t="shared" si="60"/>
        <v>0</v>
      </c>
      <c r="G540" s="20">
        <f t="shared" si="60"/>
        <v>0</v>
      </c>
      <c r="H540" s="20">
        <f t="shared" si="61"/>
        <v>0</v>
      </c>
      <c r="I540" s="20" t="b">
        <f t="shared" si="62"/>
        <v>1</v>
      </c>
      <c r="J540" s="20"/>
      <c r="K540" s="20"/>
    </row>
    <row r="541" spans="1:11" ht="15.5" x14ac:dyDescent="0.35">
      <c r="A541" s="3" t="s">
        <v>85</v>
      </c>
      <c r="B541" s="1"/>
      <c r="C541" s="20">
        <v>18500</v>
      </c>
      <c r="D541" s="1"/>
      <c r="E541" s="1"/>
      <c r="F541" s="20">
        <f t="shared" si="60"/>
        <v>0</v>
      </c>
      <c r="G541" s="20">
        <f t="shared" si="60"/>
        <v>0</v>
      </c>
      <c r="H541" s="20">
        <f t="shared" si="61"/>
        <v>0</v>
      </c>
      <c r="I541" s="20" t="b">
        <f t="shared" si="62"/>
        <v>1</v>
      </c>
      <c r="J541" s="20"/>
      <c r="K541" s="20"/>
    </row>
    <row r="542" spans="1:11" ht="15.5" x14ac:dyDescent="0.35">
      <c r="A542" s="3" t="s">
        <v>86</v>
      </c>
      <c r="B542" s="1"/>
      <c r="C542" s="20">
        <v>18500</v>
      </c>
      <c r="D542" s="1"/>
      <c r="E542" s="1"/>
      <c r="F542" s="20">
        <f t="shared" si="60"/>
        <v>0</v>
      </c>
      <c r="G542" s="20">
        <f t="shared" si="60"/>
        <v>0</v>
      </c>
      <c r="H542" s="20">
        <f t="shared" si="61"/>
        <v>0</v>
      </c>
      <c r="I542" s="20" t="b">
        <f t="shared" si="62"/>
        <v>1</v>
      </c>
      <c r="J542" s="20"/>
      <c r="K542" s="20"/>
    </row>
    <row r="543" spans="1:11" ht="15.5" x14ac:dyDescent="0.35">
      <c r="A543" s="3" t="s">
        <v>87</v>
      </c>
      <c r="B543" s="1"/>
      <c r="C543" s="20">
        <v>18500</v>
      </c>
      <c r="D543" s="1"/>
      <c r="E543" s="1"/>
      <c r="F543" s="20">
        <f t="shared" si="60"/>
        <v>0</v>
      </c>
      <c r="G543" s="20">
        <f t="shared" si="60"/>
        <v>0</v>
      </c>
      <c r="H543" s="20">
        <f t="shared" si="61"/>
        <v>0</v>
      </c>
      <c r="I543" s="20" t="b">
        <f t="shared" si="62"/>
        <v>1</v>
      </c>
      <c r="J543" s="20"/>
      <c r="K543" s="20"/>
    </row>
    <row r="544" spans="1:11" ht="15.5" x14ac:dyDescent="0.35">
      <c r="A544" s="3" t="s">
        <v>88</v>
      </c>
      <c r="B544" s="1"/>
      <c r="C544" s="20">
        <v>18500</v>
      </c>
      <c r="D544" s="1"/>
      <c r="E544" s="1"/>
      <c r="F544" s="20">
        <f t="shared" si="60"/>
        <v>0</v>
      </c>
      <c r="G544" s="20">
        <f t="shared" si="60"/>
        <v>0</v>
      </c>
      <c r="H544" s="20">
        <f t="shared" si="61"/>
        <v>0</v>
      </c>
      <c r="I544" s="20" t="b">
        <f t="shared" si="62"/>
        <v>1</v>
      </c>
      <c r="J544" s="20"/>
      <c r="K544" s="20"/>
    </row>
    <row r="545" spans="1:11" ht="15.5" x14ac:dyDescent="0.35">
      <c r="A545" s="19" t="s">
        <v>89</v>
      </c>
      <c r="B545" s="1"/>
      <c r="C545" s="20"/>
      <c r="D545" s="1"/>
      <c r="E545" s="1"/>
      <c r="F545" s="20"/>
      <c r="G545" s="20"/>
      <c r="H545" s="20">
        <f t="shared" si="61"/>
        <v>0</v>
      </c>
      <c r="I545" s="20" t="b">
        <f t="shared" si="62"/>
        <v>1</v>
      </c>
      <c r="J545" s="20"/>
      <c r="K545" s="20"/>
    </row>
    <row r="546" spans="1:11" ht="15.5" x14ac:dyDescent="0.35">
      <c r="A546" s="3" t="s">
        <v>92</v>
      </c>
      <c r="B546" s="1"/>
      <c r="C546" s="20">
        <v>21500</v>
      </c>
      <c r="D546" s="1"/>
      <c r="E546" s="1"/>
      <c r="F546" s="20">
        <f t="shared" ref="F546:G548" si="63">C546*B546</f>
        <v>0</v>
      </c>
      <c r="G546" s="20">
        <f t="shared" si="63"/>
        <v>0</v>
      </c>
      <c r="H546" s="20">
        <f t="shared" si="61"/>
        <v>0</v>
      </c>
      <c r="I546" s="20" t="b">
        <f t="shared" si="62"/>
        <v>1</v>
      </c>
      <c r="J546" s="20"/>
      <c r="K546" s="20"/>
    </row>
    <row r="547" spans="1:11" ht="15.5" x14ac:dyDescent="0.35">
      <c r="A547" s="3" t="s">
        <v>93</v>
      </c>
      <c r="B547" s="1"/>
      <c r="C547" s="20">
        <v>21500</v>
      </c>
      <c r="D547" s="1"/>
      <c r="E547" s="1"/>
      <c r="F547" s="20">
        <f t="shared" si="63"/>
        <v>0</v>
      </c>
      <c r="G547" s="20">
        <f t="shared" si="63"/>
        <v>0</v>
      </c>
      <c r="H547" s="20">
        <f t="shared" si="61"/>
        <v>0</v>
      </c>
      <c r="I547" s="20" t="b">
        <f t="shared" si="62"/>
        <v>1</v>
      </c>
      <c r="J547" s="20"/>
      <c r="K547" s="20"/>
    </row>
    <row r="548" spans="1:11" ht="15.5" x14ac:dyDescent="0.35">
      <c r="A548" s="3" t="s">
        <v>94</v>
      </c>
      <c r="B548" s="1"/>
      <c r="C548" s="20">
        <v>21500</v>
      </c>
      <c r="D548" s="1"/>
      <c r="E548" s="1"/>
      <c r="F548" s="20">
        <f t="shared" si="63"/>
        <v>0</v>
      </c>
      <c r="G548" s="20">
        <f t="shared" si="63"/>
        <v>0</v>
      </c>
      <c r="H548" s="20">
        <f t="shared" si="61"/>
        <v>0</v>
      </c>
      <c r="I548" s="20" t="b">
        <f t="shared" si="62"/>
        <v>1</v>
      </c>
      <c r="J548" s="20"/>
      <c r="K548" s="20"/>
    </row>
    <row r="549" spans="1:11" ht="15.5" x14ac:dyDescent="0.35">
      <c r="A549" s="19"/>
      <c r="B549" s="22">
        <f>SUM(B532:B548)</f>
        <v>0</v>
      </c>
      <c r="C549" s="20"/>
      <c r="D549" s="1"/>
      <c r="E549" s="1"/>
      <c r="F549" s="23">
        <f>SUM(F532:F548)</f>
        <v>0</v>
      </c>
      <c r="G549" s="23">
        <f>SUM(G532:G548)</f>
        <v>0</v>
      </c>
      <c r="H549" s="23">
        <f>SUM(H532:H548)</f>
        <v>0</v>
      </c>
      <c r="I549" s="23"/>
      <c r="J549" s="23">
        <f>SUM(J532:J548)</f>
        <v>440000</v>
      </c>
      <c r="K549" s="23">
        <f>H549-J549</f>
        <v>-440000</v>
      </c>
    </row>
    <row r="550" spans="1:11" ht="15.5" x14ac:dyDescent="0.35">
      <c r="A550" s="19" t="s">
        <v>95</v>
      </c>
      <c r="B550" s="1"/>
      <c r="C550" s="20"/>
      <c r="D550" s="1"/>
      <c r="E550" s="1"/>
      <c r="F550" s="20"/>
      <c r="G550" s="20"/>
      <c r="H550" s="20" t="s">
        <v>192</v>
      </c>
      <c r="I550" s="20"/>
      <c r="J550" s="20"/>
      <c r="K550" s="20"/>
    </row>
    <row r="551" spans="1:11" ht="15.5" x14ac:dyDescent="0.35">
      <c r="A551" s="3" t="s">
        <v>96</v>
      </c>
      <c r="B551" s="1"/>
      <c r="C551" s="20">
        <v>3000</v>
      </c>
      <c r="D551" s="1"/>
      <c r="E551" s="20"/>
      <c r="F551" s="20">
        <f t="shared" ref="F551:F554" si="64">C551*B551</f>
        <v>0</v>
      </c>
      <c r="G551" s="20"/>
      <c r="H551" s="20"/>
      <c r="I551" s="20"/>
      <c r="J551" s="20"/>
      <c r="K551" s="20"/>
    </row>
    <row r="552" spans="1:11" ht="15.5" x14ac:dyDescent="0.35">
      <c r="A552" s="3" t="s">
        <v>97</v>
      </c>
      <c r="B552" s="1"/>
      <c r="C552" s="20">
        <v>2500</v>
      </c>
      <c r="D552" s="1"/>
      <c r="E552" s="1"/>
      <c r="F552" s="20">
        <f t="shared" si="64"/>
        <v>0</v>
      </c>
      <c r="G552" s="20"/>
      <c r="H552" s="20"/>
      <c r="I552" s="20"/>
      <c r="J552" s="20"/>
      <c r="K552" s="20"/>
    </row>
    <row r="553" spans="1:11" ht="15.5" x14ac:dyDescent="0.35">
      <c r="A553" s="3" t="s">
        <v>98</v>
      </c>
      <c r="B553" s="1"/>
      <c r="C553" s="20">
        <v>1800</v>
      </c>
      <c r="D553" s="1"/>
      <c r="E553" s="1"/>
      <c r="F553" s="20">
        <f t="shared" si="64"/>
        <v>0</v>
      </c>
      <c r="G553" s="20"/>
      <c r="H553" s="20"/>
      <c r="I553" s="20"/>
      <c r="J553" s="20"/>
      <c r="K553" s="20"/>
    </row>
    <row r="554" spans="1:11" ht="15.5" x14ac:dyDescent="0.35">
      <c r="A554" s="3" t="s">
        <v>99</v>
      </c>
      <c r="B554" s="1"/>
      <c r="C554" s="20">
        <v>3500</v>
      </c>
      <c r="D554" s="1"/>
      <c r="E554" s="1"/>
      <c r="F554" s="20">
        <f t="shared" si="64"/>
        <v>0</v>
      </c>
      <c r="G554" s="20"/>
      <c r="H554" s="20"/>
      <c r="I554" s="20"/>
      <c r="J554" s="20"/>
      <c r="K554" s="20"/>
    </row>
    <row r="555" spans="1:11" ht="15.5" x14ac:dyDescent="0.35">
      <c r="A555" s="18"/>
      <c r="F555" s="21"/>
    </row>
    <row r="556" spans="1:11" ht="15.5" x14ac:dyDescent="0.35">
      <c r="A556" s="24" t="s">
        <v>108</v>
      </c>
      <c r="K556" s="21"/>
    </row>
    <row r="557" spans="1:11" ht="15.5" x14ac:dyDescent="0.35">
      <c r="A557" s="18" t="s">
        <v>114</v>
      </c>
      <c r="B557" s="67">
        <v>40000</v>
      </c>
    </row>
    <row r="558" spans="1:11" ht="15.5" x14ac:dyDescent="0.35">
      <c r="A558" s="18" t="s">
        <v>112</v>
      </c>
      <c r="B558" s="67">
        <v>40000</v>
      </c>
    </row>
    <row r="559" spans="1:11" ht="15.5" x14ac:dyDescent="0.35">
      <c r="A559" s="18" t="s">
        <v>309</v>
      </c>
      <c r="B559" s="67">
        <v>60000</v>
      </c>
    </row>
    <row r="560" spans="1:11" ht="15.5" x14ac:dyDescent="0.35">
      <c r="A560" s="18" t="s">
        <v>110</v>
      </c>
      <c r="B560" s="67">
        <v>40000</v>
      </c>
    </row>
    <row r="561" spans="1:11" ht="15.5" x14ac:dyDescent="0.35">
      <c r="A561" s="18" t="s">
        <v>111</v>
      </c>
      <c r="B561" s="67">
        <v>40000</v>
      </c>
    </row>
    <row r="562" spans="1:11" ht="15.5" x14ac:dyDescent="0.35">
      <c r="A562" s="18" t="s">
        <v>196</v>
      </c>
      <c r="B562" s="67">
        <v>40000</v>
      </c>
    </row>
    <row r="563" spans="1:11" ht="15.5" x14ac:dyDescent="0.35">
      <c r="A563" s="18" t="s">
        <v>113</v>
      </c>
      <c r="B563" s="67">
        <v>40000</v>
      </c>
    </row>
    <row r="564" spans="1:11" ht="15.5" x14ac:dyDescent="0.35">
      <c r="A564" s="18" t="s">
        <v>209</v>
      </c>
      <c r="B564" s="67">
        <v>40000</v>
      </c>
    </row>
    <row r="565" spans="1:11" ht="15.5" x14ac:dyDescent="0.35">
      <c r="A565" s="18" t="s">
        <v>115</v>
      </c>
      <c r="B565" s="67">
        <v>60000</v>
      </c>
    </row>
    <row r="566" spans="1:11" ht="15.5" x14ac:dyDescent="0.35">
      <c r="A566" s="18" t="s">
        <v>109</v>
      </c>
      <c r="B566" s="67">
        <v>40000</v>
      </c>
    </row>
    <row r="567" spans="1:11" ht="15.5" x14ac:dyDescent="0.35">
      <c r="A567" s="24" t="s">
        <v>4</v>
      </c>
      <c r="B567" s="75">
        <f>SUM(B557:B566)</f>
        <v>440000</v>
      </c>
    </row>
    <row r="568" spans="1:11" ht="15.5" x14ac:dyDescent="0.35">
      <c r="A568" s="24" t="s">
        <v>4</v>
      </c>
      <c r="B568" s="17">
        <f>SUM(B557:B567)</f>
        <v>880000</v>
      </c>
    </row>
    <row r="571" spans="1:11" ht="18.5" x14ac:dyDescent="0.45">
      <c r="A571" s="151" t="s">
        <v>1</v>
      </c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</row>
    <row r="572" spans="1:11" ht="18.5" x14ac:dyDescent="0.45">
      <c r="A572" s="150" t="s">
        <v>74</v>
      </c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</row>
    <row r="573" spans="1:11" ht="18.5" x14ac:dyDescent="0.45">
      <c r="A573" s="149" t="s">
        <v>360</v>
      </c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</row>
    <row r="574" spans="1:11" ht="18.5" x14ac:dyDescent="0.45">
      <c r="A574" s="150"/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</row>
    <row r="575" spans="1:11" ht="18.5" x14ac:dyDescent="0.45">
      <c r="A575" s="2" t="s">
        <v>75</v>
      </c>
      <c r="B575" s="2" t="s">
        <v>3</v>
      </c>
      <c r="C575" s="2" t="s">
        <v>100</v>
      </c>
      <c r="D575" s="2" t="s">
        <v>90</v>
      </c>
      <c r="E575" s="2" t="s">
        <v>91</v>
      </c>
      <c r="F575" s="2" t="s">
        <v>4</v>
      </c>
      <c r="G575" s="2" t="s">
        <v>101</v>
      </c>
      <c r="H575" s="2" t="s">
        <v>104</v>
      </c>
      <c r="I575" s="2"/>
      <c r="J575" s="2" t="s">
        <v>105</v>
      </c>
      <c r="K575" s="2" t="s">
        <v>106</v>
      </c>
    </row>
    <row r="576" spans="1:11" ht="15.5" x14ac:dyDescent="0.35">
      <c r="A576" s="3" t="s">
        <v>76</v>
      </c>
      <c r="B576" s="1"/>
      <c r="C576" s="20">
        <v>17500</v>
      </c>
      <c r="D576" s="1"/>
      <c r="E576" s="1"/>
      <c r="F576" s="20">
        <f>C576*B576</f>
        <v>0</v>
      </c>
      <c r="G576" s="20">
        <f>D576*C576</f>
        <v>0</v>
      </c>
      <c r="H576" s="20">
        <f>E576*C576</f>
        <v>0</v>
      </c>
      <c r="I576" s="20" t="b">
        <f>D576+E576=B576</f>
        <v>1</v>
      </c>
      <c r="J576" s="20">
        <f>B611</f>
        <v>440000</v>
      </c>
      <c r="K576" s="20"/>
    </row>
    <row r="577" spans="1:11" ht="15.5" x14ac:dyDescent="0.35">
      <c r="A577" s="3" t="s">
        <v>77</v>
      </c>
      <c r="B577" s="1"/>
      <c r="C577" s="20">
        <v>16000</v>
      </c>
      <c r="D577" s="1"/>
      <c r="E577" s="1"/>
      <c r="F577" s="20">
        <f t="shared" ref="F577:G588" si="65">C577*B577</f>
        <v>0</v>
      </c>
      <c r="G577" s="20">
        <f t="shared" si="65"/>
        <v>0</v>
      </c>
      <c r="H577" s="20">
        <f t="shared" ref="H577:H592" si="66">E577*C577</f>
        <v>0</v>
      </c>
      <c r="I577" s="20" t="b">
        <f t="shared" ref="I577:I592" si="67">D577+E577=B577</f>
        <v>1</v>
      </c>
      <c r="J577" s="20"/>
      <c r="K577" s="20"/>
    </row>
    <row r="578" spans="1:11" ht="15.5" x14ac:dyDescent="0.35">
      <c r="A578" s="3" t="s">
        <v>78</v>
      </c>
      <c r="B578" s="1"/>
      <c r="C578" s="20">
        <v>17500</v>
      </c>
      <c r="D578" s="1"/>
      <c r="E578" s="1"/>
      <c r="F578" s="20">
        <f t="shared" si="65"/>
        <v>0</v>
      </c>
      <c r="G578" s="20">
        <f t="shared" si="65"/>
        <v>0</v>
      </c>
      <c r="H578" s="20">
        <f t="shared" si="66"/>
        <v>0</v>
      </c>
      <c r="I578" s="20" t="b">
        <f t="shared" si="67"/>
        <v>1</v>
      </c>
      <c r="J578" s="20"/>
      <c r="K578" s="20"/>
    </row>
    <row r="579" spans="1:11" ht="15.5" x14ac:dyDescent="0.35">
      <c r="A579" s="3" t="s">
        <v>79</v>
      </c>
      <c r="B579" s="1"/>
      <c r="C579" s="20">
        <v>18500</v>
      </c>
      <c r="D579" s="1"/>
      <c r="E579" s="1"/>
      <c r="F579" s="20">
        <f t="shared" si="65"/>
        <v>0</v>
      </c>
      <c r="G579" s="20">
        <f t="shared" si="65"/>
        <v>0</v>
      </c>
      <c r="H579" s="20">
        <f t="shared" si="66"/>
        <v>0</v>
      </c>
      <c r="I579" s="20" t="b">
        <f t="shared" si="67"/>
        <v>1</v>
      </c>
      <c r="J579" s="20"/>
      <c r="K579" s="20"/>
    </row>
    <row r="580" spans="1:11" ht="15.5" x14ac:dyDescent="0.35">
      <c r="A580" s="3" t="s">
        <v>80</v>
      </c>
      <c r="B580" s="1"/>
      <c r="C580" s="20">
        <v>18500</v>
      </c>
      <c r="D580" s="1"/>
      <c r="E580" s="1"/>
      <c r="F580" s="20">
        <f t="shared" si="65"/>
        <v>0</v>
      </c>
      <c r="G580" s="20">
        <f t="shared" si="65"/>
        <v>0</v>
      </c>
      <c r="H580" s="20">
        <f t="shared" si="66"/>
        <v>0</v>
      </c>
      <c r="I580" s="20" t="b">
        <f t="shared" si="67"/>
        <v>1</v>
      </c>
      <c r="J580" s="20"/>
      <c r="K580" s="20"/>
    </row>
    <row r="581" spans="1:11" ht="15.5" x14ac:dyDescent="0.35">
      <c r="A581" s="3" t="s">
        <v>81</v>
      </c>
      <c r="B581" s="1"/>
      <c r="C581" s="20">
        <v>23000</v>
      </c>
      <c r="D581" s="1"/>
      <c r="E581" s="1"/>
      <c r="F581" s="20">
        <f t="shared" si="65"/>
        <v>0</v>
      </c>
      <c r="G581" s="20">
        <f t="shared" si="65"/>
        <v>0</v>
      </c>
      <c r="H581" s="20">
        <f t="shared" si="66"/>
        <v>0</v>
      </c>
      <c r="I581" s="20" t="b">
        <f t="shared" si="67"/>
        <v>1</v>
      </c>
      <c r="J581" s="20"/>
      <c r="K581" s="20"/>
    </row>
    <row r="582" spans="1:11" ht="15.5" x14ac:dyDescent="0.35">
      <c r="A582" s="3" t="s">
        <v>82</v>
      </c>
      <c r="B582" s="1"/>
      <c r="C582" s="20">
        <v>18000</v>
      </c>
      <c r="D582" s="1"/>
      <c r="E582" s="1"/>
      <c r="F582" s="20">
        <f t="shared" si="65"/>
        <v>0</v>
      </c>
      <c r="G582" s="20">
        <f t="shared" si="65"/>
        <v>0</v>
      </c>
      <c r="H582" s="20">
        <f t="shared" si="66"/>
        <v>0</v>
      </c>
      <c r="I582" s="20" t="b">
        <f t="shared" si="67"/>
        <v>1</v>
      </c>
      <c r="J582" s="20"/>
      <c r="K582" s="20"/>
    </row>
    <row r="583" spans="1:11" ht="15.5" x14ac:dyDescent="0.35">
      <c r="A583" s="3" t="s">
        <v>83</v>
      </c>
      <c r="B583" s="1"/>
      <c r="C583" s="20">
        <v>18000</v>
      </c>
      <c r="D583" s="1"/>
      <c r="E583" s="1"/>
      <c r="F583" s="20">
        <f t="shared" si="65"/>
        <v>0</v>
      </c>
      <c r="G583" s="20">
        <f t="shared" si="65"/>
        <v>0</v>
      </c>
      <c r="H583" s="20">
        <f t="shared" si="66"/>
        <v>0</v>
      </c>
      <c r="I583" s="20" t="b">
        <f t="shared" si="67"/>
        <v>1</v>
      </c>
      <c r="J583" s="20"/>
      <c r="K583" s="20"/>
    </row>
    <row r="584" spans="1:11" ht="15.5" x14ac:dyDescent="0.35">
      <c r="A584" s="3" t="s">
        <v>84</v>
      </c>
      <c r="B584" s="1"/>
      <c r="C584" s="20">
        <v>18500</v>
      </c>
      <c r="D584" s="1"/>
      <c r="E584" s="1"/>
      <c r="F584" s="20">
        <f t="shared" si="65"/>
        <v>0</v>
      </c>
      <c r="G584" s="20">
        <f t="shared" si="65"/>
        <v>0</v>
      </c>
      <c r="H584" s="20">
        <f t="shared" si="66"/>
        <v>0</v>
      </c>
      <c r="I584" s="20" t="b">
        <f t="shared" si="67"/>
        <v>1</v>
      </c>
      <c r="J584" s="20"/>
      <c r="K584" s="20"/>
    </row>
    <row r="585" spans="1:11" ht="15.5" x14ac:dyDescent="0.35">
      <c r="A585" s="3" t="s">
        <v>85</v>
      </c>
      <c r="B585" s="1"/>
      <c r="C585" s="20">
        <v>18500</v>
      </c>
      <c r="D585" s="1"/>
      <c r="E585" s="1"/>
      <c r="F585" s="20">
        <f t="shared" si="65"/>
        <v>0</v>
      </c>
      <c r="G585" s="20">
        <f t="shared" si="65"/>
        <v>0</v>
      </c>
      <c r="H585" s="20">
        <f t="shared" si="66"/>
        <v>0</v>
      </c>
      <c r="I585" s="20" t="b">
        <f t="shared" si="67"/>
        <v>1</v>
      </c>
      <c r="J585" s="20"/>
      <c r="K585" s="20"/>
    </row>
    <row r="586" spans="1:11" ht="15.5" x14ac:dyDescent="0.35">
      <c r="A586" s="3" t="s">
        <v>86</v>
      </c>
      <c r="B586" s="1"/>
      <c r="C586" s="20">
        <v>18500</v>
      </c>
      <c r="D586" s="1"/>
      <c r="E586" s="1"/>
      <c r="F586" s="20">
        <f t="shared" si="65"/>
        <v>0</v>
      </c>
      <c r="G586" s="20">
        <f t="shared" si="65"/>
        <v>0</v>
      </c>
      <c r="H586" s="20">
        <f t="shared" si="66"/>
        <v>0</v>
      </c>
      <c r="I586" s="20" t="b">
        <f t="shared" si="67"/>
        <v>1</v>
      </c>
      <c r="J586" s="20"/>
      <c r="K586" s="20"/>
    </row>
    <row r="587" spans="1:11" ht="15.5" x14ac:dyDescent="0.35">
      <c r="A587" s="3" t="s">
        <v>87</v>
      </c>
      <c r="B587" s="1"/>
      <c r="C587" s="20">
        <v>18500</v>
      </c>
      <c r="D587" s="1"/>
      <c r="E587" s="1"/>
      <c r="F587" s="20">
        <f t="shared" si="65"/>
        <v>0</v>
      </c>
      <c r="G587" s="20">
        <f t="shared" si="65"/>
        <v>0</v>
      </c>
      <c r="H587" s="20">
        <f t="shared" si="66"/>
        <v>0</v>
      </c>
      <c r="I587" s="20" t="b">
        <f t="shared" si="67"/>
        <v>1</v>
      </c>
      <c r="J587" s="20"/>
      <c r="K587" s="20"/>
    </row>
    <row r="588" spans="1:11" ht="15.5" x14ac:dyDescent="0.35">
      <c r="A588" s="3" t="s">
        <v>88</v>
      </c>
      <c r="B588" s="1"/>
      <c r="C588" s="20">
        <v>18500</v>
      </c>
      <c r="D588" s="1"/>
      <c r="E588" s="1"/>
      <c r="F588" s="20">
        <f t="shared" si="65"/>
        <v>0</v>
      </c>
      <c r="G588" s="20">
        <f t="shared" si="65"/>
        <v>0</v>
      </c>
      <c r="H588" s="20">
        <f t="shared" si="66"/>
        <v>0</v>
      </c>
      <c r="I588" s="20" t="b">
        <f t="shared" si="67"/>
        <v>1</v>
      </c>
      <c r="J588" s="20"/>
      <c r="K588" s="20"/>
    </row>
    <row r="589" spans="1:11" ht="15.5" x14ac:dyDescent="0.35">
      <c r="A589" s="19" t="s">
        <v>89</v>
      </c>
      <c r="B589" s="1"/>
      <c r="C589" s="20"/>
      <c r="D589" s="1"/>
      <c r="E589" s="1"/>
      <c r="F589" s="20"/>
      <c r="G589" s="20"/>
      <c r="H589" s="20">
        <f t="shared" si="66"/>
        <v>0</v>
      </c>
      <c r="I589" s="20" t="b">
        <f t="shared" si="67"/>
        <v>1</v>
      </c>
      <c r="J589" s="20"/>
      <c r="K589" s="20"/>
    </row>
    <row r="590" spans="1:11" ht="15.5" x14ac:dyDescent="0.35">
      <c r="A590" s="3" t="s">
        <v>92</v>
      </c>
      <c r="B590" s="1"/>
      <c r="C590" s="20">
        <v>21500</v>
      </c>
      <c r="D590" s="1"/>
      <c r="E590" s="1"/>
      <c r="F590" s="20">
        <f t="shared" ref="F590:G592" si="68">C590*B590</f>
        <v>0</v>
      </c>
      <c r="G590" s="20">
        <f t="shared" si="68"/>
        <v>0</v>
      </c>
      <c r="H590" s="20">
        <f t="shared" si="66"/>
        <v>0</v>
      </c>
      <c r="I590" s="20" t="b">
        <f t="shared" si="67"/>
        <v>1</v>
      </c>
      <c r="J590" s="20"/>
      <c r="K590" s="20"/>
    </row>
    <row r="591" spans="1:11" ht="15.5" x14ac:dyDescent="0.35">
      <c r="A591" s="3" t="s">
        <v>93</v>
      </c>
      <c r="B591" s="1"/>
      <c r="C591" s="20">
        <v>21500</v>
      </c>
      <c r="D591" s="1"/>
      <c r="E591" s="1"/>
      <c r="F591" s="20">
        <f t="shared" si="68"/>
        <v>0</v>
      </c>
      <c r="G591" s="20">
        <f t="shared" si="68"/>
        <v>0</v>
      </c>
      <c r="H591" s="20">
        <f t="shared" si="66"/>
        <v>0</v>
      </c>
      <c r="I591" s="20" t="b">
        <f t="shared" si="67"/>
        <v>1</v>
      </c>
      <c r="J591" s="20"/>
      <c r="K591" s="20"/>
    </row>
    <row r="592" spans="1:11" ht="15.5" x14ac:dyDescent="0.35">
      <c r="A592" s="3" t="s">
        <v>94</v>
      </c>
      <c r="B592" s="1"/>
      <c r="C592" s="20">
        <v>21500</v>
      </c>
      <c r="D592" s="1"/>
      <c r="E592" s="1"/>
      <c r="F592" s="20">
        <f t="shared" si="68"/>
        <v>0</v>
      </c>
      <c r="G592" s="20">
        <f t="shared" si="68"/>
        <v>0</v>
      </c>
      <c r="H592" s="20">
        <f t="shared" si="66"/>
        <v>0</v>
      </c>
      <c r="I592" s="20" t="b">
        <f t="shared" si="67"/>
        <v>1</v>
      </c>
      <c r="J592" s="20"/>
      <c r="K592" s="20"/>
    </row>
    <row r="593" spans="1:11" ht="15.5" x14ac:dyDescent="0.35">
      <c r="A593" s="19"/>
      <c r="B593" s="22">
        <f>SUM(B576:B592)</f>
        <v>0</v>
      </c>
      <c r="C593" s="20"/>
      <c r="D593" s="1"/>
      <c r="E593" s="1"/>
      <c r="F593" s="23">
        <f>SUM(F576:F592)</f>
        <v>0</v>
      </c>
      <c r="G593" s="23">
        <f>SUM(G576:G592)</f>
        <v>0</v>
      </c>
      <c r="H593" s="23">
        <f>SUM(H576:H592)</f>
        <v>0</v>
      </c>
      <c r="I593" s="23"/>
      <c r="J593" s="23">
        <f>SUM(J576:J592)</f>
        <v>440000</v>
      </c>
      <c r="K593" s="23">
        <f>H593-J593</f>
        <v>-440000</v>
      </c>
    </row>
    <row r="594" spans="1:11" ht="15.5" x14ac:dyDescent="0.35">
      <c r="A594" s="19" t="s">
        <v>95</v>
      </c>
      <c r="B594" s="1"/>
      <c r="C594" s="20"/>
      <c r="D594" s="1"/>
      <c r="E594" s="1"/>
      <c r="F594" s="20"/>
      <c r="G594" s="20"/>
      <c r="H594" s="20" t="s">
        <v>192</v>
      </c>
      <c r="I594" s="20"/>
      <c r="J594" s="20"/>
      <c r="K594" s="20"/>
    </row>
    <row r="595" spans="1:11" ht="15.5" x14ac:dyDescent="0.35">
      <c r="A595" s="3" t="s">
        <v>96</v>
      </c>
      <c r="B595" s="1"/>
      <c r="C595" s="20">
        <v>3000</v>
      </c>
      <c r="D595" s="1"/>
      <c r="E595" s="20"/>
      <c r="F595" s="20">
        <f t="shared" ref="F595:F598" si="69">C595*B595</f>
        <v>0</v>
      </c>
      <c r="G595" s="20"/>
      <c r="H595" s="20"/>
      <c r="I595" s="20"/>
      <c r="J595" s="20"/>
      <c r="K595" s="20"/>
    </row>
    <row r="596" spans="1:11" ht="15.5" x14ac:dyDescent="0.35">
      <c r="A596" s="3" t="s">
        <v>97</v>
      </c>
      <c r="B596" s="1"/>
      <c r="C596" s="20">
        <v>2500</v>
      </c>
      <c r="D596" s="1"/>
      <c r="E596" s="1"/>
      <c r="F596" s="20">
        <f t="shared" si="69"/>
        <v>0</v>
      </c>
      <c r="G596" s="20"/>
      <c r="H596" s="20"/>
      <c r="I596" s="20"/>
      <c r="J596" s="20"/>
      <c r="K596" s="20"/>
    </row>
    <row r="597" spans="1:11" ht="15.5" x14ac:dyDescent="0.35">
      <c r="A597" s="3" t="s">
        <v>98</v>
      </c>
      <c r="B597" s="1"/>
      <c r="C597" s="20">
        <v>1800</v>
      </c>
      <c r="D597" s="1"/>
      <c r="E597" s="1"/>
      <c r="F597" s="20">
        <f t="shared" si="69"/>
        <v>0</v>
      </c>
      <c r="G597" s="20"/>
      <c r="H597" s="20"/>
      <c r="I597" s="20"/>
      <c r="J597" s="20"/>
      <c r="K597" s="20"/>
    </row>
    <row r="598" spans="1:11" ht="15.5" x14ac:dyDescent="0.35">
      <c r="A598" s="3" t="s">
        <v>99</v>
      </c>
      <c r="B598" s="1"/>
      <c r="C598" s="20">
        <v>3500</v>
      </c>
      <c r="D598" s="1"/>
      <c r="E598" s="1"/>
      <c r="F598" s="20">
        <f t="shared" si="69"/>
        <v>0</v>
      </c>
      <c r="G598" s="20"/>
      <c r="H598" s="20"/>
      <c r="I598" s="20"/>
      <c r="J598" s="20"/>
      <c r="K598" s="20"/>
    </row>
    <row r="599" spans="1:11" ht="15.5" x14ac:dyDescent="0.35">
      <c r="A599" s="18"/>
      <c r="F599" s="21"/>
    </row>
    <row r="600" spans="1:11" ht="15.5" x14ac:dyDescent="0.35">
      <c r="A600" s="24" t="s">
        <v>108</v>
      </c>
      <c r="K600" s="21"/>
    </row>
    <row r="601" spans="1:11" ht="15.5" x14ac:dyDescent="0.35">
      <c r="A601" s="18" t="s">
        <v>114</v>
      </c>
      <c r="B601" s="67">
        <v>40000</v>
      </c>
    </row>
    <row r="602" spans="1:11" ht="15.5" x14ac:dyDescent="0.35">
      <c r="A602" s="18" t="s">
        <v>112</v>
      </c>
      <c r="B602" s="67">
        <v>40000</v>
      </c>
    </row>
    <row r="603" spans="1:11" ht="15.5" x14ac:dyDescent="0.35">
      <c r="A603" s="18" t="s">
        <v>309</v>
      </c>
      <c r="B603" s="67">
        <v>60000</v>
      </c>
    </row>
    <row r="604" spans="1:11" ht="15.5" x14ac:dyDescent="0.35">
      <c r="A604" s="18" t="s">
        <v>110</v>
      </c>
      <c r="B604" s="67">
        <v>40000</v>
      </c>
    </row>
    <row r="605" spans="1:11" ht="15.5" x14ac:dyDescent="0.35">
      <c r="A605" s="18" t="s">
        <v>111</v>
      </c>
      <c r="B605" s="67">
        <v>40000</v>
      </c>
    </row>
    <row r="606" spans="1:11" ht="15.5" x14ac:dyDescent="0.35">
      <c r="A606" s="18" t="s">
        <v>196</v>
      </c>
      <c r="B606" s="67">
        <v>40000</v>
      </c>
    </row>
    <row r="607" spans="1:11" ht="15.5" x14ac:dyDescent="0.35">
      <c r="A607" s="18" t="s">
        <v>113</v>
      </c>
      <c r="B607" s="67">
        <v>40000</v>
      </c>
    </row>
    <row r="608" spans="1:11" ht="15.5" x14ac:dyDescent="0.35">
      <c r="A608" s="18" t="s">
        <v>209</v>
      </c>
      <c r="B608" s="67">
        <v>40000</v>
      </c>
    </row>
    <row r="609" spans="1:11" ht="15.5" x14ac:dyDescent="0.35">
      <c r="A609" s="18" t="s">
        <v>115</v>
      </c>
      <c r="B609" s="67">
        <v>60000</v>
      </c>
    </row>
    <row r="610" spans="1:11" ht="15.5" x14ac:dyDescent="0.35">
      <c r="A610" s="18" t="s">
        <v>109</v>
      </c>
      <c r="B610" s="67">
        <v>40000</v>
      </c>
    </row>
    <row r="611" spans="1:11" ht="15.5" x14ac:dyDescent="0.35">
      <c r="A611" s="24" t="s">
        <v>4</v>
      </c>
      <c r="B611" s="75">
        <f>SUM(B601:B610)</f>
        <v>440000</v>
      </c>
    </row>
    <row r="612" spans="1:11" ht="15.5" x14ac:dyDescent="0.35">
      <c r="A612" s="24" t="s">
        <v>4</v>
      </c>
      <c r="B612" s="17">
        <f>SUM(B601:B611)</f>
        <v>880000</v>
      </c>
    </row>
    <row r="615" spans="1:11" ht="18.5" x14ac:dyDescent="0.45">
      <c r="A615" s="151" t="s">
        <v>1</v>
      </c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</row>
    <row r="616" spans="1:11" ht="18.5" x14ac:dyDescent="0.45">
      <c r="A616" s="150" t="s">
        <v>74</v>
      </c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</row>
    <row r="617" spans="1:11" ht="18.5" x14ac:dyDescent="0.45">
      <c r="A617" s="149" t="s">
        <v>360</v>
      </c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</row>
    <row r="618" spans="1:11" ht="18.5" x14ac:dyDescent="0.45">
      <c r="A618" s="150"/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</row>
    <row r="619" spans="1:11" ht="18.5" x14ac:dyDescent="0.45">
      <c r="A619" s="2" t="s">
        <v>75</v>
      </c>
      <c r="B619" s="2" t="s">
        <v>3</v>
      </c>
      <c r="C619" s="2" t="s">
        <v>100</v>
      </c>
      <c r="D619" s="2" t="s">
        <v>90</v>
      </c>
      <c r="E619" s="2" t="s">
        <v>91</v>
      </c>
      <c r="F619" s="2" t="s">
        <v>4</v>
      </c>
      <c r="G619" s="2" t="s">
        <v>101</v>
      </c>
      <c r="H619" s="2" t="s">
        <v>104</v>
      </c>
      <c r="I619" s="2"/>
      <c r="J619" s="2" t="s">
        <v>105</v>
      </c>
      <c r="K619" s="2" t="s">
        <v>106</v>
      </c>
    </row>
    <row r="620" spans="1:11" ht="15.5" x14ac:dyDescent="0.35">
      <c r="A620" s="3" t="s">
        <v>76</v>
      </c>
      <c r="B620" s="1"/>
      <c r="C620" s="20">
        <v>17500</v>
      </c>
      <c r="D620" s="1"/>
      <c r="E620" s="1"/>
      <c r="F620" s="20">
        <f>C620*B620</f>
        <v>0</v>
      </c>
      <c r="G620" s="20">
        <f>D620*C620</f>
        <v>0</v>
      </c>
      <c r="H620" s="20">
        <f>E620*C620</f>
        <v>0</v>
      </c>
      <c r="I620" s="20" t="b">
        <f>D620+E620=B620</f>
        <v>1</v>
      </c>
      <c r="J620" s="20">
        <f>B655</f>
        <v>440000</v>
      </c>
      <c r="K620" s="20"/>
    </row>
    <row r="621" spans="1:11" ht="15.5" x14ac:dyDescent="0.35">
      <c r="A621" s="3" t="s">
        <v>77</v>
      </c>
      <c r="B621" s="1"/>
      <c r="C621" s="20">
        <v>16000</v>
      </c>
      <c r="D621" s="1"/>
      <c r="E621" s="1"/>
      <c r="F621" s="20">
        <f t="shared" ref="F621:G632" si="70">C621*B621</f>
        <v>0</v>
      </c>
      <c r="G621" s="20">
        <f t="shared" si="70"/>
        <v>0</v>
      </c>
      <c r="H621" s="20">
        <f t="shared" ref="H621:H636" si="71">E621*C621</f>
        <v>0</v>
      </c>
      <c r="I621" s="20" t="b">
        <f t="shared" ref="I621:I636" si="72">D621+E621=B621</f>
        <v>1</v>
      </c>
      <c r="J621" s="20"/>
      <c r="K621" s="20"/>
    </row>
    <row r="622" spans="1:11" ht="15.5" x14ac:dyDescent="0.35">
      <c r="A622" s="3" t="s">
        <v>78</v>
      </c>
      <c r="B622" s="1"/>
      <c r="C622" s="20">
        <v>17500</v>
      </c>
      <c r="D622" s="1"/>
      <c r="E622" s="1"/>
      <c r="F622" s="20">
        <f t="shared" si="70"/>
        <v>0</v>
      </c>
      <c r="G622" s="20">
        <f t="shared" si="70"/>
        <v>0</v>
      </c>
      <c r="H622" s="20">
        <f t="shared" si="71"/>
        <v>0</v>
      </c>
      <c r="I622" s="20" t="b">
        <f t="shared" si="72"/>
        <v>1</v>
      </c>
      <c r="J622" s="20"/>
      <c r="K622" s="20"/>
    </row>
    <row r="623" spans="1:11" ht="15.5" x14ac:dyDescent="0.35">
      <c r="A623" s="3" t="s">
        <v>79</v>
      </c>
      <c r="B623" s="1"/>
      <c r="C623" s="20">
        <v>18500</v>
      </c>
      <c r="D623" s="1"/>
      <c r="E623" s="1"/>
      <c r="F623" s="20">
        <f t="shared" si="70"/>
        <v>0</v>
      </c>
      <c r="G623" s="20">
        <f t="shared" si="70"/>
        <v>0</v>
      </c>
      <c r="H623" s="20">
        <f t="shared" si="71"/>
        <v>0</v>
      </c>
      <c r="I623" s="20" t="b">
        <f t="shared" si="72"/>
        <v>1</v>
      </c>
      <c r="J623" s="20"/>
      <c r="K623" s="20"/>
    </row>
    <row r="624" spans="1:11" ht="15.5" x14ac:dyDescent="0.35">
      <c r="A624" s="3" t="s">
        <v>80</v>
      </c>
      <c r="B624" s="1"/>
      <c r="C624" s="20">
        <v>18500</v>
      </c>
      <c r="D624" s="1"/>
      <c r="E624" s="1"/>
      <c r="F624" s="20">
        <f t="shared" si="70"/>
        <v>0</v>
      </c>
      <c r="G624" s="20">
        <f t="shared" si="70"/>
        <v>0</v>
      </c>
      <c r="H624" s="20">
        <f t="shared" si="71"/>
        <v>0</v>
      </c>
      <c r="I624" s="20" t="b">
        <f t="shared" si="72"/>
        <v>1</v>
      </c>
      <c r="J624" s="20"/>
      <c r="K624" s="20"/>
    </row>
    <row r="625" spans="1:11" ht="15.5" x14ac:dyDescent="0.35">
      <c r="A625" s="3" t="s">
        <v>81</v>
      </c>
      <c r="B625" s="1"/>
      <c r="C625" s="20">
        <v>23000</v>
      </c>
      <c r="D625" s="1"/>
      <c r="E625" s="1"/>
      <c r="F625" s="20">
        <f t="shared" si="70"/>
        <v>0</v>
      </c>
      <c r="G625" s="20">
        <f t="shared" si="70"/>
        <v>0</v>
      </c>
      <c r="H625" s="20">
        <f t="shared" si="71"/>
        <v>0</v>
      </c>
      <c r="I625" s="20" t="b">
        <f t="shared" si="72"/>
        <v>1</v>
      </c>
      <c r="J625" s="20"/>
      <c r="K625" s="20"/>
    </row>
    <row r="626" spans="1:11" ht="15.5" x14ac:dyDescent="0.35">
      <c r="A626" s="3" t="s">
        <v>82</v>
      </c>
      <c r="B626" s="1"/>
      <c r="C626" s="20">
        <v>18000</v>
      </c>
      <c r="D626" s="1"/>
      <c r="E626" s="1"/>
      <c r="F626" s="20">
        <f t="shared" si="70"/>
        <v>0</v>
      </c>
      <c r="G626" s="20">
        <f t="shared" si="70"/>
        <v>0</v>
      </c>
      <c r="H626" s="20">
        <f t="shared" si="71"/>
        <v>0</v>
      </c>
      <c r="I626" s="20" t="b">
        <f t="shared" si="72"/>
        <v>1</v>
      </c>
      <c r="J626" s="20"/>
      <c r="K626" s="20"/>
    </row>
    <row r="627" spans="1:11" ht="15.5" x14ac:dyDescent="0.35">
      <c r="A627" s="3" t="s">
        <v>83</v>
      </c>
      <c r="B627" s="1"/>
      <c r="C627" s="20">
        <v>18000</v>
      </c>
      <c r="D627" s="1"/>
      <c r="E627" s="1"/>
      <c r="F627" s="20">
        <f t="shared" si="70"/>
        <v>0</v>
      </c>
      <c r="G627" s="20">
        <f t="shared" si="70"/>
        <v>0</v>
      </c>
      <c r="H627" s="20">
        <f t="shared" si="71"/>
        <v>0</v>
      </c>
      <c r="I627" s="20" t="b">
        <f t="shared" si="72"/>
        <v>1</v>
      </c>
      <c r="J627" s="20"/>
      <c r="K627" s="20"/>
    </row>
    <row r="628" spans="1:11" ht="15.5" x14ac:dyDescent="0.35">
      <c r="A628" s="3" t="s">
        <v>84</v>
      </c>
      <c r="B628" s="1"/>
      <c r="C628" s="20">
        <v>18500</v>
      </c>
      <c r="D628" s="1"/>
      <c r="E628" s="1"/>
      <c r="F628" s="20">
        <f t="shared" si="70"/>
        <v>0</v>
      </c>
      <c r="G628" s="20">
        <f t="shared" si="70"/>
        <v>0</v>
      </c>
      <c r="H628" s="20">
        <f t="shared" si="71"/>
        <v>0</v>
      </c>
      <c r="I628" s="20" t="b">
        <f t="shared" si="72"/>
        <v>1</v>
      </c>
      <c r="J628" s="20"/>
      <c r="K628" s="20"/>
    </row>
    <row r="629" spans="1:11" ht="15.5" x14ac:dyDescent="0.35">
      <c r="A629" s="3" t="s">
        <v>85</v>
      </c>
      <c r="B629" s="1"/>
      <c r="C629" s="20">
        <v>18500</v>
      </c>
      <c r="D629" s="1"/>
      <c r="E629" s="1"/>
      <c r="F629" s="20">
        <f t="shared" si="70"/>
        <v>0</v>
      </c>
      <c r="G629" s="20">
        <f t="shared" si="70"/>
        <v>0</v>
      </c>
      <c r="H629" s="20">
        <f t="shared" si="71"/>
        <v>0</v>
      </c>
      <c r="I629" s="20" t="b">
        <f t="shared" si="72"/>
        <v>1</v>
      </c>
      <c r="J629" s="20"/>
      <c r="K629" s="20"/>
    </row>
    <row r="630" spans="1:11" ht="15.5" x14ac:dyDescent="0.35">
      <c r="A630" s="3" t="s">
        <v>86</v>
      </c>
      <c r="B630" s="1"/>
      <c r="C630" s="20">
        <v>18500</v>
      </c>
      <c r="D630" s="1"/>
      <c r="E630" s="1"/>
      <c r="F630" s="20">
        <f t="shared" si="70"/>
        <v>0</v>
      </c>
      <c r="G630" s="20">
        <f t="shared" si="70"/>
        <v>0</v>
      </c>
      <c r="H630" s="20">
        <f t="shared" si="71"/>
        <v>0</v>
      </c>
      <c r="I630" s="20" t="b">
        <f t="shared" si="72"/>
        <v>1</v>
      </c>
      <c r="J630" s="20"/>
      <c r="K630" s="20"/>
    </row>
    <row r="631" spans="1:11" ht="15.5" x14ac:dyDescent="0.35">
      <c r="A631" s="3" t="s">
        <v>87</v>
      </c>
      <c r="B631" s="1"/>
      <c r="C631" s="20">
        <v>18500</v>
      </c>
      <c r="D631" s="1"/>
      <c r="E631" s="1"/>
      <c r="F631" s="20">
        <f t="shared" si="70"/>
        <v>0</v>
      </c>
      <c r="G631" s="20">
        <f t="shared" si="70"/>
        <v>0</v>
      </c>
      <c r="H631" s="20">
        <f t="shared" si="71"/>
        <v>0</v>
      </c>
      <c r="I631" s="20" t="b">
        <f t="shared" si="72"/>
        <v>1</v>
      </c>
      <c r="J631" s="20"/>
      <c r="K631" s="20"/>
    </row>
    <row r="632" spans="1:11" ht="15.5" x14ac:dyDescent="0.35">
      <c r="A632" s="3" t="s">
        <v>88</v>
      </c>
      <c r="B632" s="1"/>
      <c r="C632" s="20">
        <v>18500</v>
      </c>
      <c r="D632" s="1"/>
      <c r="E632" s="1"/>
      <c r="F632" s="20">
        <f t="shared" si="70"/>
        <v>0</v>
      </c>
      <c r="G632" s="20">
        <f t="shared" si="70"/>
        <v>0</v>
      </c>
      <c r="H632" s="20">
        <f t="shared" si="71"/>
        <v>0</v>
      </c>
      <c r="I632" s="20" t="b">
        <f t="shared" si="72"/>
        <v>1</v>
      </c>
      <c r="J632" s="20"/>
      <c r="K632" s="20"/>
    </row>
    <row r="633" spans="1:11" ht="15.5" x14ac:dyDescent="0.35">
      <c r="A633" s="19" t="s">
        <v>89</v>
      </c>
      <c r="B633" s="1"/>
      <c r="C633" s="20"/>
      <c r="D633" s="1"/>
      <c r="E633" s="1"/>
      <c r="F633" s="20"/>
      <c r="G633" s="20"/>
      <c r="H633" s="20">
        <f t="shared" si="71"/>
        <v>0</v>
      </c>
      <c r="I633" s="20" t="b">
        <f t="shared" si="72"/>
        <v>1</v>
      </c>
      <c r="J633" s="20"/>
      <c r="K633" s="20"/>
    </row>
    <row r="634" spans="1:11" ht="15.5" x14ac:dyDescent="0.35">
      <c r="A634" s="3" t="s">
        <v>92</v>
      </c>
      <c r="B634" s="1"/>
      <c r="C634" s="20">
        <v>21500</v>
      </c>
      <c r="D634" s="1"/>
      <c r="E634" s="1"/>
      <c r="F634" s="20">
        <f t="shared" ref="F634:G636" si="73">C634*B634</f>
        <v>0</v>
      </c>
      <c r="G634" s="20">
        <f t="shared" si="73"/>
        <v>0</v>
      </c>
      <c r="H634" s="20">
        <f t="shared" si="71"/>
        <v>0</v>
      </c>
      <c r="I634" s="20" t="b">
        <f t="shared" si="72"/>
        <v>1</v>
      </c>
      <c r="J634" s="20"/>
      <c r="K634" s="20"/>
    </row>
    <row r="635" spans="1:11" ht="15.5" x14ac:dyDescent="0.35">
      <c r="A635" s="3" t="s">
        <v>93</v>
      </c>
      <c r="B635" s="1"/>
      <c r="C635" s="20">
        <v>21500</v>
      </c>
      <c r="D635" s="1"/>
      <c r="E635" s="1"/>
      <c r="F635" s="20">
        <f t="shared" si="73"/>
        <v>0</v>
      </c>
      <c r="G635" s="20">
        <f t="shared" si="73"/>
        <v>0</v>
      </c>
      <c r="H635" s="20">
        <f t="shared" si="71"/>
        <v>0</v>
      </c>
      <c r="I635" s="20" t="b">
        <f t="shared" si="72"/>
        <v>1</v>
      </c>
      <c r="J635" s="20"/>
      <c r="K635" s="20"/>
    </row>
    <row r="636" spans="1:11" ht="15.5" x14ac:dyDescent="0.35">
      <c r="A636" s="3" t="s">
        <v>94</v>
      </c>
      <c r="B636" s="1"/>
      <c r="C636" s="20">
        <v>21500</v>
      </c>
      <c r="D636" s="1"/>
      <c r="E636" s="1"/>
      <c r="F636" s="20">
        <f t="shared" si="73"/>
        <v>0</v>
      </c>
      <c r="G636" s="20">
        <f t="shared" si="73"/>
        <v>0</v>
      </c>
      <c r="H636" s="20">
        <f t="shared" si="71"/>
        <v>0</v>
      </c>
      <c r="I636" s="20" t="b">
        <f t="shared" si="72"/>
        <v>1</v>
      </c>
      <c r="J636" s="20"/>
      <c r="K636" s="20"/>
    </row>
    <row r="637" spans="1:11" ht="15.5" x14ac:dyDescent="0.35">
      <c r="A637" s="19"/>
      <c r="B637" s="22">
        <f>SUM(B620:B636)</f>
        <v>0</v>
      </c>
      <c r="C637" s="20"/>
      <c r="D637" s="1"/>
      <c r="E637" s="1"/>
      <c r="F637" s="23">
        <f>SUM(F620:F636)</f>
        <v>0</v>
      </c>
      <c r="G637" s="23">
        <f>SUM(G620:G636)</f>
        <v>0</v>
      </c>
      <c r="H637" s="23">
        <f>SUM(H620:H636)</f>
        <v>0</v>
      </c>
      <c r="I637" s="23"/>
      <c r="J637" s="23">
        <f>SUM(J620:J636)</f>
        <v>440000</v>
      </c>
      <c r="K637" s="23">
        <f>H637-J637</f>
        <v>-440000</v>
      </c>
    </row>
    <row r="638" spans="1:11" ht="15.5" x14ac:dyDescent="0.35">
      <c r="A638" s="19" t="s">
        <v>95</v>
      </c>
      <c r="B638" s="1"/>
      <c r="C638" s="20"/>
      <c r="D638" s="1"/>
      <c r="E638" s="1"/>
      <c r="F638" s="20"/>
      <c r="G638" s="20"/>
      <c r="H638" s="20" t="s">
        <v>192</v>
      </c>
      <c r="I638" s="20"/>
      <c r="J638" s="20"/>
      <c r="K638" s="20"/>
    </row>
    <row r="639" spans="1:11" ht="15.5" x14ac:dyDescent="0.35">
      <c r="A639" s="3" t="s">
        <v>96</v>
      </c>
      <c r="B639" s="1"/>
      <c r="C639" s="20">
        <v>3000</v>
      </c>
      <c r="D639" s="1"/>
      <c r="E639" s="20"/>
      <c r="F639" s="20">
        <f t="shared" ref="F639:F642" si="74">C639*B639</f>
        <v>0</v>
      </c>
      <c r="G639" s="20"/>
      <c r="H639" s="20"/>
      <c r="I639" s="20"/>
      <c r="J639" s="20"/>
      <c r="K639" s="20"/>
    </row>
    <row r="640" spans="1:11" ht="15.5" x14ac:dyDescent="0.35">
      <c r="A640" s="3" t="s">
        <v>97</v>
      </c>
      <c r="B640" s="1"/>
      <c r="C640" s="20">
        <v>2500</v>
      </c>
      <c r="D640" s="1"/>
      <c r="E640" s="1"/>
      <c r="F640" s="20">
        <f t="shared" si="74"/>
        <v>0</v>
      </c>
      <c r="G640" s="20"/>
      <c r="H640" s="20"/>
      <c r="I640" s="20"/>
      <c r="J640" s="20"/>
      <c r="K640" s="20"/>
    </row>
    <row r="641" spans="1:11" ht="15.5" x14ac:dyDescent="0.35">
      <c r="A641" s="3" t="s">
        <v>98</v>
      </c>
      <c r="B641" s="1"/>
      <c r="C641" s="20">
        <v>1800</v>
      </c>
      <c r="D641" s="1"/>
      <c r="E641" s="1"/>
      <c r="F641" s="20">
        <f t="shared" si="74"/>
        <v>0</v>
      </c>
      <c r="G641" s="20"/>
      <c r="H641" s="20"/>
      <c r="I641" s="20"/>
      <c r="J641" s="20"/>
      <c r="K641" s="20"/>
    </row>
    <row r="642" spans="1:11" ht="15.5" x14ac:dyDescent="0.35">
      <c r="A642" s="3" t="s">
        <v>99</v>
      </c>
      <c r="B642" s="1"/>
      <c r="C642" s="20">
        <v>3500</v>
      </c>
      <c r="D642" s="1"/>
      <c r="E642" s="1"/>
      <c r="F642" s="20">
        <f t="shared" si="74"/>
        <v>0</v>
      </c>
      <c r="G642" s="20"/>
      <c r="H642" s="20"/>
      <c r="I642" s="20"/>
      <c r="J642" s="20"/>
      <c r="K642" s="20"/>
    </row>
    <row r="643" spans="1:11" ht="15.5" x14ac:dyDescent="0.35">
      <c r="A643" s="18"/>
      <c r="F643" s="21"/>
    </row>
    <row r="644" spans="1:11" ht="15.5" x14ac:dyDescent="0.35">
      <c r="A644" s="24" t="s">
        <v>108</v>
      </c>
      <c r="K644" s="21"/>
    </row>
    <row r="645" spans="1:11" ht="15.5" x14ac:dyDescent="0.35">
      <c r="A645" s="18" t="s">
        <v>114</v>
      </c>
      <c r="B645" s="67">
        <v>40000</v>
      </c>
    </row>
    <row r="646" spans="1:11" ht="15.5" x14ac:dyDescent="0.35">
      <c r="A646" s="18" t="s">
        <v>112</v>
      </c>
      <c r="B646" s="67">
        <v>40000</v>
      </c>
    </row>
    <row r="647" spans="1:11" ht="15.5" x14ac:dyDescent="0.35">
      <c r="A647" s="18" t="s">
        <v>309</v>
      </c>
      <c r="B647" s="67">
        <v>60000</v>
      </c>
    </row>
    <row r="648" spans="1:11" ht="15.5" x14ac:dyDescent="0.35">
      <c r="A648" s="18" t="s">
        <v>110</v>
      </c>
      <c r="B648" s="67">
        <v>40000</v>
      </c>
    </row>
    <row r="649" spans="1:11" ht="15.5" x14ac:dyDescent="0.35">
      <c r="A649" s="18" t="s">
        <v>111</v>
      </c>
      <c r="B649" s="67">
        <v>40000</v>
      </c>
    </row>
    <row r="650" spans="1:11" ht="15.5" x14ac:dyDescent="0.35">
      <c r="A650" s="18" t="s">
        <v>196</v>
      </c>
      <c r="B650" s="67">
        <v>40000</v>
      </c>
    </row>
    <row r="651" spans="1:11" ht="15.5" x14ac:dyDescent="0.35">
      <c r="A651" s="18" t="s">
        <v>113</v>
      </c>
      <c r="B651" s="67">
        <v>40000</v>
      </c>
    </row>
    <row r="652" spans="1:11" ht="15.5" x14ac:dyDescent="0.35">
      <c r="A652" s="18" t="s">
        <v>209</v>
      </c>
      <c r="B652" s="67">
        <v>40000</v>
      </c>
    </row>
    <row r="653" spans="1:11" ht="15.5" x14ac:dyDescent="0.35">
      <c r="A653" s="18" t="s">
        <v>115</v>
      </c>
      <c r="B653" s="67">
        <v>60000</v>
      </c>
    </row>
    <row r="654" spans="1:11" ht="15.5" x14ac:dyDescent="0.35">
      <c r="A654" s="18" t="s">
        <v>109</v>
      </c>
      <c r="B654" s="67">
        <v>40000</v>
      </c>
    </row>
    <row r="655" spans="1:11" ht="15.5" x14ac:dyDescent="0.35">
      <c r="A655" s="24" t="s">
        <v>4</v>
      </c>
      <c r="B655" s="75">
        <f>SUM(B645:B654)</f>
        <v>440000</v>
      </c>
    </row>
    <row r="656" spans="1:11" ht="15.5" x14ac:dyDescent="0.35">
      <c r="A656" s="24"/>
      <c r="B656" s="75"/>
    </row>
    <row r="657" spans="1:11" ht="15.5" x14ac:dyDescent="0.35">
      <c r="A657" s="24"/>
      <c r="B657" s="75"/>
    </row>
    <row r="658" spans="1:11" ht="18.5" x14ac:dyDescent="0.45">
      <c r="A658" s="151" t="s">
        <v>1</v>
      </c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</row>
    <row r="659" spans="1:11" ht="18.5" x14ac:dyDescent="0.45">
      <c r="A659" s="150" t="s">
        <v>74</v>
      </c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</row>
    <row r="660" spans="1:11" ht="18.5" x14ac:dyDescent="0.45">
      <c r="A660" s="149" t="s">
        <v>360</v>
      </c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</row>
    <row r="661" spans="1:11" ht="18.5" x14ac:dyDescent="0.45">
      <c r="A661" s="150"/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</row>
    <row r="662" spans="1:11" ht="18.5" x14ac:dyDescent="0.45">
      <c r="A662" s="2" t="s">
        <v>75</v>
      </c>
      <c r="B662" s="2" t="s">
        <v>3</v>
      </c>
      <c r="C662" s="2" t="s">
        <v>100</v>
      </c>
      <c r="D662" s="2" t="s">
        <v>90</v>
      </c>
      <c r="E662" s="2" t="s">
        <v>91</v>
      </c>
      <c r="F662" s="2" t="s">
        <v>4</v>
      </c>
      <c r="G662" s="2" t="s">
        <v>101</v>
      </c>
      <c r="H662" s="2" t="s">
        <v>104</v>
      </c>
      <c r="I662" s="2"/>
      <c r="J662" s="2" t="s">
        <v>105</v>
      </c>
      <c r="K662" s="2" t="s">
        <v>106</v>
      </c>
    </row>
    <row r="663" spans="1:11" ht="15.5" x14ac:dyDescent="0.35">
      <c r="A663" s="3" t="s">
        <v>76</v>
      </c>
      <c r="B663" s="1"/>
      <c r="C663" s="20">
        <v>17500</v>
      </c>
      <c r="D663" s="1"/>
      <c r="E663" s="1"/>
      <c r="F663" s="20">
        <f>C663*B663</f>
        <v>0</v>
      </c>
      <c r="G663" s="20">
        <f>D663*C663</f>
        <v>0</v>
      </c>
      <c r="H663" s="20">
        <f>E663*C663</f>
        <v>0</v>
      </c>
      <c r="I663" s="20" t="b">
        <f>D663+E663=B663</f>
        <v>1</v>
      </c>
      <c r="J663" s="20">
        <f>B698</f>
        <v>440000</v>
      </c>
      <c r="K663" s="20"/>
    </row>
    <row r="664" spans="1:11" ht="15.5" x14ac:dyDescent="0.35">
      <c r="A664" s="3" t="s">
        <v>77</v>
      </c>
      <c r="B664" s="1"/>
      <c r="C664" s="20">
        <v>16000</v>
      </c>
      <c r="D664" s="1"/>
      <c r="E664" s="1"/>
      <c r="F664" s="20">
        <f t="shared" ref="F664:G675" si="75">C664*B664</f>
        <v>0</v>
      </c>
      <c r="G664" s="20">
        <f t="shared" si="75"/>
        <v>0</v>
      </c>
      <c r="H664" s="20">
        <f t="shared" ref="H664:H679" si="76">E664*C664</f>
        <v>0</v>
      </c>
      <c r="I664" s="20" t="b">
        <f t="shared" ref="I664:I679" si="77">D664+E664=B664</f>
        <v>1</v>
      </c>
      <c r="J664" s="20"/>
      <c r="K664" s="20"/>
    </row>
    <row r="665" spans="1:11" ht="15.5" x14ac:dyDescent="0.35">
      <c r="A665" s="3" t="s">
        <v>78</v>
      </c>
      <c r="B665" s="1"/>
      <c r="C665" s="20">
        <v>17500</v>
      </c>
      <c r="D665" s="1"/>
      <c r="E665" s="1"/>
      <c r="F665" s="20">
        <f t="shared" si="75"/>
        <v>0</v>
      </c>
      <c r="G665" s="20">
        <f t="shared" si="75"/>
        <v>0</v>
      </c>
      <c r="H665" s="20">
        <f t="shared" si="76"/>
        <v>0</v>
      </c>
      <c r="I665" s="20" t="b">
        <f t="shared" si="77"/>
        <v>1</v>
      </c>
      <c r="J665" s="20"/>
      <c r="K665" s="20"/>
    </row>
    <row r="666" spans="1:11" ht="15.5" x14ac:dyDescent="0.35">
      <c r="A666" s="3" t="s">
        <v>79</v>
      </c>
      <c r="B666" s="1"/>
      <c r="C666" s="20">
        <v>18500</v>
      </c>
      <c r="D666" s="1"/>
      <c r="E666" s="1"/>
      <c r="F666" s="20">
        <f t="shared" si="75"/>
        <v>0</v>
      </c>
      <c r="G666" s="20">
        <f t="shared" si="75"/>
        <v>0</v>
      </c>
      <c r="H666" s="20">
        <f t="shared" si="76"/>
        <v>0</v>
      </c>
      <c r="I666" s="20" t="b">
        <f t="shared" si="77"/>
        <v>1</v>
      </c>
      <c r="J666" s="20"/>
      <c r="K666" s="20"/>
    </row>
    <row r="667" spans="1:11" ht="15.5" x14ac:dyDescent="0.35">
      <c r="A667" s="3" t="s">
        <v>80</v>
      </c>
      <c r="B667" s="1"/>
      <c r="C667" s="20">
        <v>18500</v>
      </c>
      <c r="D667" s="1"/>
      <c r="E667" s="1"/>
      <c r="F667" s="20">
        <f t="shared" si="75"/>
        <v>0</v>
      </c>
      <c r="G667" s="20">
        <f t="shared" si="75"/>
        <v>0</v>
      </c>
      <c r="H667" s="20">
        <f t="shared" si="76"/>
        <v>0</v>
      </c>
      <c r="I667" s="20" t="b">
        <f t="shared" si="77"/>
        <v>1</v>
      </c>
      <c r="J667" s="20"/>
      <c r="K667" s="20"/>
    </row>
    <row r="668" spans="1:11" ht="15.5" x14ac:dyDescent="0.35">
      <c r="A668" s="3" t="s">
        <v>81</v>
      </c>
      <c r="B668" s="1"/>
      <c r="C668" s="20">
        <v>23000</v>
      </c>
      <c r="D668" s="1"/>
      <c r="E668" s="1"/>
      <c r="F668" s="20">
        <f t="shared" si="75"/>
        <v>0</v>
      </c>
      <c r="G668" s="20">
        <f t="shared" si="75"/>
        <v>0</v>
      </c>
      <c r="H668" s="20">
        <f t="shared" si="76"/>
        <v>0</v>
      </c>
      <c r="I668" s="20" t="b">
        <f t="shared" si="77"/>
        <v>1</v>
      </c>
      <c r="J668" s="20"/>
      <c r="K668" s="20"/>
    </row>
    <row r="669" spans="1:11" ht="15.5" x14ac:dyDescent="0.35">
      <c r="A669" s="3" t="s">
        <v>82</v>
      </c>
      <c r="B669" s="1"/>
      <c r="C669" s="20">
        <v>18000</v>
      </c>
      <c r="D669" s="1"/>
      <c r="E669" s="1"/>
      <c r="F669" s="20">
        <f t="shared" si="75"/>
        <v>0</v>
      </c>
      <c r="G669" s="20">
        <f t="shared" si="75"/>
        <v>0</v>
      </c>
      <c r="H669" s="20">
        <f t="shared" si="76"/>
        <v>0</v>
      </c>
      <c r="I669" s="20" t="b">
        <f t="shared" si="77"/>
        <v>1</v>
      </c>
      <c r="J669" s="20"/>
      <c r="K669" s="20"/>
    </row>
    <row r="670" spans="1:11" ht="15.5" x14ac:dyDescent="0.35">
      <c r="A670" s="3" t="s">
        <v>83</v>
      </c>
      <c r="B670" s="1"/>
      <c r="C670" s="20">
        <v>18000</v>
      </c>
      <c r="D670" s="1"/>
      <c r="E670" s="1"/>
      <c r="F670" s="20">
        <f t="shared" si="75"/>
        <v>0</v>
      </c>
      <c r="G670" s="20">
        <f t="shared" si="75"/>
        <v>0</v>
      </c>
      <c r="H670" s="20">
        <f t="shared" si="76"/>
        <v>0</v>
      </c>
      <c r="I670" s="20" t="b">
        <f t="shared" si="77"/>
        <v>1</v>
      </c>
      <c r="J670" s="20"/>
      <c r="K670" s="20"/>
    </row>
    <row r="671" spans="1:11" ht="15.5" x14ac:dyDescent="0.35">
      <c r="A671" s="3" t="s">
        <v>84</v>
      </c>
      <c r="B671" s="1"/>
      <c r="C671" s="20">
        <v>18500</v>
      </c>
      <c r="D671" s="1"/>
      <c r="E671" s="1"/>
      <c r="F671" s="20">
        <f t="shared" si="75"/>
        <v>0</v>
      </c>
      <c r="G671" s="20">
        <f t="shared" si="75"/>
        <v>0</v>
      </c>
      <c r="H671" s="20">
        <f t="shared" si="76"/>
        <v>0</v>
      </c>
      <c r="I671" s="20" t="b">
        <f t="shared" si="77"/>
        <v>1</v>
      </c>
      <c r="J671" s="20"/>
      <c r="K671" s="20"/>
    </row>
    <row r="672" spans="1:11" ht="15.5" x14ac:dyDescent="0.35">
      <c r="A672" s="3" t="s">
        <v>85</v>
      </c>
      <c r="B672" s="1"/>
      <c r="C672" s="20">
        <v>18500</v>
      </c>
      <c r="D672" s="1"/>
      <c r="E672" s="1"/>
      <c r="F672" s="20">
        <f t="shared" si="75"/>
        <v>0</v>
      </c>
      <c r="G672" s="20">
        <f t="shared" si="75"/>
        <v>0</v>
      </c>
      <c r="H672" s="20">
        <f t="shared" si="76"/>
        <v>0</v>
      </c>
      <c r="I672" s="20" t="b">
        <f t="shared" si="77"/>
        <v>1</v>
      </c>
      <c r="J672" s="20"/>
      <c r="K672" s="20"/>
    </row>
    <row r="673" spans="1:11" ht="15.5" x14ac:dyDescent="0.35">
      <c r="A673" s="3" t="s">
        <v>86</v>
      </c>
      <c r="B673" s="1"/>
      <c r="C673" s="20">
        <v>18500</v>
      </c>
      <c r="D673" s="1"/>
      <c r="E673" s="1"/>
      <c r="F673" s="20">
        <f t="shared" si="75"/>
        <v>0</v>
      </c>
      <c r="G673" s="20">
        <f t="shared" si="75"/>
        <v>0</v>
      </c>
      <c r="H673" s="20">
        <f t="shared" si="76"/>
        <v>0</v>
      </c>
      <c r="I673" s="20" t="b">
        <f t="shared" si="77"/>
        <v>1</v>
      </c>
      <c r="J673" s="20"/>
      <c r="K673" s="20"/>
    </row>
    <row r="674" spans="1:11" ht="15.5" x14ac:dyDescent="0.35">
      <c r="A674" s="3" t="s">
        <v>87</v>
      </c>
      <c r="B674" s="1"/>
      <c r="C674" s="20">
        <v>18500</v>
      </c>
      <c r="D674" s="1"/>
      <c r="E674" s="1"/>
      <c r="F674" s="20">
        <f t="shared" si="75"/>
        <v>0</v>
      </c>
      <c r="G674" s="20">
        <f t="shared" si="75"/>
        <v>0</v>
      </c>
      <c r="H674" s="20">
        <f t="shared" si="76"/>
        <v>0</v>
      </c>
      <c r="I674" s="20" t="b">
        <f t="shared" si="77"/>
        <v>1</v>
      </c>
      <c r="J674" s="20"/>
      <c r="K674" s="20"/>
    </row>
    <row r="675" spans="1:11" ht="15.5" x14ac:dyDescent="0.35">
      <c r="A675" s="3" t="s">
        <v>88</v>
      </c>
      <c r="B675" s="1"/>
      <c r="C675" s="20">
        <v>18500</v>
      </c>
      <c r="D675" s="1"/>
      <c r="E675" s="1"/>
      <c r="F675" s="20">
        <f t="shared" si="75"/>
        <v>0</v>
      </c>
      <c r="G675" s="20">
        <f t="shared" si="75"/>
        <v>0</v>
      </c>
      <c r="H675" s="20">
        <f t="shared" si="76"/>
        <v>0</v>
      </c>
      <c r="I675" s="20" t="b">
        <f t="shared" si="77"/>
        <v>1</v>
      </c>
      <c r="J675" s="20"/>
      <c r="K675" s="20"/>
    </row>
    <row r="676" spans="1:11" ht="15.5" x14ac:dyDescent="0.35">
      <c r="A676" s="19" t="s">
        <v>89</v>
      </c>
      <c r="B676" s="1"/>
      <c r="C676" s="20"/>
      <c r="D676" s="1"/>
      <c r="E676" s="1"/>
      <c r="F676" s="20"/>
      <c r="G676" s="20"/>
      <c r="H676" s="20">
        <f t="shared" si="76"/>
        <v>0</v>
      </c>
      <c r="I676" s="20" t="b">
        <f t="shared" si="77"/>
        <v>1</v>
      </c>
      <c r="J676" s="20"/>
      <c r="K676" s="20"/>
    </row>
    <row r="677" spans="1:11" ht="15.5" x14ac:dyDescent="0.35">
      <c r="A677" s="3" t="s">
        <v>92</v>
      </c>
      <c r="B677" s="1"/>
      <c r="C677" s="20">
        <v>21500</v>
      </c>
      <c r="D677" s="1"/>
      <c r="E677" s="1"/>
      <c r="F677" s="20">
        <f t="shared" ref="F677:G679" si="78">C677*B677</f>
        <v>0</v>
      </c>
      <c r="G677" s="20">
        <f t="shared" si="78"/>
        <v>0</v>
      </c>
      <c r="H677" s="20">
        <f t="shared" si="76"/>
        <v>0</v>
      </c>
      <c r="I677" s="20" t="b">
        <f t="shared" si="77"/>
        <v>1</v>
      </c>
      <c r="J677" s="20"/>
      <c r="K677" s="20"/>
    </row>
    <row r="678" spans="1:11" ht="15.5" x14ac:dyDescent="0.35">
      <c r="A678" s="3" t="s">
        <v>93</v>
      </c>
      <c r="B678" s="1"/>
      <c r="C678" s="20">
        <v>21500</v>
      </c>
      <c r="D678" s="1"/>
      <c r="E678" s="1"/>
      <c r="F678" s="20">
        <f t="shared" si="78"/>
        <v>0</v>
      </c>
      <c r="G678" s="20">
        <f t="shared" si="78"/>
        <v>0</v>
      </c>
      <c r="H678" s="20">
        <f t="shared" si="76"/>
        <v>0</v>
      </c>
      <c r="I678" s="20" t="b">
        <f t="shared" si="77"/>
        <v>1</v>
      </c>
      <c r="J678" s="20"/>
      <c r="K678" s="20"/>
    </row>
    <row r="679" spans="1:11" ht="15.5" x14ac:dyDescent="0.35">
      <c r="A679" s="3" t="s">
        <v>94</v>
      </c>
      <c r="B679" s="1"/>
      <c r="C679" s="20">
        <v>21500</v>
      </c>
      <c r="D679" s="1"/>
      <c r="E679" s="1"/>
      <c r="F679" s="20">
        <f t="shared" si="78"/>
        <v>0</v>
      </c>
      <c r="G679" s="20">
        <f t="shared" si="78"/>
        <v>0</v>
      </c>
      <c r="H679" s="20">
        <f t="shared" si="76"/>
        <v>0</v>
      </c>
      <c r="I679" s="20" t="b">
        <f t="shared" si="77"/>
        <v>1</v>
      </c>
      <c r="J679" s="20"/>
      <c r="K679" s="20"/>
    </row>
    <row r="680" spans="1:11" ht="15.5" x14ac:dyDescent="0.35">
      <c r="A680" s="19"/>
      <c r="B680" s="22">
        <f>SUM(B663:B679)</f>
        <v>0</v>
      </c>
      <c r="C680" s="20"/>
      <c r="D680" s="1"/>
      <c r="E680" s="1"/>
      <c r="F680" s="23">
        <f>SUM(F663:F679)</f>
        <v>0</v>
      </c>
      <c r="G680" s="23">
        <f>SUM(G663:G679)</f>
        <v>0</v>
      </c>
      <c r="H680" s="23">
        <f>SUM(H663:H679)</f>
        <v>0</v>
      </c>
      <c r="I680" s="23"/>
      <c r="J680" s="23">
        <f>SUM(J663:J679)</f>
        <v>440000</v>
      </c>
      <c r="K680" s="23">
        <f>H680-J680</f>
        <v>-440000</v>
      </c>
    </row>
    <row r="681" spans="1:11" ht="15.5" x14ac:dyDescent="0.35">
      <c r="A681" s="19" t="s">
        <v>95</v>
      </c>
      <c r="B681" s="1"/>
      <c r="C681" s="20"/>
      <c r="D681" s="1"/>
      <c r="E681" s="1"/>
      <c r="F681" s="20"/>
      <c r="G681" s="20"/>
      <c r="H681" s="20" t="s">
        <v>192</v>
      </c>
      <c r="I681" s="20"/>
      <c r="J681" s="20"/>
      <c r="K681" s="20"/>
    </row>
    <row r="682" spans="1:11" ht="15.5" x14ac:dyDescent="0.35">
      <c r="A682" s="3" t="s">
        <v>96</v>
      </c>
      <c r="B682" s="1"/>
      <c r="C682" s="20">
        <v>3000</v>
      </c>
      <c r="D682" s="1"/>
      <c r="E682" s="20"/>
      <c r="F682" s="20">
        <f t="shared" ref="F682:F685" si="79">C682*B682</f>
        <v>0</v>
      </c>
      <c r="G682" s="20"/>
      <c r="H682" s="20"/>
      <c r="I682" s="20"/>
      <c r="J682" s="20"/>
      <c r="K682" s="20"/>
    </row>
    <row r="683" spans="1:11" ht="15.5" x14ac:dyDescent="0.35">
      <c r="A683" s="3" t="s">
        <v>97</v>
      </c>
      <c r="B683" s="1"/>
      <c r="C683" s="20">
        <v>2500</v>
      </c>
      <c r="D683" s="1"/>
      <c r="E683" s="1"/>
      <c r="F683" s="20">
        <f t="shared" si="79"/>
        <v>0</v>
      </c>
      <c r="G683" s="20"/>
      <c r="H683" s="20"/>
      <c r="I683" s="20"/>
      <c r="J683" s="20"/>
      <c r="K683" s="20"/>
    </row>
    <row r="684" spans="1:11" ht="15.5" x14ac:dyDescent="0.35">
      <c r="A684" s="3" t="s">
        <v>98</v>
      </c>
      <c r="B684" s="1"/>
      <c r="C684" s="20">
        <v>1800</v>
      </c>
      <c r="D684" s="1"/>
      <c r="E684" s="1"/>
      <c r="F684" s="20">
        <f t="shared" si="79"/>
        <v>0</v>
      </c>
      <c r="G684" s="20"/>
      <c r="H684" s="20"/>
      <c r="I684" s="20"/>
      <c r="J684" s="20"/>
      <c r="K684" s="20"/>
    </row>
    <row r="685" spans="1:11" ht="15.5" x14ac:dyDescent="0.35">
      <c r="A685" s="3" t="s">
        <v>99</v>
      </c>
      <c r="B685" s="1"/>
      <c r="C685" s="20">
        <v>3500</v>
      </c>
      <c r="D685" s="1"/>
      <c r="E685" s="1"/>
      <c r="F685" s="20">
        <f t="shared" si="79"/>
        <v>0</v>
      </c>
      <c r="G685" s="20"/>
      <c r="H685" s="20"/>
      <c r="I685" s="20"/>
      <c r="J685" s="20"/>
      <c r="K685" s="20"/>
    </row>
    <row r="686" spans="1:11" ht="15.5" x14ac:dyDescent="0.35">
      <c r="A686" s="18"/>
      <c r="F686" s="21"/>
    </row>
    <row r="687" spans="1:11" ht="15.5" x14ac:dyDescent="0.35">
      <c r="A687" s="24" t="s">
        <v>108</v>
      </c>
      <c r="K687" s="21"/>
    </row>
    <row r="688" spans="1:11" ht="15.5" x14ac:dyDescent="0.35">
      <c r="A688" s="18" t="s">
        <v>114</v>
      </c>
      <c r="B688" s="67">
        <v>40000</v>
      </c>
    </row>
    <row r="689" spans="1:11" ht="15.5" x14ac:dyDescent="0.35">
      <c r="A689" s="18" t="s">
        <v>112</v>
      </c>
      <c r="B689" s="67">
        <v>40000</v>
      </c>
    </row>
    <row r="690" spans="1:11" ht="15.5" x14ac:dyDescent="0.35">
      <c r="A690" s="18" t="s">
        <v>309</v>
      </c>
      <c r="B690" s="67">
        <v>60000</v>
      </c>
    </row>
    <row r="691" spans="1:11" ht="15.5" x14ac:dyDescent="0.35">
      <c r="A691" s="18" t="s">
        <v>110</v>
      </c>
      <c r="B691" s="67">
        <v>40000</v>
      </c>
    </row>
    <row r="692" spans="1:11" ht="15.5" x14ac:dyDescent="0.35">
      <c r="A692" s="18" t="s">
        <v>111</v>
      </c>
      <c r="B692" s="67">
        <v>40000</v>
      </c>
    </row>
    <row r="693" spans="1:11" ht="15.5" x14ac:dyDescent="0.35">
      <c r="A693" s="18" t="s">
        <v>196</v>
      </c>
      <c r="B693" s="67">
        <v>40000</v>
      </c>
    </row>
    <row r="694" spans="1:11" ht="15.5" x14ac:dyDescent="0.35">
      <c r="A694" s="18" t="s">
        <v>113</v>
      </c>
      <c r="B694" s="67">
        <v>40000</v>
      </c>
    </row>
    <row r="695" spans="1:11" ht="15.5" x14ac:dyDescent="0.35">
      <c r="A695" s="18" t="s">
        <v>209</v>
      </c>
      <c r="B695" s="67">
        <v>40000</v>
      </c>
    </row>
    <row r="696" spans="1:11" ht="15.5" x14ac:dyDescent="0.35">
      <c r="A696" s="18" t="s">
        <v>115</v>
      </c>
      <c r="B696" s="67">
        <v>60000</v>
      </c>
    </row>
    <row r="697" spans="1:11" ht="15.5" x14ac:dyDescent="0.35">
      <c r="A697" s="18" t="s">
        <v>109</v>
      </c>
      <c r="B697" s="67">
        <v>40000</v>
      </c>
    </row>
    <row r="698" spans="1:11" ht="15.5" x14ac:dyDescent="0.35">
      <c r="A698" s="24" t="s">
        <v>4</v>
      </c>
      <c r="B698" s="75">
        <f>SUM(B688:B697)</f>
        <v>440000</v>
      </c>
    </row>
    <row r="701" spans="1:11" ht="18.5" x14ac:dyDescent="0.45">
      <c r="A701" s="151" t="s">
        <v>1</v>
      </c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</row>
    <row r="702" spans="1:11" ht="18.5" x14ac:dyDescent="0.45">
      <c r="A702" s="150" t="s">
        <v>74</v>
      </c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</row>
    <row r="703" spans="1:11" ht="18.5" x14ac:dyDescent="0.45">
      <c r="A703" s="149" t="s">
        <v>360</v>
      </c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</row>
    <row r="704" spans="1:11" ht="18.5" x14ac:dyDescent="0.45">
      <c r="A704" s="150"/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</row>
    <row r="705" spans="1:11" ht="18.5" x14ac:dyDescent="0.45">
      <c r="A705" s="2" t="s">
        <v>75</v>
      </c>
      <c r="B705" s="2" t="s">
        <v>3</v>
      </c>
      <c r="C705" s="2" t="s">
        <v>100</v>
      </c>
      <c r="D705" s="2" t="s">
        <v>90</v>
      </c>
      <c r="E705" s="2" t="s">
        <v>91</v>
      </c>
      <c r="F705" s="2" t="s">
        <v>4</v>
      </c>
      <c r="G705" s="2" t="s">
        <v>101</v>
      </c>
      <c r="H705" s="2" t="s">
        <v>104</v>
      </c>
      <c r="I705" s="2"/>
      <c r="J705" s="2" t="s">
        <v>105</v>
      </c>
      <c r="K705" s="2" t="s">
        <v>106</v>
      </c>
    </row>
    <row r="706" spans="1:11" ht="15.5" x14ac:dyDescent="0.35">
      <c r="A706" s="3" t="s">
        <v>76</v>
      </c>
      <c r="B706" s="1"/>
      <c r="C706" s="20">
        <v>17500</v>
      </c>
      <c r="D706" s="1"/>
      <c r="E706" s="1"/>
      <c r="F706" s="20">
        <f>C706*B706</f>
        <v>0</v>
      </c>
      <c r="G706" s="20">
        <f>D706*C706</f>
        <v>0</v>
      </c>
      <c r="H706" s="20">
        <f>E706*C706</f>
        <v>0</v>
      </c>
      <c r="I706" s="20" t="b">
        <f>D706+E706=B706</f>
        <v>1</v>
      </c>
      <c r="J706" s="20">
        <f>B741</f>
        <v>440000</v>
      </c>
      <c r="K706" s="20"/>
    </row>
    <row r="707" spans="1:11" ht="15.5" x14ac:dyDescent="0.35">
      <c r="A707" s="3" t="s">
        <v>77</v>
      </c>
      <c r="B707" s="1"/>
      <c r="C707" s="20">
        <v>16000</v>
      </c>
      <c r="D707" s="1"/>
      <c r="E707" s="1"/>
      <c r="F707" s="20">
        <f t="shared" ref="F707:G718" si="80">C707*B707</f>
        <v>0</v>
      </c>
      <c r="G707" s="20">
        <f t="shared" si="80"/>
        <v>0</v>
      </c>
      <c r="H707" s="20">
        <f t="shared" ref="H707:H722" si="81">E707*C707</f>
        <v>0</v>
      </c>
      <c r="I707" s="20" t="b">
        <f t="shared" ref="I707:I722" si="82">D707+E707=B707</f>
        <v>1</v>
      </c>
      <c r="J707" s="20"/>
      <c r="K707" s="20"/>
    </row>
    <row r="708" spans="1:11" ht="15.5" x14ac:dyDescent="0.35">
      <c r="A708" s="3" t="s">
        <v>78</v>
      </c>
      <c r="B708" s="1"/>
      <c r="C708" s="20">
        <v>17500</v>
      </c>
      <c r="D708" s="1"/>
      <c r="E708" s="1"/>
      <c r="F708" s="20">
        <f t="shared" si="80"/>
        <v>0</v>
      </c>
      <c r="G708" s="20">
        <f t="shared" si="80"/>
        <v>0</v>
      </c>
      <c r="H708" s="20">
        <f t="shared" si="81"/>
        <v>0</v>
      </c>
      <c r="I708" s="20" t="b">
        <f t="shared" si="82"/>
        <v>1</v>
      </c>
      <c r="J708" s="20"/>
      <c r="K708" s="20"/>
    </row>
    <row r="709" spans="1:11" ht="15.5" x14ac:dyDescent="0.35">
      <c r="A709" s="3" t="s">
        <v>79</v>
      </c>
      <c r="B709" s="1"/>
      <c r="C709" s="20">
        <v>18500</v>
      </c>
      <c r="D709" s="1"/>
      <c r="E709" s="1"/>
      <c r="F709" s="20">
        <f t="shared" si="80"/>
        <v>0</v>
      </c>
      <c r="G709" s="20">
        <f t="shared" si="80"/>
        <v>0</v>
      </c>
      <c r="H709" s="20">
        <f t="shared" si="81"/>
        <v>0</v>
      </c>
      <c r="I709" s="20" t="b">
        <f t="shared" si="82"/>
        <v>1</v>
      </c>
      <c r="J709" s="20"/>
      <c r="K709" s="20"/>
    </row>
    <row r="710" spans="1:11" ht="15.5" x14ac:dyDescent="0.35">
      <c r="A710" s="3" t="s">
        <v>80</v>
      </c>
      <c r="B710" s="1"/>
      <c r="C710" s="20">
        <v>18500</v>
      </c>
      <c r="D710" s="1"/>
      <c r="E710" s="1"/>
      <c r="F710" s="20">
        <f t="shared" si="80"/>
        <v>0</v>
      </c>
      <c r="G710" s="20">
        <f t="shared" si="80"/>
        <v>0</v>
      </c>
      <c r="H710" s="20">
        <f t="shared" si="81"/>
        <v>0</v>
      </c>
      <c r="I710" s="20" t="b">
        <f t="shared" si="82"/>
        <v>1</v>
      </c>
      <c r="J710" s="20"/>
      <c r="K710" s="20"/>
    </row>
    <row r="711" spans="1:11" ht="15.5" x14ac:dyDescent="0.35">
      <c r="A711" s="3" t="s">
        <v>81</v>
      </c>
      <c r="B711" s="1"/>
      <c r="C711" s="20">
        <v>23000</v>
      </c>
      <c r="D711" s="1"/>
      <c r="E711" s="1"/>
      <c r="F711" s="20">
        <f t="shared" si="80"/>
        <v>0</v>
      </c>
      <c r="G711" s="20">
        <f t="shared" si="80"/>
        <v>0</v>
      </c>
      <c r="H711" s="20">
        <f t="shared" si="81"/>
        <v>0</v>
      </c>
      <c r="I711" s="20" t="b">
        <f t="shared" si="82"/>
        <v>1</v>
      </c>
      <c r="J711" s="20"/>
      <c r="K711" s="20"/>
    </row>
    <row r="712" spans="1:11" ht="15.5" x14ac:dyDescent="0.35">
      <c r="A712" s="3" t="s">
        <v>82</v>
      </c>
      <c r="B712" s="1"/>
      <c r="C712" s="20">
        <v>18000</v>
      </c>
      <c r="D712" s="1"/>
      <c r="E712" s="1"/>
      <c r="F712" s="20">
        <f t="shared" si="80"/>
        <v>0</v>
      </c>
      <c r="G712" s="20">
        <f t="shared" si="80"/>
        <v>0</v>
      </c>
      <c r="H712" s="20">
        <f t="shared" si="81"/>
        <v>0</v>
      </c>
      <c r="I712" s="20" t="b">
        <f t="shared" si="82"/>
        <v>1</v>
      </c>
      <c r="J712" s="20"/>
      <c r="K712" s="20"/>
    </row>
    <row r="713" spans="1:11" ht="15.5" x14ac:dyDescent="0.35">
      <c r="A713" s="3" t="s">
        <v>83</v>
      </c>
      <c r="B713" s="1"/>
      <c r="C713" s="20">
        <v>18000</v>
      </c>
      <c r="D713" s="1"/>
      <c r="E713" s="1"/>
      <c r="F713" s="20">
        <f t="shared" si="80"/>
        <v>0</v>
      </c>
      <c r="G713" s="20">
        <f t="shared" si="80"/>
        <v>0</v>
      </c>
      <c r="H713" s="20">
        <f t="shared" si="81"/>
        <v>0</v>
      </c>
      <c r="I713" s="20" t="b">
        <f t="shared" si="82"/>
        <v>1</v>
      </c>
      <c r="J713" s="20"/>
      <c r="K713" s="20"/>
    </row>
    <row r="714" spans="1:11" ht="15.5" x14ac:dyDescent="0.35">
      <c r="A714" s="3" t="s">
        <v>84</v>
      </c>
      <c r="B714" s="1"/>
      <c r="C714" s="20">
        <v>18500</v>
      </c>
      <c r="D714" s="1"/>
      <c r="E714" s="1"/>
      <c r="F714" s="20">
        <f t="shared" si="80"/>
        <v>0</v>
      </c>
      <c r="G714" s="20">
        <f t="shared" si="80"/>
        <v>0</v>
      </c>
      <c r="H714" s="20">
        <f t="shared" si="81"/>
        <v>0</v>
      </c>
      <c r="I714" s="20" t="b">
        <f t="shared" si="82"/>
        <v>1</v>
      </c>
      <c r="J714" s="20"/>
      <c r="K714" s="20"/>
    </row>
    <row r="715" spans="1:11" ht="15.5" x14ac:dyDescent="0.35">
      <c r="A715" s="3" t="s">
        <v>85</v>
      </c>
      <c r="B715" s="1"/>
      <c r="C715" s="20">
        <v>18500</v>
      </c>
      <c r="D715" s="1"/>
      <c r="E715" s="1"/>
      <c r="F715" s="20">
        <f t="shared" si="80"/>
        <v>0</v>
      </c>
      <c r="G715" s="20">
        <f t="shared" si="80"/>
        <v>0</v>
      </c>
      <c r="H715" s="20">
        <f t="shared" si="81"/>
        <v>0</v>
      </c>
      <c r="I715" s="20" t="b">
        <f t="shared" si="82"/>
        <v>1</v>
      </c>
      <c r="J715" s="20"/>
      <c r="K715" s="20"/>
    </row>
    <row r="716" spans="1:11" ht="15.5" x14ac:dyDescent="0.35">
      <c r="A716" s="3" t="s">
        <v>86</v>
      </c>
      <c r="B716" s="1"/>
      <c r="C716" s="20">
        <v>18500</v>
      </c>
      <c r="D716" s="1"/>
      <c r="E716" s="1"/>
      <c r="F716" s="20">
        <f t="shared" si="80"/>
        <v>0</v>
      </c>
      <c r="G716" s="20">
        <f t="shared" si="80"/>
        <v>0</v>
      </c>
      <c r="H716" s="20">
        <f t="shared" si="81"/>
        <v>0</v>
      </c>
      <c r="I716" s="20" t="b">
        <f t="shared" si="82"/>
        <v>1</v>
      </c>
      <c r="J716" s="20"/>
      <c r="K716" s="20"/>
    </row>
    <row r="717" spans="1:11" ht="15.5" x14ac:dyDescent="0.35">
      <c r="A717" s="3" t="s">
        <v>87</v>
      </c>
      <c r="B717" s="1"/>
      <c r="C717" s="20">
        <v>18500</v>
      </c>
      <c r="D717" s="1"/>
      <c r="E717" s="1"/>
      <c r="F717" s="20">
        <f t="shared" si="80"/>
        <v>0</v>
      </c>
      <c r="G717" s="20">
        <f t="shared" si="80"/>
        <v>0</v>
      </c>
      <c r="H717" s="20">
        <f t="shared" si="81"/>
        <v>0</v>
      </c>
      <c r="I717" s="20" t="b">
        <f t="shared" si="82"/>
        <v>1</v>
      </c>
      <c r="J717" s="20"/>
      <c r="K717" s="20"/>
    </row>
    <row r="718" spans="1:11" ht="15.5" x14ac:dyDescent="0.35">
      <c r="A718" s="3" t="s">
        <v>88</v>
      </c>
      <c r="B718" s="1"/>
      <c r="C718" s="20">
        <v>18500</v>
      </c>
      <c r="D718" s="1"/>
      <c r="E718" s="1"/>
      <c r="F718" s="20">
        <f t="shared" si="80"/>
        <v>0</v>
      </c>
      <c r="G718" s="20">
        <f t="shared" si="80"/>
        <v>0</v>
      </c>
      <c r="H718" s="20">
        <f t="shared" si="81"/>
        <v>0</v>
      </c>
      <c r="I718" s="20" t="b">
        <f t="shared" si="82"/>
        <v>1</v>
      </c>
      <c r="J718" s="20"/>
      <c r="K718" s="20"/>
    </row>
    <row r="719" spans="1:11" ht="15.5" x14ac:dyDescent="0.35">
      <c r="A719" s="19" t="s">
        <v>89</v>
      </c>
      <c r="B719" s="1"/>
      <c r="C719" s="20"/>
      <c r="D719" s="1"/>
      <c r="E719" s="1"/>
      <c r="F719" s="20"/>
      <c r="G719" s="20"/>
      <c r="H719" s="20">
        <f t="shared" si="81"/>
        <v>0</v>
      </c>
      <c r="I719" s="20" t="b">
        <f t="shared" si="82"/>
        <v>1</v>
      </c>
      <c r="J719" s="20"/>
      <c r="K719" s="20"/>
    </row>
    <row r="720" spans="1:11" ht="15.5" x14ac:dyDescent="0.35">
      <c r="A720" s="3" t="s">
        <v>92</v>
      </c>
      <c r="B720" s="1"/>
      <c r="C720" s="20">
        <v>21500</v>
      </c>
      <c r="D720" s="1"/>
      <c r="E720" s="1"/>
      <c r="F720" s="20">
        <f t="shared" ref="F720:G722" si="83">C720*B720</f>
        <v>0</v>
      </c>
      <c r="G720" s="20">
        <f t="shared" si="83"/>
        <v>0</v>
      </c>
      <c r="H720" s="20">
        <f t="shared" si="81"/>
        <v>0</v>
      </c>
      <c r="I720" s="20" t="b">
        <f t="shared" si="82"/>
        <v>1</v>
      </c>
      <c r="J720" s="20"/>
      <c r="K720" s="20"/>
    </row>
    <row r="721" spans="1:11" ht="15.5" x14ac:dyDescent="0.35">
      <c r="A721" s="3" t="s">
        <v>93</v>
      </c>
      <c r="B721" s="1"/>
      <c r="C721" s="20">
        <v>21500</v>
      </c>
      <c r="D721" s="1"/>
      <c r="E721" s="1"/>
      <c r="F721" s="20">
        <f t="shared" si="83"/>
        <v>0</v>
      </c>
      <c r="G721" s="20">
        <f t="shared" si="83"/>
        <v>0</v>
      </c>
      <c r="H721" s="20">
        <f t="shared" si="81"/>
        <v>0</v>
      </c>
      <c r="I721" s="20" t="b">
        <f t="shared" si="82"/>
        <v>1</v>
      </c>
      <c r="J721" s="20"/>
      <c r="K721" s="20"/>
    </row>
    <row r="722" spans="1:11" ht="15.5" x14ac:dyDescent="0.35">
      <c r="A722" s="3" t="s">
        <v>94</v>
      </c>
      <c r="B722" s="1"/>
      <c r="C722" s="20">
        <v>21500</v>
      </c>
      <c r="D722" s="1"/>
      <c r="E722" s="1"/>
      <c r="F722" s="20">
        <f t="shared" si="83"/>
        <v>0</v>
      </c>
      <c r="G722" s="20">
        <f t="shared" si="83"/>
        <v>0</v>
      </c>
      <c r="H722" s="20">
        <f t="shared" si="81"/>
        <v>0</v>
      </c>
      <c r="I722" s="20" t="b">
        <f t="shared" si="82"/>
        <v>1</v>
      </c>
      <c r="J722" s="20"/>
      <c r="K722" s="20"/>
    </row>
    <row r="723" spans="1:11" ht="15.5" x14ac:dyDescent="0.35">
      <c r="A723" s="19"/>
      <c r="B723" s="22">
        <f>SUM(B706:B722)</f>
        <v>0</v>
      </c>
      <c r="C723" s="20"/>
      <c r="D723" s="1"/>
      <c r="E723" s="1"/>
      <c r="F723" s="23">
        <f>SUM(F706:F722)</f>
        <v>0</v>
      </c>
      <c r="G723" s="23">
        <f>SUM(G706:G722)</f>
        <v>0</v>
      </c>
      <c r="H723" s="23">
        <f>SUM(H706:H722)</f>
        <v>0</v>
      </c>
      <c r="I723" s="23"/>
      <c r="J723" s="23">
        <f>SUM(J706:J722)</f>
        <v>440000</v>
      </c>
      <c r="K723" s="23">
        <f>H723-J723</f>
        <v>-440000</v>
      </c>
    </row>
    <row r="724" spans="1:11" ht="15.5" x14ac:dyDescent="0.35">
      <c r="A724" s="19" t="s">
        <v>95</v>
      </c>
      <c r="B724" s="1"/>
      <c r="C724" s="20"/>
      <c r="D724" s="1"/>
      <c r="E724" s="1"/>
      <c r="F724" s="20"/>
      <c r="G724" s="20"/>
      <c r="H724" s="20" t="s">
        <v>192</v>
      </c>
      <c r="I724" s="20"/>
      <c r="J724" s="20"/>
      <c r="K724" s="20"/>
    </row>
    <row r="725" spans="1:11" ht="15.5" x14ac:dyDescent="0.35">
      <c r="A725" s="3" t="s">
        <v>96</v>
      </c>
      <c r="B725" s="1"/>
      <c r="C725" s="20">
        <v>3000</v>
      </c>
      <c r="D725" s="1"/>
      <c r="E725" s="20"/>
      <c r="F725" s="20">
        <f t="shared" ref="F725:F728" si="84">C725*B725</f>
        <v>0</v>
      </c>
      <c r="G725" s="20"/>
      <c r="H725" s="20"/>
      <c r="I725" s="20"/>
      <c r="J725" s="20"/>
      <c r="K725" s="20"/>
    </row>
    <row r="726" spans="1:11" ht="15.5" x14ac:dyDescent="0.35">
      <c r="A726" s="3" t="s">
        <v>97</v>
      </c>
      <c r="B726" s="1"/>
      <c r="C726" s="20">
        <v>2500</v>
      </c>
      <c r="D726" s="1"/>
      <c r="E726" s="1"/>
      <c r="F726" s="20">
        <f t="shared" si="84"/>
        <v>0</v>
      </c>
      <c r="G726" s="20"/>
      <c r="H726" s="20"/>
      <c r="I726" s="20"/>
      <c r="J726" s="20"/>
      <c r="K726" s="20"/>
    </row>
    <row r="727" spans="1:11" ht="15.5" x14ac:dyDescent="0.35">
      <c r="A727" s="3" t="s">
        <v>98</v>
      </c>
      <c r="B727" s="1"/>
      <c r="C727" s="20">
        <v>1800</v>
      </c>
      <c r="D727" s="1"/>
      <c r="E727" s="1"/>
      <c r="F727" s="20">
        <f t="shared" si="84"/>
        <v>0</v>
      </c>
      <c r="G727" s="20"/>
      <c r="H727" s="20"/>
      <c r="I727" s="20"/>
      <c r="J727" s="20"/>
      <c r="K727" s="20"/>
    </row>
    <row r="728" spans="1:11" ht="15.5" x14ac:dyDescent="0.35">
      <c r="A728" s="3" t="s">
        <v>99</v>
      </c>
      <c r="B728" s="1"/>
      <c r="C728" s="20">
        <v>3500</v>
      </c>
      <c r="D728" s="1"/>
      <c r="E728" s="1"/>
      <c r="F728" s="20">
        <f t="shared" si="84"/>
        <v>0</v>
      </c>
      <c r="G728" s="20"/>
      <c r="H728" s="20"/>
      <c r="I728" s="20"/>
      <c r="J728" s="20"/>
      <c r="K728" s="20"/>
    </row>
    <row r="729" spans="1:11" ht="15.5" x14ac:dyDescent="0.35">
      <c r="A729" s="18"/>
      <c r="F729" s="21"/>
    </row>
    <row r="730" spans="1:11" ht="15.5" x14ac:dyDescent="0.35">
      <c r="A730" s="24" t="s">
        <v>108</v>
      </c>
      <c r="K730" s="21"/>
    </row>
    <row r="731" spans="1:11" ht="15.5" x14ac:dyDescent="0.35">
      <c r="A731" s="18" t="s">
        <v>114</v>
      </c>
      <c r="B731" s="67">
        <v>40000</v>
      </c>
    </row>
    <row r="732" spans="1:11" ht="15.5" x14ac:dyDescent="0.35">
      <c r="A732" s="18" t="s">
        <v>112</v>
      </c>
      <c r="B732" s="67">
        <v>40000</v>
      </c>
    </row>
    <row r="733" spans="1:11" ht="15.5" x14ac:dyDescent="0.35">
      <c r="A733" s="18" t="s">
        <v>309</v>
      </c>
      <c r="B733" s="67">
        <v>60000</v>
      </c>
    </row>
    <row r="734" spans="1:11" ht="15.5" x14ac:dyDescent="0.35">
      <c r="A734" s="18" t="s">
        <v>110</v>
      </c>
      <c r="B734" s="67">
        <v>40000</v>
      </c>
    </row>
    <row r="735" spans="1:11" ht="15.5" x14ac:dyDescent="0.35">
      <c r="A735" s="18" t="s">
        <v>111</v>
      </c>
      <c r="B735" s="67">
        <v>40000</v>
      </c>
    </row>
    <row r="736" spans="1:11" ht="15.5" x14ac:dyDescent="0.35">
      <c r="A736" s="18" t="s">
        <v>196</v>
      </c>
      <c r="B736" s="67">
        <v>40000</v>
      </c>
    </row>
    <row r="737" spans="1:11" ht="15.5" x14ac:dyDescent="0.35">
      <c r="A737" s="18" t="s">
        <v>113</v>
      </c>
      <c r="B737" s="67">
        <v>40000</v>
      </c>
    </row>
    <row r="738" spans="1:11" ht="15.5" x14ac:dyDescent="0.35">
      <c r="A738" s="18" t="s">
        <v>209</v>
      </c>
      <c r="B738" s="67">
        <v>40000</v>
      </c>
    </row>
    <row r="739" spans="1:11" ht="15.5" x14ac:dyDescent="0.35">
      <c r="A739" s="18" t="s">
        <v>115</v>
      </c>
      <c r="B739" s="67">
        <v>60000</v>
      </c>
    </row>
    <row r="740" spans="1:11" ht="15.5" x14ac:dyDescent="0.35">
      <c r="A740" s="18" t="s">
        <v>109</v>
      </c>
      <c r="B740" s="67">
        <v>40000</v>
      </c>
    </row>
    <row r="741" spans="1:11" ht="15.5" x14ac:dyDescent="0.35">
      <c r="A741" s="24" t="s">
        <v>4</v>
      </c>
      <c r="B741" s="75">
        <f>SUM(B731:B740)</f>
        <v>440000</v>
      </c>
    </row>
    <row r="744" spans="1:11" ht="18.5" x14ac:dyDescent="0.45">
      <c r="A744" s="151" t="s">
        <v>1</v>
      </c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</row>
    <row r="745" spans="1:11" ht="18.5" x14ac:dyDescent="0.45">
      <c r="A745" s="150" t="s">
        <v>74</v>
      </c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</row>
    <row r="746" spans="1:11" ht="18.5" x14ac:dyDescent="0.45">
      <c r="A746" s="149" t="s">
        <v>360</v>
      </c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</row>
    <row r="747" spans="1:11" ht="18.5" x14ac:dyDescent="0.45">
      <c r="A747" s="150"/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</row>
    <row r="748" spans="1:11" ht="18.5" x14ac:dyDescent="0.45">
      <c r="A748" s="2" t="s">
        <v>75</v>
      </c>
      <c r="B748" s="2" t="s">
        <v>3</v>
      </c>
      <c r="C748" s="2" t="s">
        <v>100</v>
      </c>
      <c r="D748" s="2" t="s">
        <v>90</v>
      </c>
      <c r="E748" s="2" t="s">
        <v>91</v>
      </c>
      <c r="F748" s="2" t="s">
        <v>4</v>
      </c>
      <c r="G748" s="2" t="s">
        <v>101</v>
      </c>
      <c r="H748" s="2" t="s">
        <v>104</v>
      </c>
      <c r="I748" s="2"/>
      <c r="J748" s="2" t="s">
        <v>105</v>
      </c>
      <c r="K748" s="2" t="s">
        <v>106</v>
      </c>
    </row>
    <row r="749" spans="1:11" ht="15.5" x14ac:dyDescent="0.35">
      <c r="A749" s="3" t="s">
        <v>76</v>
      </c>
      <c r="B749" s="1"/>
      <c r="C749" s="20">
        <v>17500</v>
      </c>
      <c r="D749" s="1"/>
      <c r="E749" s="1"/>
      <c r="F749" s="20">
        <f>C749*B749</f>
        <v>0</v>
      </c>
      <c r="G749" s="20">
        <f>D749*C749</f>
        <v>0</v>
      </c>
      <c r="H749" s="20">
        <f>E749*C749</f>
        <v>0</v>
      </c>
      <c r="I749" s="20" t="b">
        <f>D749+E749=B749</f>
        <v>1</v>
      </c>
      <c r="J749" s="20">
        <f>B784</f>
        <v>440000</v>
      </c>
      <c r="K749" s="20"/>
    </row>
    <row r="750" spans="1:11" ht="15.5" x14ac:dyDescent="0.35">
      <c r="A750" s="3" t="s">
        <v>77</v>
      </c>
      <c r="B750" s="1"/>
      <c r="C750" s="20">
        <v>16000</v>
      </c>
      <c r="D750" s="1"/>
      <c r="E750" s="1"/>
      <c r="F750" s="20">
        <f t="shared" ref="F750:G761" si="85">C750*B750</f>
        <v>0</v>
      </c>
      <c r="G750" s="20">
        <f t="shared" si="85"/>
        <v>0</v>
      </c>
      <c r="H750" s="20">
        <f t="shared" ref="H750:H765" si="86">E750*C750</f>
        <v>0</v>
      </c>
      <c r="I750" s="20" t="b">
        <f t="shared" ref="I750:I765" si="87">D750+E750=B750</f>
        <v>1</v>
      </c>
      <c r="J750" s="20"/>
      <c r="K750" s="20"/>
    </row>
    <row r="751" spans="1:11" ht="15.5" x14ac:dyDescent="0.35">
      <c r="A751" s="3" t="s">
        <v>78</v>
      </c>
      <c r="B751" s="1"/>
      <c r="C751" s="20">
        <v>17500</v>
      </c>
      <c r="D751" s="1"/>
      <c r="E751" s="1"/>
      <c r="F751" s="20">
        <f t="shared" si="85"/>
        <v>0</v>
      </c>
      <c r="G751" s="20">
        <f t="shared" si="85"/>
        <v>0</v>
      </c>
      <c r="H751" s="20">
        <f t="shared" si="86"/>
        <v>0</v>
      </c>
      <c r="I751" s="20" t="b">
        <f t="shared" si="87"/>
        <v>1</v>
      </c>
      <c r="J751" s="20"/>
      <c r="K751" s="20"/>
    </row>
    <row r="752" spans="1:11" ht="15.5" x14ac:dyDescent="0.35">
      <c r="A752" s="3" t="s">
        <v>79</v>
      </c>
      <c r="B752" s="1"/>
      <c r="C752" s="20">
        <v>18500</v>
      </c>
      <c r="D752" s="1"/>
      <c r="E752" s="1"/>
      <c r="F752" s="20">
        <f t="shared" si="85"/>
        <v>0</v>
      </c>
      <c r="G752" s="20">
        <f t="shared" si="85"/>
        <v>0</v>
      </c>
      <c r="H752" s="20">
        <f t="shared" si="86"/>
        <v>0</v>
      </c>
      <c r="I752" s="20" t="b">
        <f t="shared" si="87"/>
        <v>1</v>
      </c>
      <c r="J752" s="20"/>
      <c r="K752" s="20"/>
    </row>
    <row r="753" spans="1:11" ht="15.5" x14ac:dyDescent="0.35">
      <c r="A753" s="3" t="s">
        <v>80</v>
      </c>
      <c r="B753" s="1"/>
      <c r="C753" s="20">
        <v>18500</v>
      </c>
      <c r="D753" s="1"/>
      <c r="E753" s="1"/>
      <c r="F753" s="20">
        <f t="shared" si="85"/>
        <v>0</v>
      </c>
      <c r="G753" s="20">
        <f t="shared" si="85"/>
        <v>0</v>
      </c>
      <c r="H753" s="20">
        <f t="shared" si="86"/>
        <v>0</v>
      </c>
      <c r="I753" s="20" t="b">
        <f t="shared" si="87"/>
        <v>1</v>
      </c>
      <c r="J753" s="20"/>
      <c r="K753" s="20"/>
    </row>
    <row r="754" spans="1:11" ht="15.5" x14ac:dyDescent="0.35">
      <c r="A754" s="3" t="s">
        <v>81</v>
      </c>
      <c r="B754" s="1"/>
      <c r="C754" s="20">
        <v>23000</v>
      </c>
      <c r="D754" s="1"/>
      <c r="E754" s="1"/>
      <c r="F754" s="20">
        <f t="shared" si="85"/>
        <v>0</v>
      </c>
      <c r="G754" s="20">
        <f t="shared" si="85"/>
        <v>0</v>
      </c>
      <c r="H754" s="20">
        <f t="shared" si="86"/>
        <v>0</v>
      </c>
      <c r="I754" s="20" t="b">
        <f t="shared" si="87"/>
        <v>1</v>
      </c>
      <c r="J754" s="20"/>
      <c r="K754" s="20"/>
    </row>
    <row r="755" spans="1:11" ht="15.5" x14ac:dyDescent="0.35">
      <c r="A755" s="3" t="s">
        <v>82</v>
      </c>
      <c r="B755" s="1"/>
      <c r="C755" s="20">
        <v>18000</v>
      </c>
      <c r="D755" s="1"/>
      <c r="E755" s="1"/>
      <c r="F755" s="20">
        <f t="shared" si="85"/>
        <v>0</v>
      </c>
      <c r="G755" s="20">
        <f t="shared" si="85"/>
        <v>0</v>
      </c>
      <c r="H755" s="20">
        <f t="shared" si="86"/>
        <v>0</v>
      </c>
      <c r="I755" s="20" t="b">
        <f t="shared" si="87"/>
        <v>1</v>
      </c>
      <c r="J755" s="20"/>
      <c r="K755" s="20"/>
    </row>
    <row r="756" spans="1:11" ht="15.5" x14ac:dyDescent="0.35">
      <c r="A756" s="3" t="s">
        <v>83</v>
      </c>
      <c r="B756" s="1"/>
      <c r="C756" s="20">
        <v>18000</v>
      </c>
      <c r="D756" s="1"/>
      <c r="E756" s="1"/>
      <c r="F756" s="20">
        <f t="shared" si="85"/>
        <v>0</v>
      </c>
      <c r="G756" s="20">
        <f t="shared" si="85"/>
        <v>0</v>
      </c>
      <c r="H756" s="20">
        <f t="shared" si="86"/>
        <v>0</v>
      </c>
      <c r="I756" s="20" t="b">
        <f t="shared" si="87"/>
        <v>1</v>
      </c>
      <c r="J756" s="20"/>
      <c r="K756" s="20"/>
    </row>
    <row r="757" spans="1:11" ht="15.5" x14ac:dyDescent="0.35">
      <c r="A757" s="3" t="s">
        <v>84</v>
      </c>
      <c r="B757" s="1"/>
      <c r="C757" s="20">
        <v>18500</v>
      </c>
      <c r="D757" s="1"/>
      <c r="E757" s="1"/>
      <c r="F757" s="20">
        <f t="shared" si="85"/>
        <v>0</v>
      </c>
      <c r="G757" s="20">
        <f t="shared" si="85"/>
        <v>0</v>
      </c>
      <c r="H757" s="20">
        <f t="shared" si="86"/>
        <v>0</v>
      </c>
      <c r="I757" s="20" t="b">
        <f t="shared" si="87"/>
        <v>1</v>
      </c>
      <c r="J757" s="20"/>
      <c r="K757" s="20"/>
    </row>
    <row r="758" spans="1:11" ht="15.5" x14ac:dyDescent="0.35">
      <c r="A758" s="3" t="s">
        <v>85</v>
      </c>
      <c r="B758" s="1"/>
      <c r="C758" s="20">
        <v>18500</v>
      </c>
      <c r="D758" s="1"/>
      <c r="E758" s="1"/>
      <c r="F758" s="20">
        <f t="shared" si="85"/>
        <v>0</v>
      </c>
      <c r="G758" s="20">
        <f t="shared" si="85"/>
        <v>0</v>
      </c>
      <c r="H758" s="20">
        <f t="shared" si="86"/>
        <v>0</v>
      </c>
      <c r="I758" s="20" t="b">
        <f t="shared" si="87"/>
        <v>1</v>
      </c>
      <c r="J758" s="20"/>
      <c r="K758" s="20"/>
    </row>
    <row r="759" spans="1:11" ht="15.5" x14ac:dyDescent="0.35">
      <c r="A759" s="3" t="s">
        <v>86</v>
      </c>
      <c r="B759" s="1"/>
      <c r="C759" s="20">
        <v>18500</v>
      </c>
      <c r="D759" s="1"/>
      <c r="E759" s="1"/>
      <c r="F759" s="20">
        <f t="shared" si="85"/>
        <v>0</v>
      </c>
      <c r="G759" s="20">
        <f t="shared" si="85"/>
        <v>0</v>
      </c>
      <c r="H759" s="20">
        <f t="shared" si="86"/>
        <v>0</v>
      </c>
      <c r="I759" s="20" t="b">
        <f t="shared" si="87"/>
        <v>1</v>
      </c>
      <c r="J759" s="20"/>
      <c r="K759" s="20"/>
    </row>
    <row r="760" spans="1:11" ht="15.5" x14ac:dyDescent="0.35">
      <c r="A760" s="3" t="s">
        <v>87</v>
      </c>
      <c r="B760" s="1"/>
      <c r="C760" s="20">
        <v>18500</v>
      </c>
      <c r="D760" s="1"/>
      <c r="E760" s="1"/>
      <c r="F760" s="20">
        <f t="shared" si="85"/>
        <v>0</v>
      </c>
      <c r="G760" s="20">
        <f t="shared" si="85"/>
        <v>0</v>
      </c>
      <c r="H760" s="20">
        <f t="shared" si="86"/>
        <v>0</v>
      </c>
      <c r="I760" s="20" t="b">
        <f t="shared" si="87"/>
        <v>1</v>
      </c>
      <c r="J760" s="20"/>
      <c r="K760" s="20"/>
    </row>
    <row r="761" spans="1:11" ht="15.5" x14ac:dyDescent="0.35">
      <c r="A761" s="3" t="s">
        <v>88</v>
      </c>
      <c r="B761" s="1"/>
      <c r="C761" s="20">
        <v>18500</v>
      </c>
      <c r="D761" s="1"/>
      <c r="E761" s="1"/>
      <c r="F761" s="20">
        <f t="shared" si="85"/>
        <v>0</v>
      </c>
      <c r="G761" s="20">
        <f t="shared" si="85"/>
        <v>0</v>
      </c>
      <c r="H761" s="20">
        <f t="shared" si="86"/>
        <v>0</v>
      </c>
      <c r="I761" s="20" t="b">
        <f t="shared" si="87"/>
        <v>1</v>
      </c>
      <c r="J761" s="20"/>
      <c r="K761" s="20"/>
    </row>
    <row r="762" spans="1:11" ht="15.5" x14ac:dyDescent="0.35">
      <c r="A762" s="19" t="s">
        <v>89</v>
      </c>
      <c r="B762" s="1"/>
      <c r="C762" s="20"/>
      <c r="D762" s="1"/>
      <c r="E762" s="1"/>
      <c r="F762" s="20"/>
      <c r="G762" s="20"/>
      <c r="H762" s="20">
        <f t="shared" si="86"/>
        <v>0</v>
      </c>
      <c r="I762" s="20" t="b">
        <f t="shared" si="87"/>
        <v>1</v>
      </c>
      <c r="J762" s="20"/>
      <c r="K762" s="20"/>
    </row>
    <row r="763" spans="1:11" ht="15.5" x14ac:dyDescent="0.35">
      <c r="A763" s="3" t="s">
        <v>92</v>
      </c>
      <c r="B763" s="1"/>
      <c r="C763" s="20">
        <v>21500</v>
      </c>
      <c r="D763" s="1"/>
      <c r="E763" s="1"/>
      <c r="F763" s="20">
        <f t="shared" ref="F763:G765" si="88">C763*B763</f>
        <v>0</v>
      </c>
      <c r="G763" s="20">
        <f t="shared" si="88"/>
        <v>0</v>
      </c>
      <c r="H763" s="20">
        <f t="shared" si="86"/>
        <v>0</v>
      </c>
      <c r="I763" s="20" t="b">
        <f t="shared" si="87"/>
        <v>1</v>
      </c>
      <c r="J763" s="20"/>
      <c r="K763" s="20"/>
    </row>
    <row r="764" spans="1:11" ht="15.5" x14ac:dyDescent="0.35">
      <c r="A764" s="3" t="s">
        <v>93</v>
      </c>
      <c r="B764" s="1"/>
      <c r="C764" s="20">
        <v>21500</v>
      </c>
      <c r="D764" s="1"/>
      <c r="E764" s="1"/>
      <c r="F764" s="20">
        <f t="shared" si="88"/>
        <v>0</v>
      </c>
      <c r="G764" s="20">
        <f t="shared" si="88"/>
        <v>0</v>
      </c>
      <c r="H764" s="20">
        <f t="shared" si="86"/>
        <v>0</v>
      </c>
      <c r="I764" s="20" t="b">
        <f t="shared" si="87"/>
        <v>1</v>
      </c>
      <c r="J764" s="20"/>
      <c r="K764" s="20"/>
    </row>
    <row r="765" spans="1:11" ht="15.5" x14ac:dyDescent="0.35">
      <c r="A765" s="3" t="s">
        <v>94</v>
      </c>
      <c r="B765" s="1"/>
      <c r="C765" s="20">
        <v>21500</v>
      </c>
      <c r="D765" s="1"/>
      <c r="E765" s="1"/>
      <c r="F765" s="20">
        <f t="shared" si="88"/>
        <v>0</v>
      </c>
      <c r="G765" s="20">
        <f t="shared" si="88"/>
        <v>0</v>
      </c>
      <c r="H765" s="20">
        <f t="shared" si="86"/>
        <v>0</v>
      </c>
      <c r="I765" s="20" t="b">
        <f t="shared" si="87"/>
        <v>1</v>
      </c>
      <c r="J765" s="20"/>
      <c r="K765" s="20"/>
    </row>
    <row r="766" spans="1:11" ht="15.5" x14ac:dyDescent="0.35">
      <c r="A766" s="19"/>
      <c r="B766" s="22">
        <f>SUM(B749:B765)</f>
        <v>0</v>
      </c>
      <c r="C766" s="20"/>
      <c r="D766" s="1"/>
      <c r="E766" s="1"/>
      <c r="F766" s="23">
        <f>SUM(F749:F765)</f>
        <v>0</v>
      </c>
      <c r="G766" s="23">
        <f>SUM(G749:G765)</f>
        <v>0</v>
      </c>
      <c r="H766" s="23">
        <f>SUM(H749:H765)</f>
        <v>0</v>
      </c>
      <c r="I766" s="23"/>
      <c r="J766" s="23">
        <f>SUM(J749:J765)</f>
        <v>440000</v>
      </c>
      <c r="K766" s="23">
        <f>H766-J766</f>
        <v>-440000</v>
      </c>
    </row>
    <row r="767" spans="1:11" ht="15.5" x14ac:dyDescent="0.35">
      <c r="A767" s="19" t="s">
        <v>95</v>
      </c>
      <c r="B767" s="1"/>
      <c r="C767" s="20"/>
      <c r="D767" s="1"/>
      <c r="E767" s="1"/>
      <c r="F767" s="20"/>
      <c r="G767" s="20"/>
      <c r="H767" s="20" t="s">
        <v>192</v>
      </c>
      <c r="I767" s="20"/>
      <c r="J767" s="20"/>
      <c r="K767" s="20"/>
    </row>
    <row r="768" spans="1:11" ht="15.5" x14ac:dyDescent="0.35">
      <c r="A768" s="3" t="s">
        <v>96</v>
      </c>
      <c r="B768" s="1"/>
      <c r="C768" s="20">
        <v>3000</v>
      </c>
      <c r="D768" s="1"/>
      <c r="E768" s="20"/>
      <c r="F768" s="20">
        <f t="shared" ref="F768:F771" si="89">C768*B768</f>
        <v>0</v>
      </c>
      <c r="G768" s="20"/>
      <c r="H768" s="20"/>
      <c r="I768" s="20"/>
      <c r="J768" s="20"/>
      <c r="K768" s="20"/>
    </row>
    <row r="769" spans="1:11" ht="15.5" x14ac:dyDescent="0.35">
      <c r="A769" s="3" t="s">
        <v>97</v>
      </c>
      <c r="B769" s="1"/>
      <c r="C769" s="20">
        <v>2500</v>
      </c>
      <c r="D769" s="1"/>
      <c r="E769" s="1"/>
      <c r="F769" s="20">
        <f t="shared" si="89"/>
        <v>0</v>
      </c>
      <c r="G769" s="20"/>
      <c r="H769" s="20"/>
      <c r="I769" s="20"/>
      <c r="J769" s="20"/>
      <c r="K769" s="20"/>
    </row>
    <row r="770" spans="1:11" ht="15.5" x14ac:dyDescent="0.35">
      <c r="A770" s="3" t="s">
        <v>98</v>
      </c>
      <c r="B770" s="1"/>
      <c r="C770" s="20">
        <v>1800</v>
      </c>
      <c r="D770" s="1"/>
      <c r="E770" s="1"/>
      <c r="F770" s="20">
        <f t="shared" si="89"/>
        <v>0</v>
      </c>
      <c r="G770" s="20"/>
      <c r="H770" s="20"/>
      <c r="I770" s="20"/>
      <c r="J770" s="20"/>
      <c r="K770" s="20"/>
    </row>
    <row r="771" spans="1:11" ht="15.5" x14ac:dyDescent="0.35">
      <c r="A771" s="3" t="s">
        <v>99</v>
      </c>
      <c r="B771" s="1"/>
      <c r="C771" s="20">
        <v>3500</v>
      </c>
      <c r="D771" s="1"/>
      <c r="E771" s="1"/>
      <c r="F771" s="20">
        <f t="shared" si="89"/>
        <v>0</v>
      </c>
      <c r="G771" s="20"/>
      <c r="H771" s="20"/>
      <c r="I771" s="20"/>
      <c r="J771" s="20"/>
      <c r="K771" s="20"/>
    </row>
    <row r="772" spans="1:11" ht="15.5" x14ac:dyDescent="0.35">
      <c r="A772" s="18"/>
      <c r="F772" s="21"/>
    </row>
    <row r="773" spans="1:11" ht="15.5" x14ac:dyDescent="0.35">
      <c r="A773" s="24" t="s">
        <v>108</v>
      </c>
      <c r="K773" s="21"/>
    </row>
    <row r="774" spans="1:11" ht="15.5" x14ac:dyDescent="0.35">
      <c r="A774" s="18" t="s">
        <v>114</v>
      </c>
      <c r="B774" s="67">
        <v>40000</v>
      </c>
    </row>
    <row r="775" spans="1:11" ht="15.5" x14ac:dyDescent="0.35">
      <c r="A775" s="18" t="s">
        <v>112</v>
      </c>
      <c r="B775" s="67">
        <v>40000</v>
      </c>
    </row>
    <row r="776" spans="1:11" ht="15.5" x14ac:dyDescent="0.35">
      <c r="A776" s="18" t="s">
        <v>309</v>
      </c>
      <c r="B776" s="67">
        <v>60000</v>
      </c>
    </row>
    <row r="777" spans="1:11" ht="15.5" x14ac:dyDescent="0.35">
      <c r="A777" s="18" t="s">
        <v>110</v>
      </c>
      <c r="B777" s="67">
        <v>40000</v>
      </c>
    </row>
    <row r="778" spans="1:11" ht="15.5" x14ac:dyDescent="0.35">
      <c r="A778" s="18" t="s">
        <v>111</v>
      </c>
      <c r="B778" s="67">
        <v>40000</v>
      </c>
    </row>
    <row r="779" spans="1:11" ht="15.5" x14ac:dyDescent="0.35">
      <c r="A779" s="18" t="s">
        <v>196</v>
      </c>
      <c r="B779" s="67">
        <v>40000</v>
      </c>
    </row>
    <row r="780" spans="1:11" ht="15.5" x14ac:dyDescent="0.35">
      <c r="A780" s="18" t="s">
        <v>113</v>
      </c>
      <c r="B780" s="67">
        <v>40000</v>
      </c>
    </row>
    <row r="781" spans="1:11" ht="15.5" x14ac:dyDescent="0.35">
      <c r="A781" s="18" t="s">
        <v>209</v>
      </c>
      <c r="B781" s="67">
        <v>40000</v>
      </c>
    </row>
    <row r="782" spans="1:11" ht="15.5" x14ac:dyDescent="0.35">
      <c r="A782" s="18" t="s">
        <v>115</v>
      </c>
      <c r="B782" s="67">
        <v>60000</v>
      </c>
    </row>
    <row r="783" spans="1:11" ht="15.5" x14ac:dyDescent="0.35">
      <c r="A783" s="18" t="s">
        <v>109</v>
      </c>
      <c r="B783" s="67">
        <v>40000</v>
      </c>
    </row>
    <row r="784" spans="1:11" ht="15.5" x14ac:dyDescent="0.35">
      <c r="A784" s="24" t="s">
        <v>4</v>
      </c>
      <c r="B784" s="75">
        <f>SUM(B774:B783)</f>
        <v>440000</v>
      </c>
    </row>
    <row r="787" spans="1:11" ht="18.5" x14ac:dyDescent="0.45">
      <c r="A787" s="151" t="s">
        <v>1</v>
      </c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</row>
    <row r="788" spans="1:11" ht="18.5" x14ac:dyDescent="0.45">
      <c r="A788" s="150" t="s">
        <v>74</v>
      </c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</row>
    <row r="789" spans="1:11" ht="18.5" x14ac:dyDescent="0.45">
      <c r="A789" s="149" t="s">
        <v>360</v>
      </c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</row>
    <row r="790" spans="1:11" ht="18.5" x14ac:dyDescent="0.45">
      <c r="A790" s="150"/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</row>
    <row r="791" spans="1:11" ht="18.5" x14ac:dyDescent="0.45">
      <c r="A791" s="2" t="s">
        <v>75</v>
      </c>
      <c r="B791" s="2" t="s">
        <v>3</v>
      </c>
      <c r="C791" s="2" t="s">
        <v>100</v>
      </c>
      <c r="D791" s="2" t="s">
        <v>90</v>
      </c>
      <c r="E791" s="2" t="s">
        <v>91</v>
      </c>
      <c r="F791" s="2" t="s">
        <v>4</v>
      </c>
      <c r="G791" s="2" t="s">
        <v>101</v>
      </c>
      <c r="H791" s="2" t="s">
        <v>104</v>
      </c>
      <c r="I791" s="2"/>
      <c r="J791" s="2" t="s">
        <v>105</v>
      </c>
      <c r="K791" s="2" t="s">
        <v>106</v>
      </c>
    </row>
    <row r="792" spans="1:11" ht="15.5" x14ac:dyDescent="0.35">
      <c r="A792" s="3" t="s">
        <v>76</v>
      </c>
      <c r="B792" s="1"/>
      <c r="C792" s="20">
        <v>17500</v>
      </c>
      <c r="D792" s="1"/>
      <c r="E792" s="1"/>
      <c r="F792" s="20">
        <f>C792*B792</f>
        <v>0</v>
      </c>
      <c r="G792" s="20">
        <f>D792*C792</f>
        <v>0</v>
      </c>
      <c r="H792" s="20">
        <f>E792*C792</f>
        <v>0</v>
      </c>
      <c r="I792" s="20" t="b">
        <f>D792+E792=B792</f>
        <v>1</v>
      </c>
      <c r="J792" s="20">
        <f>B827</f>
        <v>440000</v>
      </c>
      <c r="K792" s="20"/>
    </row>
    <row r="793" spans="1:11" ht="15.5" x14ac:dyDescent="0.35">
      <c r="A793" s="3" t="s">
        <v>77</v>
      </c>
      <c r="B793" s="1"/>
      <c r="C793" s="20">
        <v>16000</v>
      </c>
      <c r="D793" s="1"/>
      <c r="E793" s="1"/>
      <c r="F793" s="20">
        <f t="shared" ref="F793:G804" si="90">C793*B793</f>
        <v>0</v>
      </c>
      <c r="G793" s="20">
        <f t="shared" si="90"/>
        <v>0</v>
      </c>
      <c r="H793" s="20">
        <f t="shared" ref="H793:H808" si="91">E793*C793</f>
        <v>0</v>
      </c>
      <c r="I793" s="20" t="b">
        <f t="shared" ref="I793:I808" si="92">D793+E793=B793</f>
        <v>1</v>
      </c>
      <c r="J793" s="20"/>
      <c r="K793" s="20"/>
    </row>
    <row r="794" spans="1:11" ht="15.5" x14ac:dyDescent="0.35">
      <c r="A794" s="3" t="s">
        <v>78</v>
      </c>
      <c r="B794" s="1"/>
      <c r="C794" s="20">
        <v>17500</v>
      </c>
      <c r="D794" s="1"/>
      <c r="E794" s="1"/>
      <c r="F794" s="20">
        <f t="shared" si="90"/>
        <v>0</v>
      </c>
      <c r="G794" s="20">
        <f t="shared" si="90"/>
        <v>0</v>
      </c>
      <c r="H794" s="20">
        <f t="shared" si="91"/>
        <v>0</v>
      </c>
      <c r="I794" s="20" t="b">
        <f t="shared" si="92"/>
        <v>1</v>
      </c>
      <c r="J794" s="20"/>
      <c r="K794" s="20"/>
    </row>
    <row r="795" spans="1:11" ht="15.5" x14ac:dyDescent="0.35">
      <c r="A795" s="3" t="s">
        <v>79</v>
      </c>
      <c r="B795" s="1"/>
      <c r="C795" s="20">
        <v>18500</v>
      </c>
      <c r="D795" s="1"/>
      <c r="E795" s="1"/>
      <c r="F795" s="20">
        <f t="shared" si="90"/>
        <v>0</v>
      </c>
      <c r="G795" s="20">
        <f t="shared" si="90"/>
        <v>0</v>
      </c>
      <c r="H795" s="20">
        <f t="shared" si="91"/>
        <v>0</v>
      </c>
      <c r="I795" s="20" t="b">
        <f t="shared" si="92"/>
        <v>1</v>
      </c>
      <c r="J795" s="20"/>
      <c r="K795" s="20"/>
    </row>
    <row r="796" spans="1:11" ht="15.5" x14ac:dyDescent="0.35">
      <c r="A796" s="3" t="s">
        <v>80</v>
      </c>
      <c r="B796" s="1"/>
      <c r="C796" s="20">
        <v>18500</v>
      </c>
      <c r="D796" s="1"/>
      <c r="E796" s="1"/>
      <c r="F796" s="20">
        <f t="shared" si="90"/>
        <v>0</v>
      </c>
      <c r="G796" s="20">
        <f t="shared" si="90"/>
        <v>0</v>
      </c>
      <c r="H796" s="20">
        <f t="shared" si="91"/>
        <v>0</v>
      </c>
      <c r="I796" s="20" t="b">
        <f t="shared" si="92"/>
        <v>1</v>
      </c>
      <c r="J796" s="20"/>
      <c r="K796" s="20"/>
    </row>
    <row r="797" spans="1:11" ht="15.5" x14ac:dyDescent="0.35">
      <c r="A797" s="3" t="s">
        <v>81</v>
      </c>
      <c r="B797" s="1"/>
      <c r="C797" s="20">
        <v>23000</v>
      </c>
      <c r="D797" s="1"/>
      <c r="E797" s="1"/>
      <c r="F797" s="20">
        <f t="shared" si="90"/>
        <v>0</v>
      </c>
      <c r="G797" s="20">
        <f t="shared" si="90"/>
        <v>0</v>
      </c>
      <c r="H797" s="20">
        <f t="shared" si="91"/>
        <v>0</v>
      </c>
      <c r="I797" s="20" t="b">
        <f t="shared" si="92"/>
        <v>1</v>
      </c>
      <c r="J797" s="20"/>
      <c r="K797" s="20"/>
    </row>
    <row r="798" spans="1:11" ht="15.5" x14ac:dyDescent="0.35">
      <c r="A798" s="3" t="s">
        <v>82</v>
      </c>
      <c r="B798" s="1"/>
      <c r="C798" s="20">
        <v>18000</v>
      </c>
      <c r="D798" s="1"/>
      <c r="E798" s="1"/>
      <c r="F798" s="20">
        <f t="shared" si="90"/>
        <v>0</v>
      </c>
      <c r="G798" s="20">
        <f t="shared" si="90"/>
        <v>0</v>
      </c>
      <c r="H798" s="20">
        <f t="shared" si="91"/>
        <v>0</v>
      </c>
      <c r="I798" s="20" t="b">
        <f t="shared" si="92"/>
        <v>1</v>
      </c>
      <c r="J798" s="20"/>
      <c r="K798" s="20"/>
    </row>
    <row r="799" spans="1:11" ht="15.5" x14ac:dyDescent="0.35">
      <c r="A799" s="3" t="s">
        <v>83</v>
      </c>
      <c r="B799" s="1"/>
      <c r="C799" s="20">
        <v>18000</v>
      </c>
      <c r="D799" s="1"/>
      <c r="E799" s="1"/>
      <c r="F799" s="20">
        <f t="shared" si="90"/>
        <v>0</v>
      </c>
      <c r="G799" s="20">
        <f t="shared" si="90"/>
        <v>0</v>
      </c>
      <c r="H799" s="20">
        <f t="shared" si="91"/>
        <v>0</v>
      </c>
      <c r="I799" s="20" t="b">
        <f t="shared" si="92"/>
        <v>1</v>
      </c>
      <c r="J799" s="20"/>
      <c r="K799" s="20"/>
    </row>
    <row r="800" spans="1:11" ht="15.5" x14ac:dyDescent="0.35">
      <c r="A800" s="3" t="s">
        <v>84</v>
      </c>
      <c r="B800" s="1"/>
      <c r="C800" s="20">
        <v>18500</v>
      </c>
      <c r="D800" s="1"/>
      <c r="E800" s="1"/>
      <c r="F800" s="20">
        <f t="shared" si="90"/>
        <v>0</v>
      </c>
      <c r="G800" s="20">
        <f t="shared" si="90"/>
        <v>0</v>
      </c>
      <c r="H800" s="20">
        <f t="shared" si="91"/>
        <v>0</v>
      </c>
      <c r="I800" s="20" t="b">
        <f t="shared" si="92"/>
        <v>1</v>
      </c>
      <c r="J800" s="20"/>
      <c r="K800" s="20"/>
    </row>
    <row r="801" spans="1:11" ht="15.5" x14ac:dyDescent="0.35">
      <c r="A801" s="3" t="s">
        <v>85</v>
      </c>
      <c r="B801" s="1"/>
      <c r="C801" s="20">
        <v>18500</v>
      </c>
      <c r="D801" s="1"/>
      <c r="E801" s="1"/>
      <c r="F801" s="20">
        <f t="shared" si="90"/>
        <v>0</v>
      </c>
      <c r="G801" s="20">
        <f t="shared" si="90"/>
        <v>0</v>
      </c>
      <c r="H801" s="20">
        <f t="shared" si="91"/>
        <v>0</v>
      </c>
      <c r="I801" s="20" t="b">
        <f t="shared" si="92"/>
        <v>1</v>
      </c>
      <c r="J801" s="20"/>
      <c r="K801" s="20"/>
    </row>
    <row r="802" spans="1:11" ht="15.5" x14ac:dyDescent="0.35">
      <c r="A802" s="3" t="s">
        <v>86</v>
      </c>
      <c r="B802" s="1"/>
      <c r="C802" s="20">
        <v>18500</v>
      </c>
      <c r="D802" s="1"/>
      <c r="E802" s="1"/>
      <c r="F802" s="20">
        <f t="shared" si="90"/>
        <v>0</v>
      </c>
      <c r="G802" s="20">
        <f t="shared" si="90"/>
        <v>0</v>
      </c>
      <c r="H802" s="20">
        <f t="shared" si="91"/>
        <v>0</v>
      </c>
      <c r="I802" s="20" t="b">
        <f t="shared" si="92"/>
        <v>1</v>
      </c>
      <c r="J802" s="20"/>
      <c r="K802" s="20"/>
    </row>
    <row r="803" spans="1:11" ht="15.5" x14ac:dyDescent="0.35">
      <c r="A803" s="3" t="s">
        <v>87</v>
      </c>
      <c r="B803" s="1"/>
      <c r="C803" s="20">
        <v>18500</v>
      </c>
      <c r="D803" s="1"/>
      <c r="E803" s="1"/>
      <c r="F803" s="20">
        <f t="shared" si="90"/>
        <v>0</v>
      </c>
      <c r="G803" s="20">
        <f t="shared" si="90"/>
        <v>0</v>
      </c>
      <c r="H803" s="20">
        <f t="shared" si="91"/>
        <v>0</v>
      </c>
      <c r="I803" s="20" t="b">
        <f t="shared" si="92"/>
        <v>1</v>
      </c>
      <c r="J803" s="20"/>
      <c r="K803" s="20"/>
    </row>
    <row r="804" spans="1:11" ht="15.5" x14ac:dyDescent="0.35">
      <c r="A804" s="3" t="s">
        <v>88</v>
      </c>
      <c r="B804" s="1"/>
      <c r="C804" s="20">
        <v>18500</v>
      </c>
      <c r="D804" s="1"/>
      <c r="E804" s="1"/>
      <c r="F804" s="20">
        <f t="shared" si="90"/>
        <v>0</v>
      </c>
      <c r="G804" s="20">
        <f t="shared" si="90"/>
        <v>0</v>
      </c>
      <c r="H804" s="20">
        <f t="shared" si="91"/>
        <v>0</v>
      </c>
      <c r="I804" s="20" t="b">
        <f t="shared" si="92"/>
        <v>1</v>
      </c>
      <c r="J804" s="20"/>
      <c r="K804" s="20"/>
    </row>
    <row r="805" spans="1:11" ht="15.5" x14ac:dyDescent="0.35">
      <c r="A805" s="19" t="s">
        <v>89</v>
      </c>
      <c r="B805" s="1"/>
      <c r="C805" s="20"/>
      <c r="D805" s="1"/>
      <c r="E805" s="1"/>
      <c r="F805" s="20"/>
      <c r="G805" s="20"/>
      <c r="H805" s="20">
        <f t="shared" si="91"/>
        <v>0</v>
      </c>
      <c r="I805" s="20" t="b">
        <f t="shared" si="92"/>
        <v>1</v>
      </c>
      <c r="J805" s="20"/>
      <c r="K805" s="20"/>
    </row>
    <row r="806" spans="1:11" ht="15.5" x14ac:dyDescent="0.35">
      <c r="A806" s="3" t="s">
        <v>92</v>
      </c>
      <c r="B806" s="1"/>
      <c r="C806" s="20">
        <v>21500</v>
      </c>
      <c r="D806" s="1"/>
      <c r="E806" s="1"/>
      <c r="F806" s="20">
        <f t="shared" ref="F806:G808" si="93">C806*B806</f>
        <v>0</v>
      </c>
      <c r="G806" s="20">
        <f t="shared" si="93"/>
        <v>0</v>
      </c>
      <c r="H806" s="20">
        <f t="shared" si="91"/>
        <v>0</v>
      </c>
      <c r="I806" s="20" t="b">
        <f t="shared" si="92"/>
        <v>1</v>
      </c>
      <c r="J806" s="20"/>
      <c r="K806" s="20"/>
    </row>
    <row r="807" spans="1:11" ht="15.5" x14ac:dyDescent="0.35">
      <c r="A807" s="3" t="s">
        <v>93</v>
      </c>
      <c r="B807" s="1"/>
      <c r="C807" s="20">
        <v>21500</v>
      </c>
      <c r="D807" s="1"/>
      <c r="E807" s="1"/>
      <c r="F807" s="20">
        <f t="shared" si="93"/>
        <v>0</v>
      </c>
      <c r="G807" s="20">
        <f t="shared" si="93"/>
        <v>0</v>
      </c>
      <c r="H807" s="20">
        <f t="shared" si="91"/>
        <v>0</v>
      </c>
      <c r="I807" s="20" t="b">
        <f t="shared" si="92"/>
        <v>1</v>
      </c>
      <c r="J807" s="20"/>
      <c r="K807" s="20"/>
    </row>
    <row r="808" spans="1:11" ht="15.5" x14ac:dyDescent="0.35">
      <c r="A808" s="3" t="s">
        <v>94</v>
      </c>
      <c r="B808" s="1"/>
      <c r="C808" s="20">
        <v>21500</v>
      </c>
      <c r="D808" s="1"/>
      <c r="E808" s="1"/>
      <c r="F808" s="20">
        <f t="shared" si="93"/>
        <v>0</v>
      </c>
      <c r="G808" s="20">
        <f t="shared" si="93"/>
        <v>0</v>
      </c>
      <c r="H808" s="20">
        <f t="shared" si="91"/>
        <v>0</v>
      </c>
      <c r="I808" s="20" t="b">
        <f t="shared" si="92"/>
        <v>1</v>
      </c>
      <c r="J808" s="20"/>
      <c r="K808" s="20"/>
    </row>
    <row r="809" spans="1:11" ht="15.5" x14ac:dyDescent="0.35">
      <c r="A809" s="19"/>
      <c r="B809" s="22">
        <f>SUM(B792:B808)</f>
        <v>0</v>
      </c>
      <c r="C809" s="20"/>
      <c r="D809" s="1"/>
      <c r="E809" s="1"/>
      <c r="F809" s="23">
        <f>SUM(F792:F808)</f>
        <v>0</v>
      </c>
      <c r="G809" s="23">
        <f>SUM(G792:G808)</f>
        <v>0</v>
      </c>
      <c r="H809" s="23">
        <f>SUM(H792:H808)</f>
        <v>0</v>
      </c>
      <c r="I809" s="23"/>
      <c r="J809" s="23">
        <f>SUM(J792:J808)</f>
        <v>440000</v>
      </c>
      <c r="K809" s="23">
        <f>H809-J809</f>
        <v>-440000</v>
      </c>
    </row>
    <row r="810" spans="1:11" ht="15.5" x14ac:dyDescent="0.35">
      <c r="A810" s="19" t="s">
        <v>95</v>
      </c>
      <c r="B810" s="1"/>
      <c r="C810" s="20"/>
      <c r="D810" s="1"/>
      <c r="E810" s="1"/>
      <c r="F810" s="20"/>
      <c r="G810" s="20"/>
      <c r="H810" s="20" t="s">
        <v>192</v>
      </c>
      <c r="I810" s="20"/>
      <c r="J810" s="20"/>
      <c r="K810" s="20"/>
    </row>
    <row r="811" spans="1:11" ht="15.5" x14ac:dyDescent="0.35">
      <c r="A811" s="3" t="s">
        <v>96</v>
      </c>
      <c r="B811" s="1"/>
      <c r="C811" s="20">
        <v>3000</v>
      </c>
      <c r="D811" s="1"/>
      <c r="E811" s="20"/>
      <c r="F811" s="20">
        <f t="shared" ref="F811:F814" si="94">C811*B811</f>
        <v>0</v>
      </c>
      <c r="G811" s="20"/>
      <c r="H811" s="20"/>
      <c r="I811" s="20"/>
      <c r="J811" s="20"/>
      <c r="K811" s="20"/>
    </row>
    <row r="812" spans="1:11" ht="15.5" x14ac:dyDescent="0.35">
      <c r="A812" s="3" t="s">
        <v>97</v>
      </c>
      <c r="B812" s="1"/>
      <c r="C812" s="20">
        <v>2500</v>
      </c>
      <c r="D812" s="1"/>
      <c r="E812" s="1"/>
      <c r="F812" s="20">
        <f t="shared" si="94"/>
        <v>0</v>
      </c>
      <c r="G812" s="20"/>
      <c r="H812" s="20"/>
      <c r="I812" s="20"/>
      <c r="J812" s="20"/>
      <c r="K812" s="20"/>
    </row>
    <row r="813" spans="1:11" ht="15.5" x14ac:dyDescent="0.35">
      <c r="A813" s="3" t="s">
        <v>98</v>
      </c>
      <c r="B813" s="1"/>
      <c r="C813" s="20">
        <v>1800</v>
      </c>
      <c r="D813" s="1"/>
      <c r="E813" s="1"/>
      <c r="F813" s="20">
        <f t="shared" si="94"/>
        <v>0</v>
      </c>
      <c r="G813" s="20"/>
      <c r="H813" s="20"/>
      <c r="I813" s="20"/>
      <c r="J813" s="20"/>
      <c r="K813" s="20"/>
    </row>
    <row r="814" spans="1:11" ht="15.5" x14ac:dyDescent="0.35">
      <c r="A814" s="3" t="s">
        <v>99</v>
      </c>
      <c r="B814" s="1"/>
      <c r="C814" s="20">
        <v>3500</v>
      </c>
      <c r="D814" s="1"/>
      <c r="E814" s="1"/>
      <c r="F814" s="20">
        <f t="shared" si="94"/>
        <v>0</v>
      </c>
      <c r="G814" s="20"/>
      <c r="H814" s="20"/>
      <c r="I814" s="20"/>
      <c r="J814" s="20"/>
      <c r="K814" s="20"/>
    </row>
    <row r="815" spans="1:11" ht="15.5" x14ac:dyDescent="0.35">
      <c r="A815" s="18"/>
      <c r="F815" s="21"/>
    </row>
    <row r="816" spans="1:11" ht="15.5" x14ac:dyDescent="0.35">
      <c r="A816" s="24" t="s">
        <v>108</v>
      </c>
      <c r="K816" s="21"/>
    </row>
    <row r="817" spans="1:11" ht="15.5" x14ac:dyDescent="0.35">
      <c r="A817" s="18" t="s">
        <v>114</v>
      </c>
      <c r="B817" s="67">
        <v>40000</v>
      </c>
    </row>
    <row r="818" spans="1:11" ht="15.5" x14ac:dyDescent="0.35">
      <c r="A818" s="18" t="s">
        <v>112</v>
      </c>
      <c r="B818" s="67">
        <v>40000</v>
      </c>
    </row>
    <row r="819" spans="1:11" ht="15.5" x14ac:dyDescent="0.35">
      <c r="A819" s="18" t="s">
        <v>309</v>
      </c>
      <c r="B819" s="67">
        <v>60000</v>
      </c>
    </row>
    <row r="820" spans="1:11" ht="15.5" x14ac:dyDescent="0.35">
      <c r="A820" s="18" t="s">
        <v>110</v>
      </c>
      <c r="B820" s="67">
        <v>40000</v>
      </c>
    </row>
    <row r="821" spans="1:11" ht="15.5" x14ac:dyDescent="0.35">
      <c r="A821" s="18" t="s">
        <v>111</v>
      </c>
      <c r="B821" s="67">
        <v>40000</v>
      </c>
    </row>
    <row r="822" spans="1:11" ht="15.5" x14ac:dyDescent="0.35">
      <c r="A822" s="18" t="s">
        <v>196</v>
      </c>
      <c r="B822" s="67">
        <v>40000</v>
      </c>
    </row>
    <row r="823" spans="1:11" ht="15.5" x14ac:dyDescent="0.35">
      <c r="A823" s="18" t="s">
        <v>113</v>
      </c>
      <c r="B823" s="67">
        <v>40000</v>
      </c>
    </row>
    <row r="824" spans="1:11" ht="15.5" x14ac:dyDescent="0.35">
      <c r="A824" s="18" t="s">
        <v>209</v>
      </c>
      <c r="B824" s="67">
        <v>40000</v>
      </c>
    </row>
    <row r="825" spans="1:11" ht="15.5" x14ac:dyDescent="0.35">
      <c r="A825" s="18" t="s">
        <v>115</v>
      </c>
      <c r="B825" s="67">
        <v>60000</v>
      </c>
    </row>
    <row r="826" spans="1:11" ht="15.5" x14ac:dyDescent="0.35">
      <c r="A826" s="18" t="s">
        <v>109</v>
      </c>
      <c r="B826" s="67">
        <v>40000</v>
      </c>
    </row>
    <row r="827" spans="1:11" ht="15.5" x14ac:dyDescent="0.35">
      <c r="A827" s="24" t="s">
        <v>4</v>
      </c>
      <c r="B827" s="75">
        <f>SUM(B817:B826)</f>
        <v>440000</v>
      </c>
    </row>
    <row r="830" spans="1:11" ht="18.5" x14ac:dyDescent="0.45">
      <c r="A830" s="151" t="s">
        <v>1</v>
      </c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</row>
    <row r="831" spans="1:11" ht="18.5" x14ac:dyDescent="0.45">
      <c r="A831" s="150" t="s">
        <v>74</v>
      </c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</row>
    <row r="832" spans="1:11" ht="18.5" x14ac:dyDescent="0.45">
      <c r="A832" s="149" t="s">
        <v>360</v>
      </c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</row>
    <row r="833" spans="1:11" ht="18.5" x14ac:dyDescent="0.45">
      <c r="A833" s="150"/>
      <c r="B833" s="150"/>
      <c r="C833" s="150"/>
      <c r="D833" s="150"/>
      <c r="E833" s="150"/>
      <c r="F833" s="150"/>
      <c r="G833" s="150"/>
      <c r="H833" s="150"/>
      <c r="I833" s="150"/>
      <c r="J833" s="150"/>
      <c r="K833" s="150"/>
    </row>
    <row r="834" spans="1:11" ht="18.5" x14ac:dyDescent="0.45">
      <c r="A834" s="2" t="s">
        <v>75</v>
      </c>
      <c r="B834" s="2" t="s">
        <v>3</v>
      </c>
      <c r="C834" s="2" t="s">
        <v>100</v>
      </c>
      <c r="D834" s="2" t="s">
        <v>90</v>
      </c>
      <c r="E834" s="2" t="s">
        <v>91</v>
      </c>
      <c r="F834" s="2" t="s">
        <v>4</v>
      </c>
      <c r="G834" s="2" t="s">
        <v>101</v>
      </c>
      <c r="H834" s="2" t="s">
        <v>104</v>
      </c>
      <c r="I834" s="2"/>
      <c r="J834" s="2" t="s">
        <v>105</v>
      </c>
      <c r="K834" s="2" t="s">
        <v>106</v>
      </c>
    </row>
    <row r="835" spans="1:11" ht="15.5" x14ac:dyDescent="0.35">
      <c r="A835" s="3" t="s">
        <v>76</v>
      </c>
      <c r="B835" s="1"/>
      <c r="C835" s="20">
        <v>17500</v>
      </c>
      <c r="D835" s="1"/>
      <c r="E835" s="1"/>
      <c r="F835" s="20">
        <f>C835*B835</f>
        <v>0</v>
      </c>
      <c r="G835" s="20">
        <f>D835*C835</f>
        <v>0</v>
      </c>
      <c r="H835" s="20">
        <f>E835*C835</f>
        <v>0</v>
      </c>
      <c r="I835" s="20" t="b">
        <f>D835+E835=B835</f>
        <v>1</v>
      </c>
      <c r="J835" s="20">
        <f>B870</f>
        <v>440000</v>
      </c>
      <c r="K835" s="20"/>
    </row>
    <row r="836" spans="1:11" ht="15.5" x14ac:dyDescent="0.35">
      <c r="A836" s="3" t="s">
        <v>77</v>
      </c>
      <c r="B836" s="1"/>
      <c r="C836" s="20">
        <v>16000</v>
      </c>
      <c r="D836" s="1"/>
      <c r="E836" s="1"/>
      <c r="F836" s="20">
        <f t="shared" ref="F836:G847" si="95">C836*B836</f>
        <v>0</v>
      </c>
      <c r="G836" s="20">
        <f t="shared" si="95"/>
        <v>0</v>
      </c>
      <c r="H836" s="20">
        <f t="shared" ref="H836:H851" si="96">E836*C836</f>
        <v>0</v>
      </c>
      <c r="I836" s="20" t="b">
        <f t="shared" ref="I836:I851" si="97">D836+E836=B836</f>
        <v>1</v>
      </c>
      <c r="J836" s="20"/>
      <c r="K836" s="20"/>
    </row>
    <row r="837" spans="1:11" ht="15.5" x14ac:dyDescent="0.35">
      <c r="A837" s="3" t="s">
        <v>78</v>
      </c>
      <c r="B837" s="1"/>
      <c r="C837" s="20">
        <v>17500</v>
      </c>
      <c r="D837" s="1"/>
      <c r="E837" s="1"/>
      <c r="F837" s="20">
        <f t="shared" si="95"/>
        <v>0</v>
      </c>
      <c r="G837" s="20">
        <f t="shared" si="95"/>
        <v>0</v>
      </c>
      <c r="H837" s="20">
        <f t="shared" si="96"/>
        <v>0</v>
      </c>
      <c r="I837" s="20" t="b">
        <f t="shared" si="97"/>
        <v>1</v>
      </c>
      <c r="J837" s="20"/>
      <c r="K837" s="20"/>
    </row>
    <row r="838" spans="1:11" ht="15.5" x14ac:dyDescent="0.35">
      <c r="A838" s="3" t="s">
        <v>79</v>
      </c>
      <c r="B838" s="1"/>
      <c r="C838" s="20">
        <v>18500</v>
      </c>
      <c r="D838" s="1"/>
      <c r="E838" s="1"/>
      <c r="F838" s="20">
        <f t="shared" si="95"/>
        <v>0</v>
      </c>
      <c r="G838" s="20">
        <f t="shared" si="95"/>
        <v>0</v>
      </c>
      <c r="H838" s="20">
        <f t="shared" si="96"/>
        <v>0</v>
      </c>
      <c r="I838" s="20" t="b">
        <f t="shared" si="97"/>
        <v>1</v>
      </c>
      <c r="J838" s="20"/>
      <c r="K838" s="20"/>
    </row>
    <row r="839" spans="1:11" ht="15.5" x14ac:dyDescent="0.35">
      <c r="A839" s="3" t="s">
        <v>80</v>
      </c>
      <c r="B839" s="1"/>
      <c r="C839" s="20">
        <v>18500</v>
      </c>
      <c r="D839" s="1"/>
      <c r="E839" s="1"/>
      <c r="F839" s="20">
        <f t="shared" si="95"/>
        <v>0</v>
      </c>
      <c r="G839" s="20">
        <f t="shared" si="95"/>
        <v>0</v>
      </c>
      <c r="H839" s="20">
        <f t="shared" si="96"/>
        <v>0</v>
      </c>
      <c r="I839" s="20" t="b">
        <f t="shared" si="97"/>
        <v>1</v>
      </c>
      <c r="J839" s="20"/>
      <c r="K839" s="20"/>
    </row>
    <row r="840" spans="1:11" ht="15.5" x14ac:dyDescent="0.35">
      <c r="A840" s="3" t="s">
        <v>81</v>
      </c>
      <c r="B840" s="1"/>
      <c r="C840" s="20">
        <v>23000</v>
      </c>
      <c r="D840" s="1"/>
      <c r="E840" s="1"/>
      <c r="F840" s="20">
        <f t="shared" si="95"/>
        <v>0</v>
      </c>
      <c r="G840" s="20">
        <f t="shared" si="95"/>
        <v>0</v>
      </c>
      <c r="H840" s="20">
        <f t="shared" si="96"/>
        <v>0</v>
      </c>
      <c r="I840" s="20" t="b">
        <f t="shared" si="97"/>
        <v>1</v>
      </c>
      <c r="J840" s="20"/>
      <c r="K840" s="20"/>
    </row>
    <row r="841" spans="1:11" ht="15.5" x14ac:dyDescent="0.35">
      <c r="A841" s="3" t="s">
        <v>82</v>
      </c>
      <c r="B841" s="1"/>
      <c r="C841" s="20">
        <v>18000</v>
      </c>
      <c r="D841" s="1"/>
      <c r="E841" s="1"/>
      <c r="F841" s="20">
        <f t="shared" si="95"/>
        <v>0</v>
      </c>
      <c r="G841" s="20">
        <f t="shared" si="95"/>
        <v>0</v>
      </c>
      <c r="H841" s="20">
        <f t="shared" si="96"/>
        <v>0</v>
      </c>
      <c r="I841" s="20" t="b">
        <f t="shared" si="97"/>
        <v>1</v>
      </c>
      <c r="J841" s="20"/>
      <c r="K841" s="20"/>
    </row>
    <row r="842" spans="1:11" ht="15.5" x14ac:dyDescent="0.35">
      <c r="A842" s="3" t="s">
        <v>83</v>
      </c>
      <c r="B842" s="1"/>
      <c r="C842" s="20">
        <v>18000</v>
      </c>
      <c r="D842" s="1"/>
      <c r="E842" s="1"/>
      <c r="F842" s="20">
        <f t="shared" si="95"/>
        <v>0</v>
      </c>
      <c r="G842" s="20">
        <f t="shared" si="95"/>
        <v>0</v>
      </c>
      <c r="H842" s="20">
        <f t="shared" si="96"/>
        <v>0</v>
      </c>
      <c r="I842" s="20" t="b">
        <f t="shared" si="97"/>
        <v>1</v>
      </c>
      <c r="J842" s="20"/>
      <c r="K842" s="20"/>
    </row>
    <row r="843" spans="1:11" ht="15.5" x14ac:dyDescent="0.35">
      <c r="A843" s="3" t="s">
        <v>84</v>
      </c>
      <c r="B843" s="1"/>
      <c r="C843" s="20">
        <v>18500</v>
      </c>
      <c r="D843" s="1"/>
      <c r="E843" s="1"/>
      <c r="F843" s="20">
        <f t="shared" si="95"/>
        <v>0</v>
      </c>
      <c r="G843" s="20">
        <f t="shared" si="95"/>
        <v>0</v>
      </c>
      <c r="H843" s="20">
        <f t="shared" si="96"/>
        <v>0</v>
      </c>
      <c r="I843" s="20" t="b">
        <f t="shared" si="97"/>
        <v>1</v>
      </c>
      <c r="J843" s="20"/>
      <c r="K843" s="20"/>
    </row>
    <row r="844" spans="1:11" ht="15.5" x14ac:dyDescent="0.35">
      <c r="A844" s="3" t="s">
        <v>85</v>
      </c>
      <c r="B844" s="1"/>
      <c r="C844" s="20">
        <v>18500</v>
      </c>
      <c r="D844" s="1"/>
      <c r="E844" s="1"/>
      <c r="F844" s="20">
        <f t="shared" si="95"/>
        <v>0</v>
      </c>
      <c r="G844" s="20">
        <f t="shared" si="95"/>
        <v>0</v>
      </c>
      <c r="H844" s="20">
        <f t="shared" si="96"/>
        <v>0</v>
      </c>
      <c r="I844" s="20" t="b">
        <f t="shared" si="97"/>
        <v>1</v>
      </c>
      <c r="J844" s="20"/>
      <c r="K844" s="20"/>
    </row>
    <row r="845" spans="1:11" ht="15.5" x14ac:dyDescent="0.35">
      <c r="A845" s="3" t="s">
        <v>86</v>
      </c>
      <c r="B845" s="1"/>
      <c r="C845" s="20">
        <v>18500</v>
      </c>
      <c r="D845" s="1"/>
      <c r="E845" s="1"/>
      <c r="F845" s="20">
        <f t="shared" si="95"/>
        <v>0</v>
      </c>
      <c r="G845" s="20">
        <f t="shared" si="95"/>
        <v>0</v>
      </c>
      <c r="H845" s="20">
        <f t="shared" si="96"/>
        <v>0</v>
      </c>
      <c r="I845" s="20" t="b">
        <f t="shared" si="97"/>
        <v>1</v>
      </c>
      <c r="J845" s="20"/>
      <c r="K845" s="20"/>
    </row>
    <row r="846" spans="1:11" ht="15.5" x14ac:dyDescent="0.35">
      <c r="A846" s="3" t="s">
        <v>87</v>
      </c>
      <c r="B846" s="1"/>
      <c r="C846" s="20">
        <v>18500</v>
      </c>
      <c r="D846" s="1"/>
      <c r="E846" s="1"/>
      <c r="F846" s="20">
        <f t="shared" si="95"/>
        <v>0</v>
      </c>
      <c r="G846" s="20">
        <f t="shared" si="95"/>
        <v>0</v>
      </c>
      <c r="H846" s="20">
        <f t="shared" si="96"/>
        <v>0</v>
      </c>
      <c r="I846" s="20" t="b">
        <f t="shared" si="97"/>
        <v>1</v>
      </c>
      <c r="J846" s="20"/>
      <c r="K846" s="20"/>
    </row>
    <row r="847" spans="1:11" ht="15.5" x14ac:dyDescent="0.35">
      <c r="A847" s="3" t="s">
        <v>88</v>
      </c>
      <c r="B847" s="1"/>
      <c r="C847" s="20">
        <v>18500</v>
      </c>
      <c r="D847" s="1"/>
      <c r="E847" s="1"/>
      <c r="F847" s="20">
        <f t="shared" si="95"/>
        <v>0</v>
      </c>
      <c r="G847" s="20">
        <f t="shared" si="95"/>
        <v>0</v>
      </c>
      <c r="H847" s="20">
        <f t="shared" si="96"/>
        <v>0</v>
      </c>
      <c r="I847" s="20" t="b">
        <f t="shared" si="97"/>
        <v>1</v>
      </c>
      <c r="J847" s="20"/>
      <c r="K847" s="20"/>
    </row>
    <row r="848" spans="1:11" ht="15.5" x14ac:dyDescent="0.35">
      <c r="A848" s="19" t="s">
        <v>89</v>
      </c>
      <c r="B848" s="1"/>
      <c r="C848" s="20"/>
      <c r="D848" s="1"/>
      <c r="E848" s="1"/>
      <c r="F848" s="20"/>
      <c r="G848" s="20"/>
      <c r="H848" s="20">
        <f t="shared" si="96"/>
        <v>0</v>
      </c>
      <c r="I848" s="20" t="b">
        <f t="shared" si="97"/>
        <v>1</v>
      </c>
      <c r="J848" s="20"/>
      <c r="K848" s="20"/>
    </row>
    <row r="849" spans="1:11" ht="15.5" x14ac:dyDescent="0.35">
      <c r="A849" s="3" t="s">
        <v>92</v>
      </c>
      <c r="B849" s="1"/>
      <c r="C849" s="20">
        <v>21500</v>
      </c>
      <c r="D849" s="1"/>
      <c r="E849" s="1"/>
      <c r="F849" s="20">
        <f t="shared" ref="F849:G851" si="98">C849*B849</f>
        <v>0</v>
      </c>
      <c r="G849" s="20">
        <f t="shared" si="98"/>
        <v>0</v>
      </c>
      <c r="H849" s="20">
        <f t="shared" si="96"/>
        <v>0</v>
      </c>
      <c r="I849" s="20" t="b">
        <f t="shared" si="97"/>
        <v>1</v>
      </c>
      <c r="J849" s="20"/>
      <c r="K849" s="20"/>
    </row>
    <row r="850" spans="1:11" ht="15.5" x14ac:dyDescent="0.35">
      <c r="A850" s="3" t="s">
        <v>93</v>
      </c>
      <c r="B850" s="1"/>
      <c r="C850" s="20">
        <v>21500</v>
      </c>
      <c r="D850" s="1"/>
      <c r="E850" s="1"/>
      <c r="F850" s="20">
        <f t="shared" si="98"/>
        <v>0</v>
      </c>
      <c r="G850" s="20">
        <f t="shared" si="98"/>
        <v>0</v>
      </c>
      <c r="H850" s="20">
        <f t="shared" si="96"/>
        <v>0</v>
      </c>
      <c r="I850" s="20" t="b">
        <f t="shared" si="97"/>
        <v>1</v>
      </c>
      <c r="J850" s="20"/>
      <c r="K850" s="20"/>
    </row>
    <row r="851" spans="1:11" ht="15.5" x14ac:dyDescent="0.35">
      <c r="A851" s="3" t="s">
        <v>94</v>
      </c>
      <c r="B851" s="1"/>
      <c r="C851" s="20">
        <v>21500</v>
      </c>
      <c r="D851" s="1"/>
      <c r="E851" s="1"/>
      <c r="F851" s="20">
        <f t="shared" si="98"/>
        <v>0</v>
      </c>
      <c r="G851" s="20">
        <f t="shared" si="98"/>
        <v>0</v>
      </c>
      <c r="H851" s="20">
        <f t="shared" si="96"/>
        <v>0</v>
      </c>
      <c r="I851" s="20" t="b">
        <f t="shared" si="97"/>
        <v>1</v>
      </c>
      <c r="J851" s="20"/>
      <c r="K851" s="20"/>
    </row>
    <row r="852" spans="1:11" ht="15.5" x14ac:dyDescent="0.35">
      <c r="A852" s="19"/>
      <c r="B852" s="22">
        <f>SUM(B835:B851)</f>
        <v>0</v>
      </c>
      <c r="C852" s="20"/>
      <c r="D852" s="1"/>
      <c r="E852" s="1"/>
      <c r="F852" s="23">
        <f>SUM(F835:F851)</f>
        <v>0</v>
      </c>
      <c r="G852" s="23">
        <f>SUM(G835:G851)</f>
        <v>0</v>
      </c>
      <c r="H852" s="23">
        <f>SUM(H835:H851)</f>
        <v>0</v>
      </c>
      <c r="I852" s="23"/>
      <c r="J852" s="23">
        <f>SUM(J835:J851)</f>
        <v>440000</v>
      </c>
      <c r="K852" s="23">
        <f>H852-J852</f>
        <v>-440000</v>
      </c>
    </row>
    <row r="853" spans="1:11" ht="15.5" x14ac:dyDescent="0.35">
      <c r="A853" s="19" t="s">
        <v>95</v>
      </c>
      <c r="B853" s="1"/>
      <c r="C853" s="20"/>
      <c r="D853" s="1"/>
      <c r="E853" s="1"/>
      <c r="F853" s="20"/>
      <c r="G853" s="20"/>
      <c r="H853" s="20" t="s">
        <v>192</v>
      </c>
      <c r="I853" s="20"/>
      <c r="J853" s="20"/>
      <c r="K853" s="20"/>
    </row>
    <row r="854" spans="1:11" ht="15.5" x14ac:dyDescent="0.35">
      <c r="A854" s="3" t="s">
        <v>96</v>
      </c>
      <c r="B854" s="1"/>
      <c r="C854" s="20">
        <v>3000</v>
      </c>
      <c r="D854" s="1"/>
      <c r="E854" s="20"/>
      <c r="F854" s="20">
        <f t="shared" ref="F854:F857" si="99">C854*B854</f>
        <v>0</v>
      </c>
      <c r="G854" s="20"/>
      <c r="H854" s="20"/>
      <c r="I854" s="20"/>
      <c r="J854" s="20"/>
      <c r="K854" s="20"/>
    </row>
    <row r="855" spans="1:11" ht="15.5" x14ac:dyDescent="0.35">
      <c r="A855" s="3" t="s">
        <v>97</v>
      </c>
      <c r="B855" s="1"/>
      <c r="C855" s="20">
        <v>2500</v>
      </c>
      <c r="D855" s="1"/>
      <c r="E855" s="1"/>
      <c r="F855" s="20">
        <f t="shared" si="99"/>
        <v>0</v>
      </c>
      <c r="G855" s="20"/>
      <c r="H855" s="20"/>
      <c r="I855" s="20"/>
      <c r="J855" s="20"/>
      <c r="K855" s="20"/>
    </row>
    <row r="856" spans="1:11" ht="15.5" x14ac:dyDescent="0.35">
      <c r="A856" s="3" t="s">
        <v>98</v>
      </c>
      <c r="B856" s="1"/>
      <c r="C856" s="20">
        <v>1800</v>
      </c>
      <c r="D856" s="1"/>
      <c r="E856" s="1"/>
      <c r="F856" s="20">
        <f t="shared" si="99"/>
        <v>0</v>
      </c>
      <c r="G856" s="20"/>
      <c r="H856" s="20"/>
      <c r="I856" s="20"/>
      <c r="J856" s="20"/>
      <c r="K856" s="20"/>
    </row>
    <row r="857" spans="1:11" ht="15.5" x14ac:dyDescent="0.35">
      <c r="A857" s="3" t="s">
        <v>99</v>
      </c>
      <c r="B857" s="1"/>
      <c r="C857" s="20">
        <v>3500</v>
      </c>
      <c r="D857" s="1"/>
      <c r="E857" s="1"/>
      <c r="F857" s="20">
        <f t="shared" si="99"/>
        <v>0</v>
      </c>
      <c r="G857" s="20"/>
      <c r="H857" s="20"/>
      <c r="I857" s="20"/>
      <c r="J857" s="20"/>
      <c r="K857" s="20"/>
    </row>
    <row r="858" spans="1:11" ht="15.5" x14ac:dyDescent="0.35">
      <c r="A858" s="18"/>
      <c r="F858" s="21"/>
    </row>
    <row r="859" spans="1:11" ht="15.5" x14ac:dyDescent="0.35">
      <c r="A859" s="24" t="s">
        <v>108</v>
      </c>
      <c r="K859" s="21"/>
    </row>
    <row r="860" spans="1:11" ht="15.5" x14ac:dyDescent="0.35">
      <c r="A860" s="18" t="s">
        <v>114</v>
      </c>
      <c r="B860" s="67">
        <v>40000</v>
      </c>
    </row>
    <row r="861" spans="1:11" ht="15.5" x14ac:dyDescent="0.35">
      <c r="A861" s="18" t="s">
        <v>112</v>
      </c>
      <c r="B861" s="67">
        <v>40000</v>
      </c>
    </row>
    <row r="862" spans="1:11" ht="15.5" x14ac:dyDescent="0.35">
      <c r="A862" s="18" t="s">
        <v>309</v>
      </c>
      <c r="B862" s="67">
        <v>60000</v>
      </c>
    </row>
    <row r="863" spans="1:11" ht="15.5" x14ac:dyDescent="0.35">
      <c r="A863" s="18" t="s">
        <v>110</v>
      </c>
      <c r="B863" s="67">
        <v>40000</v>
      </c>
    </row>
    <row r="864" spans="1:11" ht="15.5" x14ac:dyDescent="0.35">
      <c r="A864" s="18" t="s">
        <v>111</v>
      </c>
      <c r="B864" s="67">
        <v>40000</v>
      </c>
    </row>
    <row r="865" spans="1:11" ht="15.5" x14ac:dyDescent="0.35">
      <c r="A865" s="18" t="s">
        <v>196</v>
      </c>
      <c r="B865" s="67">
        <v>40000</v>
      </c>
    </row>
    <row r="866" spans="1:11" ht="15.5" x14ac:dyDescent="0.35">
      <c r="A866" s="18" t="s">
        <v>113</v>
      </c>
      <c r="B866" s="67">
        <v>40000</v>
      </c>
    </row>
    <row r="867" spans="1:11" ht="15.5" x14ac:dyDescent="0.35">
      <c r="A867" s="18" t="s">
        <v>209</v>
      </c>
      <c r="B867" s="67">
        <v>40000</v>
      </c>
    </row>
    <row r="868" spans="1:11" ht="15.5" x14ac:dyDescent="0.35">
      <c r="A868" s="18" t="s">
        <v>115</v>
      </c>
      <c r="B868" s="67">
        <v>60000</v>
      </c>
    </row>
    <row r="869" spans="1:11" ht="15.5" x14ac:dyDescent="0.35">
      <c r="A869" s="18" t="s">
        <v>109</v>
      </c>
      <c r="B869" s="67">
        <v>40000</v>
      </c>
    </row>
    <row r="870" spans="1:11" ht="15.5" x14ac:dyDescent="0.35">
      <c r="A870" s="24" t="s">
        <v>4</v>
      </c>
      <c r="B870" s="75">
        <f>SUM(B860:B869)</f>
        <v>440000</v>
      </c>
    </row>
    <row r="873" spans="1:11" ht="18.5" x14ac:dyDescent="0.45">
      <c r="A873" s="151" t="s">
        <v>1</v>
      </c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</row>
    <row r="874" spans="1:11" ht="18.5" x14ac:dyDescent="0.45">
      <c r="A874" s="150" t="s">
        <v>74</v>
      </c>
      <c r="B874" s="150"/>
      <c r="C874" s="150"/>
      <c r="D874" s="150"/>
      <c r="E874" s="150"/>
      <c r="F874" s="150"/>
      <c r="G874" s="150"/>
      <c r="H874" s="150"/>
      <c r="I874" s="150"/>
      <c r="J874" s="150"/>
      <c r="K874" s="150"/>
    </row>
    <row r="875" spans="1:11" ht="18.5" x14ac:dyDescent="0.45">
      <c r="A875" s="149" t="s">
        <v>360</v>
      </c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</row>
    <row r="876" spans="1:11" ht="18.5" x14ac:dyDescent="0.45">
      <c r="A876" s="150"/>
      <c r="B876" s="150"/>
      <c r="C876" s="150"/>
      <c r="D876" s="150"/>
      <c r="E876" s="150"/>
      <c r="F876" s="150"/>
      <c r="G876" s="150"/>
      <c r="H876" s="150"/>
      <c r="I876" s="150"/>
      <c r="J876" s="150"/>
      <c r="K876" s="150"/>
    </row>
    <row r="877" spans="1:11" ht="18.5" x14ac:dyDescent="0.45">
      <c r="A877" s="2" t="s">
        <v>75</v>
      </c>
      <c r="B877" s="2" t="s">
        <v>3</v>
      </c>
      <c r="C877" s="2" t="s">
        <v>100</v>
      </c>
      <c r="D877" s="2" t="s">
        <v>90</v>
      </c>
      <c r="E877" s="2" t="s">
        <v>91</v>
      </c>
      <c r="F877" s="2" t="s">
        <v>4</v>
      </c>
      <c r="G877" s="2" t="s">
        <v>101</v>
      </c>
      <c r="H877" s="2" t="s">
        <v>104</v>
      </c>
      <c r="I877" s="2"/>
      <c r="J877" s="2" t="s">
        <v>105</v>
      </c>
      <c r="K877" s="2" t="s">
        <v>106</v>
      </c>
    </row>
    <row r="878" spans="1:11" ht="15.5" x14ac:dyDescent="0.35">
      <c r="A878" s="3" t="s">
        <v>76</v>
      </c>
      <c r="B878" s="1"/>
      <c r="C878" s="20">
        <v>17500</v>
      </c>
      <c r="D878" s="1"/>
      <c r="E878" s="1"/>
      <c r="F878" s="20">
        <f>C878*B878</f>
        <v>0</v>
      </c>
      <c r="G878" s="20">
        <f>D878*C878</f>
        <v>0</v>
      </c>
      <c r="H878" s="20">
        <f>E878*C878</f>
        <v>0</v>
      </c>
      <c r="I878" s="20" t="b">
        <f>D878+E878=B878</f>
        <v>1</v>
      </c>
      <c r="J878" s="20">
        <f>B913</f>
        <v>440000</v>
      </c>
      <c r="K878" s="20"/>
    </row>
    <row r="879" spans="1:11" ht="15.5" x14ac:dyDescent="0.35">
      <c r="A879" s="3" t="s">
        <v>77</v>
      </c>
      <c r="B879" s="1"/>
      <c r="C879" s="20">
        <v>16000</v>
      </c>
      <c r="D879" s="1"/>
      <c r="E879" s="1"/>
      <c r="F879" s="20">
        <f t="shared" ref="F879:G890" si="100">C879*B879</f>
        <v>0</v>
      </c>
      <c r="G879" s="20">
        <f t="shared" si="100"/>
        <v>0</v>
      </c>
      <c r="H879" s="20">
        <f t="shared" ref="H879:H894" si="101">E879*C879</f>
        <v>0</v>
      </c>
      <c r="I879" s="20" t="b">
        <f t="shared" ref="I879:I894" si="102">D879+E879=B879</f>
        <v>1</v>
      </c>
      <c r="J879" s="20"/>
      <c r="K879" s="20"/>
    </row>
    <row r="880" spans="1:11" ht="15.5" x14ac:dyDescent="0.35">
      <c r="A880" s="3" t="s">
        <v>78</v>
      </c>
      <c r="B880" s="1"/>
      <c r="C880" s="20">
        <v>17500</v>
      </c>
      <c r="D880" s="1"/>
      <c r="E880" s="1"/>
      <c r="F880" s="20">
        <f t="shared" si="100"/>
        <v>0</v>
      </c>
      <c r="G880" s="20">
        <f t="shared" si="100"/>
        <v>0</v>
      </c>
      <c r="H880" s="20">
        <f t="shared" si="101"/>
        <v>0</v>
      </c>
      <c r="I880" s="20" t="b">
        <f t="shared" si="102"/>
        <v>1</v>
      </c>
      <c r="J880" s="20"/>
      <c r="K880" s="20"/>
    </row>
    <row r="881" spans="1:11" ht="15.5" x14ac:dyDescent="0.35">
      <c r="A881" s="3" t="s">
        <v>79</v>
      </c>
      <c r="B881" s="1"/>
      <c r="C881" s="20">
        <v>18500</v>
      </c>
      <c r="D881" s="1"/>
      <c r="E881" s="1"/>
      <c r="F881" s="20">
        <f t="shared" si="100"/>
        <v>0</v>
      </c>
      <c r="G881" s="20">
        <f t="shared" si="100"/>
        <v>0</v>
      </c>
      <c r="H881" s="20">
        <f t="shared" si="101"/>
        <v>0</v>
      </c>
      <c r="I881" s="20" t="b">
        <f t="shared" si="102"/>
        <v>1</v>
      </c>
      <c r="J881" s="20"/>
      <c r="K881" s="20"/>
    </row>
    <row r="882" spans="1:11" ht="15.5" x14ac:dyDescent="0.35">
      <c r="A882" s="3" t="s">
        <v>80</v>
      </c>
      <c r="B882" s="1"/>
      <c r="C882" s="20">
        <v>18500</v>
      </c>
      <c r="D882" s="1"/>
      <c r="E882" s="1"/>
      <c r="F882" s="20">
        <f t="shared" si="100"/>
        <v>0</v>
      </c>
      <c r="G882" s="20">
        <f t="shared" si="100"/>
        <v>0</v>
      </c>
      <c r="H882" s="20">
        <f t="shared" si="101"/>
        <v>0</v>
      </c>
      <c r="I882" s="20" t="b">
        <f t="shared" si="102"/>
        <v>1</v>
      </c>
      <c r="J882" s="20"/>
      <c r="K882" s="20"/>
    </row>
    <row r="883" spans="1:11" ht="15.5" x14ac:dyDescent="0.35">
      <c r="A883" s="3" t="s">
        <v>81</v>
      </c>
      <c r="B883" s="1"/>
      <c r="C883" s="20">
        <v>23000</v>
      </c>
      <c r="D883" s="1"/>
      <c r="E883" s="1"/>
      <c r="F883" s="20">
        <f t="shared" si="100"/>
        <v>0</v>
      </c>
      <c r="G883" s="20">
        <f t="shared" si="100"/>
        <v>0</v>
      </c>
      <c r="H883" s="20">
        <f t="shared" si="101"/>
        <v>0</v>
      </c>
      <c r="I883" s="20" t="b">
        <f t="shared" si="102"/>
        <v>1</v>
      </c>
      <c r="J883" s="20"/>
      <c r="K883" s="20"/>
    </row>
    <row r="884" spans="1:11" ht="15.5" x14ac:dyDescent="0.35">
      <c r="A884" s="3" t="s">
        <v>82</v>
      </c>
      <c r="B884" s="1"/>
      <c r="C884" s="20">
        <v>18000</v>
      </c>
      <c r="D884" s="1"/>
      <c r="E884" s="1"/>
      <c r="F884" s="20">
        <f t="shared" si="100"/>
        <v>0</v>
      </c>
      <c r="G884" s="20">
        <f t="shared" si="100"/>
        <v>0</v>
      </c>
      <c r="H884" s="20">
        <f t="shared" si="101"/>
        <v>0</v>
      </c>
      <c r="I884" s="20" t="b">
        <f t="shared" si="102"/>
        <v>1</v>
      </c>
      <c r="J884" s="20"/>
      <c r="K884" s="20"/>
    </row>
    <row r="885" spans="1:11" ht="15.5" x14ac:dyDescent="0.35">
      <c r="A885" s="3" t="s">
        <v>83</v>
      </c>
      <c r="B885" s="1"/>
      <c r="C885" s="20">
        <v>18000</v>
      </c>
      <c r="D885" s="1"/>
      <c r="E885" s="1"/>
      <c r="F885" s="20">
        <f t="shared" si="100"/>
        <v>0</v>
      </c>
      <c r="G885" s="20">
        <f t="shared" si="100"/>
        <v>0</v>
      </c>
      <c r="H885" s="20">
        <f t="shared" si="101"/>
        <v>0</v>
      </c>
      <c r="I885" s="20" t="b">
        <f t="shared" si="102"/>
        <v>1</v>
      </c>
      <c r="J885" s="20"/>
      <c r="K885" s="20"/>
    </row>
    <row r="886" spans="1:11" ht="15.5" x14ac:dyDescent="0.35">
      <c r="A886" s="3" t="s">
        <v>84</v>
      </c>
      <c r="B886" s="1"/>
      <c r="C886" s="20">
        <v>18500</v>
      </c>
      <c r="D886" s="1"/>
      <c r="E886" s="1"/>
      <c r="F886" s="20">
        <f t="shared" si="100"/>
        <v>0</v>
      </c>
      <c r="G886" s="20">
        <f t="shared" si="100"/>
        <v>0</v>
      </c>
      <c r="H886" s="20">
        <f t="shared" si="101"/>
        <v>0</v>
      </c>
      <c r="I886" s="20" t="b">
        <f t="shared" si="102"/>
        <v>1</v>
      </c>
      <c r="J886" s="20"/>
      <c r="K886" s="20"/>
    </row>
    <row r="887" spans="1:11" ht="15.5" x14ac:dyDescent="0.35">
      <c r="A887" s="3" t="s">
        <v>85</v>
      </c>
      <c r="B887" s="1"/>
      <c r="C887" s="20">
        <v>18500</v>
      </c>
      <c r="D887" s="1"/>
      <c r="E887" s="1"/>
      <c r="F887" s="20">
        <f t="shared" si="100"/>
        <v>0</v>
      </c>
      <c r="G887" s="20">
        <f t="shared" si="100"/>
        <v>0</v>
      </c>
      <c r="H887" s="20">
        <f t="shared" si="101"/>
        <v>0</v>
      </c>
      <c r="I887" s="20" t="b">
        <f t="shared" si="102"/>
        <v>1</v>
      </c>
      <c r="J887" s="20"/>
      <c r="K887" s="20"/>
    </row>
    <row r="888" spans="1:11" ht="15.5" x14ac:dyDescent="0.35">
      <c r="A888" s="3" t="s">
        <v>86</v>
      </c>
      <c r="B888" s="1"/>
      <c r="C888" s="20">
        <v>18500</v>
      </c>
      <c r="D888" s="1"/>
      <c r="E888" s="1"/>
      <c r="F888" s="20">
        <f t="shared" si="100"/>
        <v>0</v>
      </c>
      <c r="G888" s="20">
        <f t="shared" si="100"/>
        <v>0</v>
      </c>
      <c r="H888" s="20">
        <f t="shared" si="101"/>
        <v>0</v>
      </c>
      <c r="I888" s="20" t="b">
        <f t="shared" si="102"/>
        <v>1</v>
      </c>
      <c r="J888" s="20"/>
      <c r="K888" s="20"/>
    </row>
    <row r="889" spans="1:11" ht="15.5" x14ac:dyDescent="0.35">
      <c r="A889" s="3" t="s">
        <v>87</v>
      </c>
      <c r="B889" s="1"/>
      <c r="C889" s="20">
        <v>18500</v>
      </c>
      <c r="D889" s="1"/>
      <c r="E889" s="1"/>
      <c r="F889" s="20">
        <f t="shared" si="100"/>
        <v>0</v>
      </c>
      <c r="G889" s="20">
        <f t="shared" si="100"/>
        <v>0</v>
      </c>
      <c r="H889" s="20">
        <f t="shared" si="101"/>
        <v>0</v>
      </c>
      <c r="I889" s="20" t="b">
        <f t="shared" si="102"/>
        <v>1</v>
      </c>
      <c r="J889" s="20"/>
      <c r="K889" s="20"/>
    </row>
    <row r="890" spans="1:11" ht="15.5" x14ac:dyDescent="0.35">
      <c r="A890" s="3" t="s">
        <v>88</v>
      </c>
      <c r="B890" s="1"/>
      <c r="C890" s="20">
        <v>18500</v>
      </c>
      <c r="D890" s="1"/>
      <c r="E890" s="1"/>
      <c r="F890" s="20">
        <f t="shared" si="100"/>
        <v>0</v>
      </c>
      <c r="G890" s="20">
        <f t="shared" si="100"/>
        <v>0</v>
      </c>
      <c r="H890" s="20">
        <f t="shared" si="101"/>
        <v>0</v>
      </c>
      <c r="I890" s="20" t="b">
        <f t="shared" si="102"/>
        <v>1</v>
      </c>
      <c r="J890" s="20"/>
      <c r="K890" s="20"/>
    </row>
    <row r="891" spans="1:11" ht="15.5" x14ac:dyDescent="0.35">
      <c r="A891" s="19" t="s">
        <v>89</v>
      </c>
      <c r="B891" s="1"/>
      <c r="C891" s="20"/>
      <c r="D891" s="1"/>
      <c r="E891" s="1"/>
      <c r="F891" s="20"/>
      <c r="G891" s="20"/>
      <c r="H891" s="20">
        <f t="shared" si="101"/>
        <v>0</v>
      </c>
      <c r="I891" s="20" t="b">
        <f t="shared" si="102"/>
        <v>1</v>
      </c>
      <c r="J891" s="20"/>
      <c r="K891" s="20"/>
    </row>
    <row r="892" spans="1:11" ht="15.5" x14ac:dyDescent="0.35">
      <c r="A892" s="3" t="s">
        <v>92</v>
      </c>
      <c r="B892" s="1"/>
      <c r="C892" s="20">
        <v>21500</v>
      </c>
      <c r="D892" s="1"/>
      <c r="E892" s="1"/>
      <c r="F892" s="20">
        <f t="shared" ref="F892:G894" si="103">C892*B892</f>
        <v>0</v>
      </c>
      <c r="G892" s="20">
        <f t="shared" si="103"/>
        <v>0</v>
      </c>
      <c r="H892" s="20">
        <f t="shared" si="101"/>
        <v>0</v>
      </c>
      <c r="I892" s="20" t="b">
        <f t="shared" si="102"/>
        <v>1</v>
      </c>
      <c r="J892" s="20"/>
      <c r="K892" s="20"/>
    </row>
    <row r="893" spans="1:11" ht="15.5" x14ac:dyDescent="0.35">
      <c r="A893" s="3" t="s">
        <v>93</v>
      </c>
      <c r="B893" s="1"/>
      <c r="C893" s="20">
        <v>21500</v>
      </c>
      <c r="D893" s="1"/>
      <c r="E893" s="1"/>
      <c r="F893" s="20">
        <f t="shared" si="103"/>
        <v>0</v>
      </c>
      <c r="G893" s="20">
        <f t="shared" si="103"/>
        <v>0</v>
      </c>
      <c r="H893" s="20">
        <f t="shared" si="101"/>
        <v>0</v>
      </c>
      <c r="I893" s="20" t="b">
        <f t="shared" si="102"/>
        <v>1</v>
      </c>
      <c r="J893" s="20"/>
      <c r="K893" s="20"/>
    </row>
    <row r="894" spans="1:11" ht="15.5" x14ac:dyDescent="0.35">
      <c r="A894" s="3" t="s">
        <v>94</v>
      </c>
      <c r="B894" s="1"/>
      <c r="C894" s="20">
        <v>21500</v>
      </c>
      <c r="D894" s="1"/>
      <c r="E894" s="1"/>
      <c r="F894" s="20">
        <f t="shared" si="103"/>
        <v>0</v>
      </c>
      <c r="G894" s="20">
        <f t="shared" si="103"/>
        <v>0</v>
      </c>
      <c r="H894" s="20">
        <f t="shared" si="101"/>
        <v>0</v>
      </c>
      <c r="I894" s="20" t="b">
        <f t="shared" si="102"/>
        <v>1</v>
      </c>
      <c r="J894" s="20"/>
      <c r="K894" s="20"/>
    </row>
    <row r="895" spans="1:11" ht="15.5" x14ac:dyDescent="0.35">
      <c r="A895" s="19"/>
      <c r="B895" s="22">
        <f>SUM(B878:B894)</f>
        <v>0</v>
      </c>
      <c r="C895" s="20"/>
      <c r="D895" s="1"/>
      <c r="E895" s="1"/>
      <c r="F895" s="23">
        <f>SUM(F878:F894)</f>
        <v>0</v>
      </c>
      <c r="G895" s="23">
        <f>SUM(G878:G894)</f>
        <v>0</v>
      </c>
      <c r="H895" s="23">
        <f>SUM(H878:H894)</f>
        <v>0</v>
      </c>
      <c r="I895" s="23"/>
      <c r="J895" s="23">
        <f>SUM(J878:J894)</f>
        <v>440000</v>
      </c>
      <c r="K895" s="23">
        <f>H895-J895</f>
        <v>-440000</v>
      </c>
    </row>
    <row r="896" spans="1:11" ht="15.5" x14ac:dyDescent="0.35">
      <c r="A896" s="19" t="s">
        <v>95</v>
      </c>
      <c r="B896" s="1"/>
      <c r="C896" s="20"/>
      <c r="D896" s="1"/>
      <c r="E896" s="1"/>
      <c r="F896" s="20"/>
      <c r="G896" s="20"/>
      <c r="H896" s="20" t="s">
        <v>192</v>
      </c>
      <c r="I896" s="20"/>
      <c r="J896" s="20"/>
      <c r="K896" s="20"/>
    </row>
    <row r="897" spans="1:11" ht="15.5" x14ac:dyDescent="0.35">
      <c r="A897" s="3" t="s">
        <v>96</v>
      </c>
      <c r="B897" s="1"/>
      <c r="C897" s="20">
        <v>3000</v>
      </c>
      <c r="D897" s="1"/>
      <c r="E897" s="20"/>
      <c r="F897" s="20">
        <f t="shared" ref="F897:F900" si="104">C897*B897</f>
        <v>0</v>
      </c>
      <c r="G897" s="20"/>
      <c r="H897" s="20"/>
      <c r="I897" s="20"/>
      <c r="J897" s="20"/>
      <c r="K897" s="20"/>
    </row>
    <row r="898" spans="1:11" ht="15.5" x14ac:dyDescent="0.35">
      <c r="A898" s="3" t="s">
        <v>97</v>
      </c>
      <c r="B898" s="1"/>
      <c r="C898" s="20">
        <v>2500</v>
      </c>
      <c r="D898" s="1"/>
      <c r="E898" s="1"/>
      <c r="F898" s="20">
        <f t="shared" si="104"/>
        <v>0</v>
      </c>
      <c r="G898" s="20"/>
      <c r="H898" s="20"/>
      <c r="I898" s="20"/>
      <c r="J898" s="20"/>
      <c r="K898" s="20"/>
    </row>
    <row r="899" spans="1:11" ht="15.5" x14ac:dyDescent="0.35">
      <c r="A899" s="3" t="s">
        <v>98</v>
      </c>
      <c r="B899" s="1"/>
      <c r="C899" s="20">
        <v>1800</v>
      </c>
      <c r="D899" s="1"/>
      <c r="E899" s="1"/>
      <c r="F899" s="20">
        <f t="shared" si="104"/>
        <v>0</v>
      </c>
      <c r="G899" s="20"/>
      <c r="H899" s="20"/>
      <c r="I899" s="20"/>
      <c r="J899" s="20"/>
      <c r="K899" s="20"/>
    </row>
    <row r="900" spans="1:11" ht="15.5" x14ac:dyDescent="0.35">
      <c r="A900" s="3" t="s">
        <v>99</v>
      </c>
      <c r="B900" s="1"/>
      <c r="C900" s="20">
        <v>3500</v>
      </c>
      <c r="D900" s="1"/>
      <c r="E900" s="1"/>
      <c r="F900" s="20">
        <f t="shared" si="104"/>
        <v>0</v>
      </c>
      <c r="G900" s="20"/>
      <c r="H900" s="20"/>
      <c r="I900" s="20"/>
      <c r="J900" s="20"/>
      <c r="K900" s="20"/>
    </row>
    <row r="901" spans="1:11" ht="15.5" x14ac:dyDescent="0.35">
      <c r="A901" s="18"/>
      <c r="F901" s="21"/>
    </row>
    <row r="902" spans="1:11" ht="15.5" x14ac:dyDescent="0.35">
      <c r="A902" s="24" t="s">
        <v>108</v>
      </c>
      <c r="K902" s="21"/>
    </row>
    <row r="903" spans="1:11" ht="15.5" x14ac:dyDescent="0.35">
      <c r="A903" s="18" t="s">
        <v>114</v>
      </c>
      <c r="B903" s="67">
        <v>40000</v>
      </c>
    </row>
    <row r="904" spans="1:11" ht="15.5" x14ac:dyDescent="0.35">
      <c r="A904" s="18" t="s">
        <v>112</v>
      </c>
      <c r="B904" s="67">
        <v>40000</v>
      </c>
    </row>
    <row r="905" spans="1:11" ht="15.5" x14ac:dyDescent="0.35">
      <c r="A905" s="18" t="s">
        <v>309</v>
      </c>
      <c r="B905" s="67">
        <v>60000</v>
      </c>
    </row>
    <row r="906" spans="1:11" ht="15.5" x14ac:dyDescent="0.35">
      <c r="A906" s="18" t="s">
        <v>110</v>
      </c>
      <c r="B906" s="67">
        <v>40000</v>
      </c>
    </row>
    <row r="907" spans="1:11" ht="15.5" x14ac:dyDescent="0.35">
      <c r="A907" s="18" t="s">
        <v>111</v>
      </c>
      <c r="B907" s="67">
        <v>40000</v>
      </c>
    </row>
    <row r="908" spans="1:11" ht="15.5" x14ac:dyDescent="0.35">
      <c r="A908" s="18" t="s">
        <v>196</v>
      </c>
      <c r="B908" s="67">
        <v>40000</v>
      </c>
    </row>
    <row r="909" spans="1:11" ht="15.5" x14ac:dyDescent="0.35">
      <c r="A909" s="18" t="s">
        <v>113</v>
      </c>
      <c r="B909" s="67">
        <v>40000</v>
      </c>
    </row>
    <row r="910" spans="1:11" ht="15.5" x14ac:dyDescent="0.35">
      <c r="A910" s="18" t="s">
        <v>209</v>
      </c>
      <c r="B910" s="67">
        <v>40000</v>
      </c>
    </row>
    <row r="911" spans="1:11" ht="15.5" x14ac:dyDescent="0.35">
      <c r="A911" s="18" t="s">
        <v>115</v>
      </c>
      <c r="B911" s="67">
        <v>60000</v>
      </c>
    </row>
    <row r="912" spans="1:11" ht="15.5" x14ac:dyDescent="0.35">
      <c r="A912" s="18" t="s">
        <v>109</v>
      </c>
      <c r="B912" s="67">
        <v>40000</v>
      </c>
    </row>
    <row r="913" spans="1:11" ht="15.5" x14ac:dyDescent="0.35">
      <c r="A913" s="24" t="s">
        <v>4</v>
      </c>
      <c r="B913" s="75">
        <f>SUM(B903:B912)</f>
        <v>440000</v>
      </c>
    </row>
    <row r="914" spans="1:11" ht="15.5" x14ac:dyDescent="0.35">
      <c r="A914" s="24"/>
      <c r="B914" s="75"/>
    </row>
    <row r="915" spans="1:11" ht="15.5" x14ac:dyDescent="0.35">
      <c r="A915" s="24"/>
      <c r="B915" s="75"/>
    </row>
    <row r="916" spans="1:11" ht="18.5" x14ac:dyDescent="0.45">
      <c r="A916" s="151" t="s">
        <v>1</v>
      </c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</row>
    <row r="917" spans="1:11" ht="18.5" x14ac:dyDescent="0.45">
      <c r="A917" s="150" t="s">
        <v>74</v>
      </c>
      <c r="B917" s="150"/>
      <c r="C917" s="150"/>
      <c r="D917" s="150"/>
      <c r="E917" s="150"/>
      <c r="F917" s="150"/>
      <c r="G917" s="150"/>
      <c r="H917" s="150"/>
      <c r="I917" s="150"/>
      <c r="J917" s="150"/>
      <c r="K917" s="150"/>
    </row>
    <row r="918" spans="1:11" ht="18.5" x14ac:dyDescent="0.45">
      <c r="A918" s="149" t="s">
        <v>360</v>
      </c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</row>
    <row r="919" spans="1:11" ht="18.5" x14ac:dyDescent="0.45">
      <c r="A919" s="150"/>
      <c r="B919" s="150"/>
      <c r="C919" s="150"/>
      <c r="D919" s="150"/>
      <c r="E919" s="150"/>
      <c r="F919" s="150"/>
      <c r="G919" s="150"/>
      <c r="H919" s="150"/>
      <c r="I919" s="150"/>
      <c r="J919" s="150"/>
      <c r="K919" s="150"/>
    </row>
    <row r="920" spans="1:11" ht="18.5" x14ac:dyDescent="0.45">
      <c r="A920" s="2" t="s">
        <v>75</v>
      </c>
      <c r="B920" s="2" t="s">
        <v>3</v>
      </c>
      <c r="C920" s="2" t="s">
        <v>100</v>
      </c>
      <c r="D920" s="2" t="s">
        <v>90</v>
      </c>
      <c r="E920" s="2" t="s">
        <v>91</v>
      </c>
      <c r="F920" s="2" t="s">
        <v>4</v>
      </c>
      <c r="G920" s="2" t="s">
        <v>101</v>
      </c>
      <c r="H920" s="2" t="s">
        <v>104</v>
      </c>
      <c r="I920" s="2"/>
      <c r="J920" s="2" t="s">
        <v>105</v>
      </c>
      <c r="K920" s="2" t="s">
        <v>106</v>
      </c>
    </row>
    <row r="921" spans="1:11" ht="15.5" x14ac:dyDescent="0.35">
      <c r="A921" s="3" t="s">
        <v>76</v>
      </c>
      <c r="B921" s="1"/>
      <c r="C921" s="20">
        <v>17500</v>
      </c>
      <c r="D921" s="1"/>
      <c r="E921" s="1"/>
      <c r="F921" s="20">
        <f>C921*B921</f>
        <v>0</v>
      </c>
      <c r="G921" s="20">
        <f>D921*C921</f>
        <v>0</v>
      </c>
      <c r="H921" s="20">
        <f>E921*C921</f>
        <v>0</v>
      </c>
      <c r="I921" s="20" t="b">
        <f>D921+E921=B921</f>
        <v>1</v>
      </c>
      <c r="J921" s="20">
        <f>B956</f>
        <v>440000</v>
      </c>
      <c r="K921" s="20"/>
    </row>
    <row r="922" spans="1:11" ht="15.5" x14ac:dyDescent="0.35">
      <c r="A922" s="3" t="s">
        <v>77</v>
      </c>
      <c r="B922" s="1"/>
      <c r="C922" s="20">
        <v>16000</v>
      </c>
      <c r="D922" s="1"/>
      <c r="E922" s="1"/>
      <c r="F922" s="20">
        <f t="shared" ref="F922:G933" si="105">C922*B922</f>
        <v>0</v>
      </c>
      <c r="G922" s="20">
        <f t="shared" si="105"/>
        <v>0</v>
      </c>
      <c r="H922" s="20">
        <f t="shared" ref="H922:H937" si="106">E922*C922</f>
        <v>0</v>
      </c>
      <c r="I922" s="20" t="b">
        <f t="shared" ref="I922:I937" si="107">D922+E922=B922</f>
        <v>1</v>
      </c>
      <c r="J922" s="20"/>
      <c r="K922" s="20"/>
    </row>
    <row r="923" spans="1:11" ht="15.5" x14ac:dyDescent="0.35">
      <c r="A923" s="3" t="s">
        <v>78</v>
      </c>
      <c r="B923" s="1"/>
      <c r="C923" s="20">
        <v>17500</v>
      </c>
      <c r="D923" s="1"/>
      <c r="E923" s="1"/>
      <c r="F923" s="20">
        <f t="shared" si="105"/>
        <v>0</v>
      </c>
      <c r="G923" s="20">
        <f t="shared" si="105"/>
        <v>0</v>
      </c>
      <c r="H923" s="20">
        <f t="shared" si="106"/>
        <v>0</v>
      </c>
      <c r="I923" s="20" t="b">
        <f t="shared" si="107"/>
        <v>1</v>
      </c>
      <c r="J923" s="20"/>
      <c r="K923" s="20"/>
    </row>
    <row r="924" spans="1:11" ht="15.5" x14ac:dyDescent="0.35">
      <c r="A924" s="3" t="s">
        <v>79</v>
      </c>
      <c r="B924" s="1"/>
      <c r="C924" s="20">
        <v>18500</v>
      </c>
      <c r="D924" s="1"/>
      <c r="E924" s="1"/>
      <c r="F924" s="20">
        <f t="shared" si="105"/>
        <v>0</v>
      </c>
      <c r="G924" s="20">
        <f t="shared" si="105"/>
        <v>0</v>
      </c>
      <c r="H924" s="20">
        <f t="shared" si="106"/>
        <v>0</v>
      </c>
      <c r="I924" s="20" t="b">
        <f t="shared" si="107"/>
        <v>1</v>
      </c>
      <c r="J924" s="20"/>
      <c r="K924" s="20"/>
    </row>
    <row r="925" spans="1:11" ht="15.5" x14ac:dyDescent="0.35">
      <c r="A925" s="3" t="s">
        <v>80</v>
      </c>
      <c r="B925" s="1"/>
      <c r="C925" s="20">
        <v>18500</v>
      </c>
      <c r="D925" s="1"/>
      <c r="E925" s="1"/>
      <c r="F925" s="20">
        <f t="shared" si="105"/>
        <v>0</v>
      </c>
      <c r="G925" s="20">
        <f t="shared" si="105"/>
        <v>0</v>
      </c>
      <c r="H925" s="20">
        <f t="shared" si="106"/>
        <v>0</v>
      </c>
      <c r="I925" s="20" t="b">
        <f t="shared" si="107"/>
        <v>1</v>
      </c>
      <c r="J925" s="20"/>
      <c r="K925" s="20"/>
    </row>
    <row r="926" spans="1:11" ht="15.5" x14ac:dyDescent="0.35">
      <c r="A926" s="3" t="s">
        <v>81</v>
      </c>
      <c r="B926" s="1"/>
      <c r="C926" s="20">
        <v>23000</v>
      </c>
      <c r="D926" s="1"/>
      <c r="E926" s="1"/>
      <c r="F926" s="20">
        <f t="shared" si="105"/>
        <v>0</v>
      </c>
      <c r="G926" s="20">
        <f t="shared" si="105"/>
        <v>0</v>
      </c>
      <c r="H926" s="20">
        <f t="shared" si="106"/>
        <v>0</v>
      </c>
      <c r="I926" s="20" t="b">
        <f t="shared" si="107"/>
        <v>1</v>
      </c>
      <c r="J926" s="20"/>
      <c r="K926" s="20"/>
    </row>
    <row r="927" spans="1:11" ht="15.5" x14ac:dyDescent="0.35">
      <c r="A927" s="3" t="s">
        <v>82</v>
      </c>
      <c r="B927" s="1"/>
      <c r="C927" s="20">
        <v>18000</v>
      </c>
      <c r="D927" s="1"/>
      <c r="E927" s="1"/>
      <c r="F927" s="20">
        <f t="shared" si="105"/>
        <v>0</v>
      </c>
      <c r="G927" s="20">
        <f t="shared" si="105"/>
        <v>0</v>
      </c>
      <c r="H927" s="20">
        <f t="shared" si="106"/>
        <v>0</v>
      </c>
      <c r="I927" s="20" t="b">
        <f t="shared" si="107"/>
        <v>1</v>
      </c>
      <c r="J927" s="20"/>
      <c r="K927" s="20"/>
    </row>
    <row r="928" spans="1:11" ht="15.5" x14ac:dyDescent="0.35">
      <c r="A928" s="3" t="s">
        <v>83</v>
      </c>
      <c r="B928" s="1"/>
      <c r="C928" s="20">
        <v>18000</v>
      </c>
      <c r="D928" s="1"/>
      <c r="E928" s="1"/>
      <c r="F928" s="20">
        <f t="shared" si="105"/>
        <v>0</v>
      </c>
      <c r="G928" s="20">
        <f t="shared" si="105"/>
        <v>0</v>
      </c>
      <c r="H928" s="20">
        <f t="shared" si="106"/>
        <v>0</v>
      </c>
      <c r="I928" s="20" t="b">
        <f t="shared" si="107"/>
        <v>1</v>
      </c>
      <c r="J928" s="20"/>
      <c r="K928" s="20"/>
    </row>
    <row r="929" spans="1:11" ht="15.5" x14ac:dyDescent="0.35">
      <c r="A929" s="3" t="s">
        <v>84</v>
      </c>
      <c r="B929" s="1"/>
      <c r="C929" s="20">
        <v>18500</v>
      </c>
      <c r="D929" s="1"/>
      <c r="E929" s="1"/>
      <c r="F929" s="20">
        <f t="shared" si="105"/>
        <v>0</v>
      </c>
      <c r="G929" s="20">
        <f t="shared" si="105"/>
        <v>0</v>
      </c>
      <c r="H929" s="20">
        <f t="shared" si="106"/>
        <v>0</v>
      </c>
      <c r="I929" s="20" t="b">
        <f t="shared" si="107"/>
        <v>1</v>
      </c>
      <c r="J929" s="20"/>
      <c r="K929" s="20"/>
    </row>
    <row r="930" spans="1:11" ht="15.5" x14ac:dyDescent="0.35">
      <c r="A930" s="3" t="s">
        <v>85</v>
      </c>
      <c r="B930" s="1"/>
      <c r="C930" s="20">
        <v>18500</v>
      </c>
      <c r="D930" s="1"/>
      <c r="E930" s="1"/>
      <c r="F930" s="20">
        <f t="shared" si="105"/>
        <v>0</v>
      </c>
      <c r="G930" s="20">
        <f t="shared" si="105"/>
        <v>0</v>
      </c>
      <c r="H930" s="20">
        <f t="shared" si="106"/>
        <v>0</v>
      </c>
      <c r="I930" s="20" t="b">
        <f t="shared" si="107"/>
        <v>1</v>
      </c>
      <c r="J930" s="20"/>
      <c r="K930" s="20"/>
    </row>
    <row r="931" spans="1:11" ht="15.5" x14ac:dyDescent="0.35">
      <c r="A931" s="3" t="s">
        <v>86</v>
      </c>
      <c r="B931" s="1"/>
      <c r="C931" s="20">
        <v>18500</v>
      </c>
      <c r="D931" s="1"/>
      <c r="E931" s="1"/>
      <c r="F931" s="20">
        <f t="shared" si="105"/>
        <v>0</v>
      </c>
      <c r="G931" s="20">
        <f t="shared" si="105"/>
        <v>0</v>
      </c>
      <c r="H931" s="20">
        <f t="shared" si="106"/>
        <v>0</v>
      </c>
      <c r="I931" s="20" t="b">
        <f t="shared" si="107"/>
        <v>1</v>
      </c>
      <c r="J931" s="20"/>
      <c r="K931" s="20"/>
    </row>
    <row r="932" spans="1:11" ht="15.5" x14ac:dyDescent="0.35">
      <c r="A932" s="3" t="s">
        <v>87</v>
      </c>
      <c r="B932" s="1"/>
      <c r="C932" s="20">
        <v>18500</v>
      </c>
      <c r="D932" s="1"/>
      <c r="E932" s="1"/>
      <c r="F932" s="20">
        <f t="shared" si="105"/>
        <v>0</v>
      </c>
      <c r="G932" s="20">
        <f t="shared" si="105"/>
        <v>0</v>
      </c>
      <c r="H932" s="20">
        <f t="shared" si="106"/>
        <v>0</v>
      </c>
      <c r="I932" s="20" t="b">
        <f t="shared" si="107"/>
        <v>1</v>
      </c>
      <c r="J932" s="20"/>
      <c r="K932" s="20"/>
    </row>
    <row r="933" spans="1:11" ht="15.5" x14ac:dyDescent="0.35">
      <c r="A933" s="3" t="s">
        <v>88</v>
      </c>
      <c r="B933" s="1"/>
      <c r="C933" s="20">
        <v>18500</v>
      </c>
      <c r="D933" s="1"/>
      <c r="E933" s="1"/>
      <c r="F933" s="20">
        <f t="shared" si="105"/>
        <v>0</v>
      </c>
      <c r="G933" s="20">
        <f t="shared" si="105"/>
        <v>0</v>
      </c>
      <c r="H933" s="20">
        <f t="shared" si="106"/>
        <v>0</v>
      </c>
      <c r="I933" s="20" t="b">
        <f t="shared" si="107"/>
        <v>1</v>
      </c>
      <c r="J933" s="20"/>
      <c r="K933" s="20"/>
    </row>
    <row r="934" spans="1:11" ht="15.5" x14ac:dyDescent="0.35">
      <c r="A934" s="19" t="s">
        <v>89</v>
      </c>
      <c r="B934" s="1"/>
      <c r="C934" s="20"/>
      <c r="D934" s="1"/>
      <c r="E934" s="1"/>
      <c r="F934" s="20"/>
      <c r="G934" s="20"/>
      <c r="H934" s="20">
        <f t="shared" si="106"/>
        <v>0</v>
      </c>
      <c r="I934" s="20" t="b">
        <f t="shared" si="107"/>
        <v>1</v>
      </c>
      <c r="J934" s="20"/>
      <c r="K934" s="20"/>
    </row>
    <row r="935" spans="1:11" ht="15.5" x14ac:dyDescent="0.35">
      <c r="A935" s="3" t="s">
        <v>92</v>
      </c>
      <c r="B935" s="1"/>
      <c r="C935" s="20">
        <v>21500</v>
      </c>
      <c r="D935" s="1"/>
      <c r="E935" s="1"/>
      <c r="F935" s="20">
        <f t="shared" ref="F935:G937" si="108">C935*B935</f>
        <v>0</v>
      </c>
      <c r="G935" s="20">
        <f t="shared" si="108"/>
        <v>0</v>
      </c>
      <c r="H935" s="20">
        <f t="shared" si="106"/>
        <v>0</v>
      </c>
      <c r="I935" s="20" t="b">
        <f t="shared" si="107"/>
        <v>1</v>
      </c>
      <c r="J935" s="20"/>
      <c r="K935" s="20"/>
    </row>
    <row r="936" spans="1:11" ht="15.5" x14ac:dyDescent="0.35">
      <c r="A936" s="3" t="s">
        <v>93</v>
      </c>
      <c r="B936" s="1"/>
      <c r="C936" s="20">
        <v>21500</v>
      </c>
      <c r="D936" s="1"/>
      <c r="E936" s="1"/>
      <c r="F936" s="20">
        <f t="shared" si="108"/>
        <v>0</v>
      </c>
      <c r="G936" s="20">
        <f t="shared" si="108"/>
        <v>0</v>
      </c>
      <c r="H936" s="20">
        <f t="shared" si="106"/>
        <v>0</v>
      </c>
      <c r="I936" s="20" t="b">
        <f t="shared" si="107"/>
        <v>1</v>
      </c>
      <c r="J936" s="20"/>
      <c r="K936" s="20"/>
    </row>
    <row r="937" spans="1:11" ht="15.5" x14ac:dyDescent="0.35">
      <c r="A937" s="3" t="s">
        <v>94</v>
      </c>
      <c r="B937" s="1"/>
      <c r="C937" s="20">
        <v>21500</v>
      </c>
      <c r="D937" s="1"/>
      <c r="E937" s="1"/>
      <c r="F937" s="20">
        <f t="shared" si="108"/>
        <v>0</v>
      </c>
      <c r="G937" s="20">
        <f t="shared" si="108"/>
        <v>0</v>
      </c>
      <c r="H937" s="20">
        <f t="shared" si="106"/>
        <v>0</v>
      </c>
      <c r="I937" s="20" t="b">
        <f t="shared" si="107"/>
        <v>1</v>
      </c>
      <c r="J937" s="20"/>
      <c r="K937" s="20"/>
    </row>
    <row r="938" spans="1:11" ht="15.5" x14ac:dyDescent="0.35">
      <c r="A938" s="19"/>
      <c r="B938" s="22">
        <f>SUM(B921:B937)</f>
        <v>0</v>
      </c>
      <c r="C938" s="20"/>
      <c r="D938" s="1"/>
      <c r="E938" s="1"/>
      <c r="F938" s="23">
        <f>SUM(F921:F937)</f>
        <v>0</v>
      </c>
      <c r="G938" s="23">
        <f>SUM(G921:G937)</f>
        <v>0</v>
      </c>
      <c r="H938" s="23">
        <f>SUM(H921:H937)</f>
        <v>0</v>
      </c>
      <c r="I938" s="23"/>
      <c r="J938" s="23">
        <f>SUM(J921:J937)</f>
        <v>440000</v>
      </c>
      <c r="K938" s="23">
        <f>H938-J938</f>
        <v>-440000</v>
      </c>
    </row>
    <row r="939" spans="1:11" ht="15.5" x14ac:dyDescent="0.35">
      <c r="A939" s="19" t="s">
        <v>95</v>
      </c>
      <c r="B939" s="1"/>
      <c r="C939" s="20"/>
      <c r="D939" s="1"/>
      <c r="E939" s="1"/>
      <c r="F939" s="20"/>
      <c r="G939" s="20"/>
      <c r="H939" s="20" t="s">
        <v>192</v>
      </c>
      <c r="I939" s="20"/>
      <c r="J939" s="20"/>
      <c r="K939" s="20"/>
    </row>
    <row r="940" spans="1:11" ht="15.5" x14ac:dyDescent="0.35">
      <c r="A940" s="3" t="s">
        <v>96</v>
      </c>
      <c r="B940" s="1"/>
      <c r="C940" s="20">
        <v>3000</v>
      </c>
      <c r="D940" s="1"/>
      <c r="E940" s="20"/>
      <c r="F940" s="20">
        <f t="shared" ref="F940:F943" si="109">C940*B940</f>
        <v>0</v>
      </c>
      <c r="G940" s="20"/>
      <c r="H940" s="20"/>
      <c r="I940" s="20"/>
      <c r="J940" s="20"/>
      <c r="K940" s="20"/>
    </row>
    <row r="941" spans="1:11" ht="15.5" x14ac:dyDescent="0.35">
      <c r="A941" s="3" t="s">
        <v>97</v>
      </c>
      <c r="B941" s="1"/>
      <c r="C941" s="20">
        <v>2500</v>
      </c>
      <c r="D941" s="1"/>
      <c r="E941" s="1"/>
      <c r="F941" s="20">
        <f t="shared" si="109"/>
        <v>0</v>
      </c>
      <c r="G941" s="20"/>
      <c r="H941" s="20"/>
      <c r="I941" s="20"/>
      <c r="J941" s="20"/>
      <c r="K941" s="20"/>
    </row>
    <row r="942" spans="1:11" ht="15.5" x14ac:dyDescent="0.35">
      <c r="A942" s="3" t="s">
        <v>98</v>
      </c>
      <c r="B942" s="1"/>
      <c r="C942" s="20">
        <v>1800</v>
      </c>
      <c r="D942" s="1"/>
      <c r="E942" s="1"/>
      <c r="F942" s="20">
        <f t="shared" si="109"/>
        <v>0</v>
      </c>
      <c r="G942" s="20"/>
      <c r="H942" s="20"/>
      <c r="I942" s="20"/>
      <c r="J942" s="20"/>
      <c r="K942" s="20"/>
    </row>
    <row r="943" spans="1:11" ht="15.5" x14ac:dyDescent="0.35">
      <c r="A943" s="3" t="s">
        <v>99</v>
      </c>
      <c r="B943" s="1"/>
      <c r="C943" s="20">
        <v>3500</v>
      </c>
      <c r="D943" s="1"/>
      <c r="E943" s="1"/>
      <c r="F943" s="20">
        <f t="shared" si="109"/>
        <v>0</v>
      </c>
      <c r="G943" s="20"/>
      <c r="H943" s="20"/>
      <c r="I943" s="20"/>
      <c r="J943" s="20"/>
      <c r="K943" s="20"/>
    </row>
    <row r="944" spans="1:11" ht="15.5" x14ac:dyDescent="0.35">
      <c r="A944" s="18"/>
      <c r="F944" s="21"/>
    </row>
    <row r="945" spans="1:11" ht="15.5" x14ac:dyDescent="0.35">
      <c r="A945" s="24" t="s">
        <v>108</v>
      </c>
      <c r="K945" s="21"/>
    </row>
    <row r="946" spans="1:11" ht="15.5" x14ac:dyDescent="0.35">
      <c r="A946" s="18" t="s">
        <v>114</v>
      </c>
      <c r="B946" s="67">
        <v>40000</v>
      </c>
    </row>
    <row r="947" spans="1:11" ht="15.5" x14ac:dyDescent="0.35">
      <c r="A947" s="18" t="s">
        <v>112</v>
      </c>
      <c r="B947" s="67">
        <v>40000</v>
      </c>
    </row>
    <row r="948" spans="1:11" ht="15.5" x14ac:dyDescent="0.35">
      <c r="A948" s="18" t="s">
        <v>309</v>
      </c>
      <c r="B948" s="67">
        <v>60000</v>
      </c>
    </row>
    <row r="949" spans="1:11" ht="15.5" x14ac:dyDescent="0.35">
      <c r="A949" s="18" t="s">
        <v>110</v>
      </c>
      <c r="B949" s="67">
        <v>40000</v>
      </c>
    </row>
    <row r="950" spans="1:11" ht="15.5" x14ac:dyDescent="0.35">
      <c r="A950" s="18" t="s">
        <v>111</v>
      </c>
      <c r="B950" s="67">
        <v>40000</v>
      </c>
    </row>
    <row r="951" spans="1:11" ht="15.5" x14ac:dyDescent="0.35">
      <c r="A951" s="18" t="s">
        <v>196</v>
      </c>
      <c r="B951" s="67">
        <v>40000</v>
      </c>
    </row>
    <row r="952" spans="1:11" ht="15.5" x14ac:dyDescent="0.35">
      <c r="A952" s="18" t="s">
        <v>113</v>
      </c>
      <c r="B952" s="67">
        <v>40000</v>
      </c>
    </row>
    <row r="953" spans="1:11" ht="15.5" x14ac:dyDescent="0.35">
      <c r="A953" s="18" t="s">
        <v>209</v>
      </c>
      <c r="B953" s="67">
        <v>40000</v>
      </c>
    </row>
    <row r="954" spans="1:11" ht="15.5" x14ac:dyDescent="0.35">
      <c r="A954" s="18" t="s">
        <v>115</v>
      </c>
      <c r="B954" s="67">
        <v>60000</v>
      </c>
    </row>
    <row r="955" spans="1:11" ht="15.5" x14ac:dyDescent="0.35">
      <c r="A955" s="18" t="s">
        <v>109</v>
      </c>
      <c r="B955" s="67">
        <v>40000</v>
      </c>
    </row>
    <row r="956" spans="1:11" ht="15.5" x14ac:dyDescent="0.35">
      <c r="A956" s="24" t="s">
        <v>4</v>
      </c>
      <c r="B956" s="75">
        <f>SUM(B946:B955)</f>
        <v>440000</v>
      </c>
    </row>
    <row r="959" spans="1:11" ht="18.5" x14ac:dyDescent="0.45">
      <c r="A959" s="151" t="s">
        <v>1</v>
      </c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</row>
    <row r="960" spans="1:11" ht="18.5" x14ac:dyDescent="0.45">
      <c r="A960" s="150" t="s">
        <v>74</v>
      </c>
      <c r="B960" s="150"/>
      <c r="C960" s="150"/>
      <c r="D960" s="150"/>
      <c r="E960" s="150"/>
      <c r="F960" s="150"/>
      <c r="G960" s="150"/>
      <c r="H960" s="150"/>
      <c r="I960" s="150"/>
      <c r="J960" s="150"/>
      <c r="K960" s="150"/>
    </row>
    <row r="961" spans="1:11" ht="18.5" x14ac:dyDescent="0.45">
      <c r="A961" s="149" t="s">
        <v>360</v>
      </c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</row>
    <row r="962" spans="1:11" ht="18.5" x14ac:dyDescent="0.45">
      <c r="A962" s="150"/>
      <c r="B962" s="150"/>
      <c r="C962" s="150"/>
      <c r="D962" s="150"/>
      <c r="E962" s="150"/>
      <c r="F962" s="150"/>
      <c r="G962" s="150"/>
      <c r="H962" s="150"/>
      <c r="I962" s="150"/>
      <c r="J962" s="150"/>
      <c r="K962" s="150"/>
    </row>
    <row r="963" spans="1:11" ht="18.5" x14ac:dyDescent="0.45">
      <c r="A963" s="2" t="s">
        <v>75</v>
      </c>
      <c r="B963" s="2" t="s">
        <v>3</v>
      </c>
      <c r="C963" s="2" t="s">
        <v>100</v>
      </c>
      <c r="D963" s="2" t="s">
        <v>90</v>
      </c>
      <c r="E963" s="2" t="s">
        <v>91</v>
      </c>
      <c r="F963" s="2" t="s">
        <v>4</v>
      </c>
      <c r="G963" s="2" t="s">
        <v>101</v>
      </c>
      <c r="H963" s="2" t="s">
        <v>104</v>
      </c>
      <c r="I963" s="2"/>
      <c r="J963" s="2" t="s">
        <v>105</v>
      </c>
      <c r="K963" s="2" t="s">
        <v>106</v>
      </c>
    </row>
    <row r="964" spans="1:11" ht="15.5" x14ac:dyDescent="0.35">
      <c r="A964" s="3" t="s">
        <v>76</v>
      </c>
      <c r="B964" s="1"/>
      <c r="C964" s="20">
        <v>17500</v>
      </c>
      <c r="D964" s="1"/>
      <c r="E964" s="1"/>
      <c r="F964" s="20">
        <f>C964*B964</f>
        <v>0</v>
      </c>
      <c r="G964" s="20">
        <f>D964*C964</f>
        <v>0</v>
      </c>
      <c r="H964" s="20">
        <f>E964*C964</f>
        <v>0</v>
      </c>
      <c r="I964" s="20" t="b">
        <f>D964+E964=B964</f>
        <v>1</v>
      </c>
      <c r="J964" s="20">
        <f>B999</f>
        <v>440000</v>
      </c>
      <c r="K964" s="20"/>
    </row>
    <row r="965" spans="1:11" ht="15.5" x14ac:dyDescent="0.35">
      <c r="A965" s="3" t="s">
        <v>77</v>
      </c>
      <c r="B965" s="1"/>
      <c r="C965" s="20">
        <v>16000</v>
      </c>
      <c r="D965" s="1"/>
      <c r="E965" s="1"/>
      <c r="F965" s="20">
        <f t="shared" ref="F965:G976" si="110">C965*B965</f>
        <v>0</v>
      </c>
      <c r="G965" s="20">
        <f t="shared" si="110"/>
        <v>0</v>
      </c>
      <c r="H965" s="20">
        <f t="shared" ref="H965:H980" si="111">E965*C965</f>
        <v>0</v>
      </c>
      <c r="I965" s="20" t="b">
        <f t="shared" ref="I965:I980" si="112">D965+E965=B965</f>
        <v>1</v>
      </c>
      <c r="J965" s="20"/>
      <c r="K965" s="20"/>
    </row>
    <row r="966" spans="1:11" ht="15.5" x14ac:dyDescent="0.35">
      <c r="A966" s="3" t="s">
        <v>78</v>
      </c>
      <c r="B966" s="1"/>
      <c r="C966" s="20">
        <v>17500</v>
      </c>
      <c r="D966" s="1"/>
      <c r="E966" s="1"/>
      <c r="F966" s="20">
        <f t="shared" si="110"/>
        <v>0</v>
      </c>
      <c r="G966" s="20">
        <f t="shared" si="110"/>
        <v>0</v>
      </c>
      <c r="H966" s="20">
        <f t="shared" si="111"/>
        <v>0</v>
      </c>
      <c r="I966" s="20" t="b">
        <f t="shared" si="112"/>
        <v>1</v>
      </c>
      <c r="J966" s="20"/>
      <c r="K966" s="20"/>
    </row>
    <row r="967" spans="1:11" ht="15.5" x14ac:dyDescent="0.35">
      <c r="A967" s="3" t="s">
        <v>79</v>
      </c>
      <c r="B967" s="1"/>
      <c r="C967" s="20">
        <v>18500</v>
      </c>
      <c r="D967" s="1"/>
      <c r="E967" s="1"/>
      <c r="F967" s="20">
        <f t="shared" si="110"/>
        <v>0</v>
      </c>
      <c r="G967" s="20">
        <f t="shared" si="110"/>
        <v>0</v>
      </c>
      <c r="H967" s="20">
        <f t="shared" si="111"/>
        <v>0</v>
      </c>
      <c r="I967" s="20" t="b">
        <f t="shared" si="112"/>
        <v>1</v>
      </c>
      <c r="J967" s="20"/>
      <c r="K967" s="20"/>
    </row>
    <row r="968" spans="1:11" ht="15.5" x14ac:dyDescent="0.35">
      <c r="A968" s="3" t="s">
        <v>80</v>
      </c>
      <c r="B968" s="1"/>
      <c r="C968" s="20">
        <v>18500</v>
      </c>
      <c r="D968" s="1"/>
      <c r="E968" s="1"/>
      <c r="F968" s="20">
        <f t="shared" si="110"/>
        <v>0</v>
      </c>
      <c r="G968" s="20">
        <f t="shared" si="110"/>
        <v>0</v>
      </c>
      <c r="H968" s="20">
        <f t="shared" si="111"/>
        <v>0</v>
      </c>
      <c r="I968" s="20" t="b">
        <f t="shared" si="112"/>
        <v>1</v>
      </c>
      <c r="J968" s="20"/>
      <c r="K968" s="20"/>
    </row>
    <row r="969" spans="1:11" ht="15.5" x14ac:dyDescent="0.35">
      <c r="A969" s="3" t="s">
        <v>81</v>
      </c>
      <c r="B969" s="1"/>
      <c r="C969" s="20">
        <v>23000</v>
      </c>
      <c r="D969" s="1"/>
      <c r="E969" s="1"/>
      <c r="F969" s="20">
        <f t="shared" si="110"/>
        <v>0</v>
      </c>
      <c r="G969" s="20">
        <f t="shared" si="110"/>
        <v>0</v>
      </c>
      <c r="H969" s="20">
        <f t="shared" si="111"/>
        <v>0</v>
      </c>
      <c r="I969" s="20" t="b">
        <f t="shared" si="112"/>
        <v>1</v>
      </c>
      <c r="J969" s="20"/>
      <c r="K969" s="20"/>
    </row>
    <row r="970" spans="1:11" ht="15.5" x14ac:dyDescent="0.35">
      <c r="A970" s="3" t="s">
        <v>82</v>
      </c>
      <c r="B970" s="1"/>
      <c r="C970" s="20">
        <v>18000</v>
      </c>
      <c r="D970" s="1"/>
      <c r="E970" s="1"/>
      <c r="F970" s="20">
        <f t="shared" si="110"/>
        <v>0</v>
      </c>
      <c r="G970" s="20">
        <f t="shared" si="110"/>
        <v>0</v>
      </c>
      <c r="H970" s="20">
        <f t="shared" si="111"/>
        <v>0</v>
      </c>
      <c r="I970" s="20" t="b">
        <f t="shared" si="112"/>
        <v>1</v>
      </c>
      <c r="J970" s="20"/>
      <c r="K970" s="20"/>
    </row>
    <row r="971" spans="1:11" ht="15.5" x14ac:dyDescent="0.35">
      <c r="A971" s="3" t="s">
        <v>83</v>
      </c>
      <c r="B971" s="1"/>
      <c r="C971" s="20">
        <v>18000</v>
      </c>
      <c r="D971" s="1"/>
      <c r="E971" s="1"/>
      <c r="F971" s="20">
        <f t="shared" si="110"/>
        <v>0</v>
      </c>
      <c r="G971" s="20">
        <f t="shared" si="110"/>
        <v>0</v>
      </c>
      <c r="H971" s="20">
        <f t="shared" si="111"/>
        <v>0</v>
      </c>
      <c r="I971" s="20" t="b">
        <f t="shared" si="112"/>
        <v>1</v>
      </c>
      <c r="J971" s="20"/>
      <c r="K971" s="20"/>
    </row>
    <row r="972" spans="1:11" ht="15.5" x14ac:dyDescent="0.35">
      <c r="A972" s="3" t="s">
        <v>84</v>
      </c>
      <c r="B972" s="1"/>
      <c r="C972" s="20">
        <v>18500</v>
      </c>
      <c r="D972" s="1"/>
      <c r="E972" s="1"/>
      <c r="F972" s="20">
        <f t="shared" si="110"/>
        <v>0</v>
      </c>
      <c r="G972" s="20">
        <f t="shared" si="110"/>
        <v>0</v>
      </c>
      <c r="H972" s="20">
        <f t="shared" si="111"/>
        <v>0</v>
      </c>
      <c r="I972" s="20" t="b">
        <f t="shared" si="112"/>
        <v>1</v>
      </c>
      <c r="J972" s="20"/>
      <c r="K972" s="20"/>
    </row>
    <row r="973" spans="1:11" ht="15.5" x14ac:dyDescent="0.35">
      <c r="A973" s="3" t="s">
        <v>85</v>
      </c>
      <c r="B973" s="1"/>
      <c r="C973" s="20">
        <v>18500</v>
      </c>
      <c r="D973" s="1"/>
      <c r="E973" s="1"/>
      <c r="F973" s="20">
        <f t="shared" si="110"/>
        <v>0</v>
      </c>
      <c r="G973" s="20">
        <f t="shared" si="110"/>
        <v>0</v>
      </c>
      <c r="H973" s="20">
        <f t="shared" si="111"/>
        <v>0</v>
      </c>
      <c r="I973" s="20" t="b">
        <f t="shared" si="112"/>
        <v>1</v>
      </c>
      <c r="J973" s="20"/>
      <c r="K973" s="20"/>
    </row>
    <row r="974" spans="1:11" ht="15.5" x14ac:dyDescent="0.35">
      <c r="A974" s="3" t="s">
        <v>86</v>
      </c>
      <c r="B974" s="1"/>
      <c r="C974" s="20">
        <v>18500</v>
      </c>
      <c r="D974" s="1"/>
      <c r="E974" s="1"/>
      <c r="F974" s="20">
        <f t="shared" si="110"/>
        <v>0</v>
      </c>
      <c r="G974" s="20">
        <f t="shared" si="110"/>
        <v>0</v>
      </c>
      <c r="H974" s="20">
        <f t="shared" si="111"/>
        <v>0</v>
      </c>
      <c r="I974" s="20" t="b">
        <f t="shared" si="112"/>
        <v>1</v>
      </c>
      <c r="J974" s="20"/>
      <c r="K974" s="20"/>
    </row>
    <row r="975" spans="1:11" ht="15.5" x14ac:dyDescent="0.35">
      <c r="A975" s="3" t="s">
        <v>87</v>
      </c>
      <c r="B975" s="1"/>
      <c r="C975" s="20">
        <v>18500</v>
      </c>
      <c r="D975" s="1"/>
      <c r="E975" s="1"/>
      <c r="F975" s="20">
        <f t="shared" si="110"/>
        <v>0</v>
      </c>
      <c r="G975" s="20">
        <f t="shared" si="110"/>
        <v>0</v>
      </c>
      <c r="H975" s="20">
        <f t="shared" si="111"/>
        <v>0</v>
      </c>
      <c r="I975" s="20" t="b">
        <f t="shared" si="112"/>
        <v>1</v>
      </c>
      <c r="J975" s="20"/>
      <c r="K975" s="20"/>
    </row>
    <row r="976" spans="1:11" ht="15.5" x14ac:dyDescent="0.35">
      <c r="A976" s="3" t="s">
        <v>88</v>
      </c>
      <c r="B976" s="1"/>
      <c r="C976" s="20">
        <v>18500</v>
      </c>
      <c r="D976" s="1"/>
      <c r="E976" s="1"/>
      <c r="F976" s="20">
        <f t="shared" si="110"/>
        <v>0</v>
      </c>
      <c r="G976" s="20">
        <f t="shared" si="110"/>
        <v>0</v>
      </c>
      <c r="H976" s="20">
        <f t="shared" si="111"/>
        <v>0</v>
      </c>
      <c r="I976" s="20" t="b">
        <f t="shared" si="112"/>
        <v>1</v>
      </c>
      <c r="J976" s="20"/>
      <c r="K976" s="20"/>
    </row>
    <row r="977" spans="1:11" ht="15.5" x14ac:dyDescent="0.35">
      <c r="A977" s="19" t="s">
        <v>89</v>
      </c>
      <c r="B977" s="1"/>
      <c r="C977" s="20"/>
      <c r="D977" s="1"/>
      <c r="E977" s="1"/>
      <c r="F977" s="20"/>
      <c r="G977" s="20"/>
      <c r="H977" s="20">
        <f t="shared" si="111"/>
        <v>0</v>
      </c>
      <c r="I977" s="20" t="b">
        <f t="shared" si="112"/>
        <v>1</v>
      </c>
      <c r="J977" s="20"/>
      <c r="K977" s="20"/>
    </row>
    <row r="978" spans="1:11" ht="15.5" x14ac:dyDescent="0.35">
      <c r="A978" s="3" t="s">
        <v>92</v>
      </c>
      <c r="B978" s="1"/>
      <c r="C978" s="20">
        <v>21500</v>
      </c>
      <c r="D978" s="1"/>
      <c r="E978" s="1"/>
      <c r="F978" s="20">
        <f t="shared" ref="F978:G980" si="113">C978*B978</f>
        <v>0</v>
      </c>
      <c r="G978" s="20">
        <f t="shared" si="113"/>
        <v>0</v>
      </c>
      <c r="H978" s="20">
        <f t="shared" si="111"/>
        <v>0</v>
      </c>
      <c r="I978" s="20" t="b">
        <f t="shared" si="112"/>
        <v>1</v>
      </c>
      <c r="J978" s="20"/>
      <c r="K978" s="20"/>
    </row>
    <row r="979" spans="1:11" ht="15.5" x14ac:dyDescent="0.35">
      <c r="A979" s="3" t="s">
        <v>93</v>
      </c>
      <c r="B979" s="1"/>
      <c r="C979" s="20">
        <v>21500</v>
      </c>
      <c r="D979" s="1"/>
      <c r="E979" s="1"/>
      <c r="F979" s="20">
        <f t="shared" si="113"/>
        <v>0</v>
      </c>
      <c r="G979" s="20">
        <f t="shared" si="113"/>
        <v>0</v>
      </c>
      <c r="H979" s="20">
        <f t="shared" si="111"/>
        <v>0</v>
      </c>
      <c r="I979" s="20" t="b">
        <f t="shared" si="112"/>
        <v>1</v>
      </c>
      <c r="J979" s="20"/>
      <c r="K979" s="20"/>
    </row>
    <row r="980" spans="1:11" ht="15.5" x14ac:dyDescent="0.35">
      <c r="A980" s="3" t="s">
        <v>94</v>
      </c>
      <c r="B980" s="1"/>
      <c r="C980" s="20">
        <v>21500</v>
      </c>
      <c r="D980" s="1"/>
      <c r="E980" s="1"/>
      <c r="F980" s="20">
        <f t="shared" si="113"/>
        <v>0</v>
      </c>
      <c r="G980" s="20">
        <f t="shared" si="113"/>
        <v>0</v>
      </c>
      <c r="H980" s="20">
        <f t="shared" si="111"/>
        <v>0</v>
      </c>
      <c r="I980" s="20" t="b">
        <f t="shared" si="112"/>
        <v>1</v>
      </c>
      <c r="J980" s="20"/>
      <c r="K980" s="20"/>
    </row>
    <row r="981" spans="1:11" ht="15.5" x14ac:dyDescent="0.35">
      <c r="A981" s="19"/>
      <c r="B981" s="22">
        <f>SUM(B964:B980)</f>
        <v>0</v>
      </c>
      <c r="C981" s="20"/>
      <c r="D981" s="1"/>
      <c r="E981" s="1"/>
      <c r="F981" s="23">
        <f>SUM(F964:F980)</f>
        <v>0</v>
      </c>
      <c r="G981" s="23">
        <f>SUM(G964:G980)</f>
        <v>0</v>
      </c>
      <c r="H981" s="23">
        <f>SUM(H964:H980)</f>
        <v>0</v>
      </c>
      <c r="I981" s="23"/>
      <c r="J981" s="23">
        <f>SUM(J964:J980)</f>
        <v>440000</v>
      </c>
      <c r="K981" s="23">
        <f>H981-J981</f>
        <v>-440000</v>
      </c>
    </row>
    <row r="982" spans="1:11" ht="15.5" x14ac:dyDescent="0.35">
      <c r="A982" s="19" t="s">
        <v>95</v>
      </c>
      <c r="B982" s="1"/>
      <c r="C982" s="20"/>
      <c r="D982" s="1"/>
      <c r="E982" s="1"/>
      <c r="F982" s="20"/>
      <c r="G982" s="20"/>
      <c r="H982" s="20" t="s">
        <v>192</v>
      </c>
      <c r="I982" s="20"/>
      <c r="J982" s="20"/>
      <c r="K982" s="20"/>
    </row>
    <row r="983" spans="1:11" ht="15.5" x14ac:dyDescent="0.35">
      <c r="A983" s="3" t="s">
        <v>96</v>
      </c>
      <c r="B983" s="1"/>
      <c r="C983" s="20">
        <v>3000</v>
      </c>
      <c r="D983" s="1"/>
      <c r="E983" s="20"/>
      <c r="F983" s="20">
        <f t="shared" ref="F983:F986" si="114">C983*B983</f>
        <v>0</v>
      </c>
      <c r="G983" s="20"/>
      <c r="H983" s="20"/>
      <c r="I983" s="20"/>
      <c r="J983" s="20"/>
      <c r="K983" s="20"/>
    </row>
    <row r="984" spans="1:11" ht="15.5" x14ac:dyDescent="0.35">
      <c r="A984" s="3" t="s">
        <v>97</v>
      </c>
      <c r="B984" s="1"/>
      <c r="C984" s="20">
        <v>2500</v>
      </c>
      <c r="D984" s="1"/>
      <c r="E984" s="1"/>
      <c r="F984" s="20">
        <f t="shared" si="114"/>
        <v>0</v>
      </c>
      <c r="G984" s="20"/>
      <c r="H984" s="20"/>
      <c r="I984" s="20"/>
      <c r="J984" s="20"/>
      <c r="K984" s="20"/>
    </row>
    <row r="985" spans="1:11" ht="15.5" x14ac:dyDescent="0.35">
      <c r="A985" s="3" t="s">
        <v>98</v>
      </c>
      <c r="B985" s="1"/>
      <c r="C985" s="20">
        <v>1800</v>
      </c>
      <c r="D985" s="1"/>
      <c r="E985" s="1"/>
      <c r="F985" s="20">
        <f t="shared" si="114"/>
        <v>0</v>
      </c>
      <c r="G985" s="20"/>
      <c r="H985" s="20"/>
      <c r="I985" s="20"/>
      <c r="J985" s="20"/>
      <c r="K985" s="20"/>
    </row>
    <row r="986" spans="1:11" ht="15.5" x14ac:dyDescent="0.35">
      <c r="A986" s="3" t="s">
        <v>99</v>
      </c>
      <c r="B986" s="1"/>
      <c r="C986" s="20">
        <v>3500</v>
      </c>
      <c r="D986" s="1"/>
      <c r="E986" s="1"/>
      <c r="F986" s="20">
        <f t="shared" si="114"/>
        <v>0</v>
      </c>
      <c r="G986" s="20"/>
      <c r="H986" s="20"/>
      <c r="I986" s="20"/>
      <c r="J986" s="20"/>
      <c r="K986" s="20"/>
    </row>
    <row r="987" spans="1:11" ht="15.5" x14ac:dyDescent="0.35">
      <c r="A987" s="18"/>
      <c r="F987" s="21"/>
    </row>
    <row r="988" spans="1:11" ht="15.5" x14ac:dyDescent="0.35">
      <c r="A988" s="24" t="s">
        <v>108</v>
      </c>
      <c r="K988" s="21"/>
    </row>
    <row r="989" spans="1:11" ht="15.5" x14ac:dyDescent="0.35">
      <c r="A989" s="18" t="s">
        <v>114</v>
      </c>
      <c r="B989" s="67">
        <v>40000</v>
      </c>
    </row>
    <row r="990" spans="1:11" ht="15.5" x14ac:dyDescent="0.35">
      <c r="A990" s="18" t="s">
        <v>112</v>
      </c>
      <c r="B990" s="67">
        <v>40000</v>
      </c>
    </row>
    <row r="991" spans="1:11" ht="15.5" x14ac:dyDescent="0.35">
      <c r="A991" s="18" t="s">
        <v>309</v>
      </c>
      <c r="B991" s="67">
        <v>60000</v>
      </c>
    </row>
    <row r="992" spans="1:11" ht="15.5" x14ac:dyDescent="0.35">
      <c r="A992" s="18" t="s">
        <v>110</v>
      </c>
      <c r="B992" s="67">
        <v>40000</v>
      </c>
    </row>
    <row r="993" spans="1:11" ht="15.5" x14ac:dyDescent="0.35">
      <c r="A993" s="18" t="s">
        <v>111</v>
      </c>
      <c r="B993" s="67">
        <v>40000</v>
      </c>
    </row>
    <row r="994" spans="1:11" ht="15.5" x14ac:dyDescent="0.35">
      <c r="A994" s="18" t="s">
        <v>196</v>
      </c>
      <c r="B994" s="67">
        <v>40000</v>
      </c>
    </row>
    <row r="995" spans="1:11" ht="15.5" x14ac:dyDescent="0.35">
      <c r="A995" s="18" t="s">
        <v>113</v>
      </c>
      <c r="B995" s="67">
        <v>40000</v>
      </c>
    </row>
    <row r="996" spans="1:11" ht="15.5" x14ac:dyDescent="0.35">
      <c r="A996" s="18" t="s">
        <v>209</v>
      </c>
      <c r="B996" s="67">
        <v>40000</v>
      </c>
    </row>
    <row r="997" spans="1:11" ht="15.5" x14ac:dyDescent="0.35">
      <c r="A997" s="18" t="s">
        <v>115</v>
      </c>
      <c r="B997" s="67">
        <v>60000</v>
      </c>
    </row>
    <row r="998" spans="1:11" ht="15.5" x14ac:dyDescent="0.35">
      <c r="A998" s="18" t="s">
        <v>109</v>
      </c>
      <c r="B998" s="67">
        <v>40000</v>
      </c>
    </row>
    <row r="999" spans="1:11" ht="15.5" x14ac:dyDescent="0.35">
      <c r="A999" s="24" t="s">
        <v>4</v>
      </c>
      <c r="B999" s="75">
        <f>SUM(B989:B998)</f>
        <v>440000</v>
      </c>
    </row>
    <row r="1002" spans="1:11" ht="18.5" x14ac:dyDescent="0.45">
      <c r="A1002" s="151" t="s">
        <v>1</v>
      </c>
      <c r="B1002" s="151"/>
      <c r="C1002" s="151"/>
      <c r="D1002" s="151"/>
      <c r="E1002" s="151"/>
      <c r="F1002" s="151"/>
      <c r="G1002" s="151"/>
      <c r="H1002" s="151"/>
      <c r="I1002" s="151"/>
      <c r="J1002" s="151"/>
      <c r="K1002" s="151"/>
    </row>
    <row r="1003" spans="1:11" ht="18.5" x14ac:dyDescent="0.45">
      <c r="A1003" s="150" t="s">
        <v>74</v>
      </c>
      <c r="B1003" s="150"/>
      <c r="C1003" s="150"/>
      <c r="D1003" s="150"/>
      <c r="E1003" s="150"/>
      <c r="F1003" s="150"/>
      <c r="G1003" s="150"/>
      <c r="H1003" s="150"/>
      <c r="I1003" s="150"/>
      <c r="J1003" s="150"/>
      <c r="K1003" s="150"/>
    </row>
    <row r="1004" spans="1:11" ht="18.5" x14ac:dyDescent="0.45">
      <c r="A1004" s="149" t="s">
        <v>360</v>
      </c>
      <c r="B1004" s="149"/>
      <c r="C1004" s="149"/>
      <c r="D1004" s="149"/>
      <c r="E1004" s="149"/>
      <c r="F1004" s="149"/>
      <c r="G1004" s="149"/>
      <c r="H1004" s="149"/>
      <c r="I1004" s="149"/>
      <c r="J1004" s="149"/>
      <c r="K1004" s="149"/>
    </row>
    <row r="1005" spans="1:11" ht="18.5" x14ac:dyDescent="0.45">
      <c r="A1005" s="150"/>
      <c r="B1005" s="150"/>
      <c r="C1005" s="150"/>
      <c r="D1005" s="150"/>
      <c r="E1005" s="150"/>
      <c r="F1005" s="150"/>
      <c r="G1005" s="150"/>
      <c r="H1005" s="150"/>
      <c r="I1005" s="150"/>
      <c r="J1005" s="150"/>
      <c r="K1005" s="150"/>
    </row>
    <row r="1006" spans="1:11" ht="18.5" x14ac:dyDescent="0.45">
      <c r="A1006" s="2" t="s">
        <v>75</v>
      </c>
      <c r="B1006" s="2" t="s">
        <v>3</v>
      </c>
      <c r="C1006" s="2" t="s">
        <v>100</v>
      </c>
      <c r="D1006" s="2" t="s">
        <v>90</v>
      </c>
      <c r="E1006" s="2" t="s">
        <v>91</v>
      </c>
      <c r="F1006" s="2" t="s">
        <v>4</v>
      </c>
      <c r="G1006" s="2" t="s">
        <v>101</v>
      </c>
      <c r="H1006" s="2" t="s">
        <v>104</v>
      </c>
      <c r="I1006" s="2"/>
      <c r="J1006" s="2" t="s">
        <v>105</v>
      </c>
      <c r="K1006" s="2" t="s">
        <v>106</v>
      </c>
    </row>
    <row r="1007" spans="1:11" ht="15.5" x14ac:dyDescent="0.35">
      <c r="A1007" s="3" t="s">
        <v>76</v>
      </c>
      <c r="B1007" s="1"/>
      <c r="C1007" s="20">
        <v>17500</v>
      </c>
      <c r="D1007" s="1"/>
      <c r="E1007" s="1"/>
      <c r="F1007" s="20">
        <f>C1007*B1007</f>
        <v>0</v>
      </c>
      <c r="G1007" s="20">
        <f>D1007*C1007</f>
        <v>0</v>
      </c>
      <c r="H1007" s="20">
        <f>E1007*C1007</f>
        <v>0</v>
      </c>
      <c r="I1007" s="20" t="b">
        <f>D1007+E1007=B1007</f>
        <v>1</v>
      </c>
      <c r="J1007" s="20">
        <f>B1042</f>
        <v>440000</v>
      </c>
      <c r="K1007" s="20"/>
    </row>
    <row r="1008" spans="1:11" ht="15.5" x14ac:dyDescent="0.35">
      <c r="A1008" s="3" t="s">
        <v>77</v>
      </c>
      <c r="B1008" s="1"/>
      <c r="C1008" s="20">
        <v>16000</v>
      </c>
      <c r="D1008" s="1"/>
      <c r="E1008" s="1"/>
      <c r="F1008" s="20">
        <f t="shared" ref="F1008:G1019" si="115">C1008*B1008</f>
        <v>0</v>
      </c>
      <c r="G1008" s="20">
        <f t="shared" si="115"/>
        <v>0</v>
      </c>
      <c r="H1008" s="20">
        <f t="shared" ref="H1008:H1023" si="116">E1008*C1008</f>
        <v>0</v>
      </c>
      <c r="I1008" s="20" t="b">
        <f t="shared" ref="I1008:I1023" si="117">D1008+E1008=B1008</f>
        <v>1</v>
      </c>
      <c r="J1008" s="20"/>
      <c r="K1008" s="20"/>
    </row>
    <row r="1009" spans="1:11" ht="15.5" x14ac:dyDescent="0.35">
      <c r="A1009" s="3" t="s">
        <v>78</v>
      </c>
      <c r="B1009" s="1"/>
      <c r="C1009" s="20">
        <v>17500</v>
      </c>
      <c r="D1009" s="1"/>
      <c r="E1009" s="1"/>
      <c r="F1009" s="20">
        <f t="shared" si="115"/>
        <v>0</v>
      </c>
      <c r="G1009" s="20">
        <f t="shared" si="115"/>
        <v>0</v>
      </c>
      <c r="H1009" s="20">
        <f t="shared" si="116"/>
        <v>0</v>
      </c>
      <c r="I1009" s="20" t="b">
        <f t="shared" si="117"/>
        <v>1</v>
      </c>
      <c r="J1009" s="20"/>
      <c r="K1009" s="20"/>
    </row>
    <row r="1010" spans="1:11" ht="15.5" x14ac:dyDescent="0.35">
      <c r="A1010" s="3" t="s">
        <v>79</v>
      </c>
      <c r="B1010" s="1"/>
      <c r="C1010" s="20">
        <v>18500</v>
      </c>
      <c r="D1010" s="1"/>
      <c r="E1010" s="1"/>
      <c r="F1010" s="20">
        <f t="shared" si="115"/>
        <v>0</v>
      </c>
      <c r="G1010" s="20">
        <f t="shared" si="115"/>
        <v>0</v>
      </c>
      <c r="H1010" s="20">
        <f t="shared" si="116"/>
        <v>0</v>
      </c>
      <c r="I1010" s="20" t="b">
        <f t="shared" si="117"/>
        <v>1</v>
      </c>
      <c r="J1010" s="20"/>
      <c r="K1010" s="20"/>
    </row>
    <row r="1011" spans="1:11" ht="15.5" x14ac:dyDescent="0.35">
      <c r="A1011" s="3" t="s">
        <v>80</v>
      </c>
      <c r="B1011" s="1"/>
      <c r="C1011" s="20">
        <v>18500</v>
      </c>
      <c r="D1011" s="1"/>
      <c r="E1011" s="1"/>
      <c r="F1011" s="20">
        <f t="shared" si="115"/>
        <v>0</v>
      </c>
      <c r="G1011" s="20">
        <f t="shared" si="115"/>
        <v>0</v>
      </c>
      <c r="H1011" s="20">
        <f t="shared" si="116"/>
        <v>0</v>
      </c>
      <c r="I1011" s="20" t="b">
        <f t="shared" si="117"/>
        <v>1</v>
      </c>
      <c r="J1011" s="20"/>
      <c r="K1011" s="20"/>
    </row>
    <row r="1012" spans="1:11" ht="15.5" x14ac:dyDescent="0.35">
      <c r="A1012" s="3" t="s">
        <v>81</v>
      </c>
      <c r="B1012" s="1"/>
      <c r="C1012" s="20">
        <v>23000</v>
      </c>
      <c r="D1012" s="1"/>
      <c r="E1012" s="1"/>
      <c r="F1012" s="20">
        <f t="shared" si="115"/>
        <v>0</v>
      </c>
      <c r="G1012" s="20">
        <f t="shared" si="115"/>
        <v>0</v>
      </c>
      <c r="H1012" s="20">
        <f t="shared" si="116"/>
        <v>0</v>
      </c>
      <c r="I1012" s="20" t="b">
        <f t="shared" si="117"/>
        <v>1</v>
      </c>
      <c r="J1012" s="20"/>
      <c r="K1012" s="20"/>
    </row>
    <row r="1013" spans="1:11" ht="15.5" x14ac:dyDescent="0.35">
      <c r="A1013" s="3" t="s">
        <v>82</v>
      </c>
      <c r="B1013" s="1"/>
      <c r="C1013" s="20">
        <v>18000</v>
      </c>
      <c r="D1013" s="1"/>
      <c r="E1013" s="1"/>
      <c r="F1013" s="20">
        <f t="shared" si="115"/>
        <v>0</v>
      </c>
      <c r="G1013" s="20">
        <f t="shared" si="115"/>
        <v>0</v>
      </c>
      <c r="H1013" s="20">
        <f t="shared" si="116"/>
        <v>0</v>
      </c>
      <c r="I1013" s="20" t="b">
        <f t="shared" si="117"/>
        <v>1</v>
      </c>
      <c r="J1013" s="20"/>
      <c r="K1013" s="20"/>
    </row>
    <row r="1014" spans="1:11" ht="15.5" x14ac:dyDescent="0.35">
      <c r="A1014" s="3" t="s">
        <v>83</v>
      </c>
      <c r="B1014" s="1"/>
      <c r="C1014" s="20">
        <v>18000</v>
      </c>
      <c r="D1014" s="1"/>
      <c r="E1014" s="1"/>
      <c r="F1014" s="20">
        <f t="shared" si="115"/>
        <v>0</v>
      </c>
      <c r="G1014" s="20">
        <f t="shared" si="115"/>
        <v>0</v>
      </c>
      <c r="H1014" s="20">
        <f t="shared" si="116"/>
        <v>0</v>
      </c>
      <c r="I1014" s="20" t="b">
        <f t="shared" si="117"/>
        <v>1</v>
      </c>
      <c r="J1014" s="20"/>
      <c r="K1014" s="20"/>
    </row>
    <row r="1015" spans="1:11" ht="15.5" x14ac:dyDescent="0.35">
      <c r="A1015" s="3" t="s">
        <v>84</v>
      </c>
      <c r="B1015" s="1"/>
      <c r="C1015" s="20">
        <v>18500</v>
      </c>
      <c r="D1015" s="1"/>
      <c r="E1015" s="1"/>
      <c r="F1015" s="20">
        <f t="shared" si="115"/>
        <v>0</v>
      </c>
      <c r="G1015" s="20">
        <f t="shared" si="115"/>
        <v>0</v>
      </c>
      <c r="H1015" s="20">
        <f t="shared" si="116"/>
        <v>0</v>
      </c>
      <c r="I1015" s="20" t="b">
        <f t="shared" si="117"/>
        <v>1</v>
      </c>
      <c r="J1015" s="20"/>
      <c r="K1015" s="20"/>
    </row>
    <row r="1016" spans="1:11" ht="15.5" x14ac:dyDescent="0.35">
      <c r="A1016" s="3" t="s">
        <v>85</v>
      </c>
      <c r="B1016" s="1"/>
      <c r="C1016" s="20">
        <v>18500</v>
      </c>
      <c r="D1016" s="1"/>
      <c r="E1016" s="1"/>
      <c r="F1016" s="20">
        <f t="shared" si="115"/>
        <v>0</v>
      </c>
      <c r="G1016" s="20">
        <f t="shared" si="115"/>
        <v>0</v>
      </c>
      <c r="H1016" s="20">
        <f t="shared" si="116"/>
        <v>0</v>
      </c>
      <c r="I1016" s="20" t="b">
        <f t="shared" si="117"/>
        <v>1</v>
      </c>
      <c r="J1016" s="20"/>
      <c r="K1016" s="20"/>
    </row>
    <row r="1017" spans="1:11" ht="15.5" x14ac:dyDescent="0.35">
      <c r="A1017" s="3" t="s">
        <v>86</v>
      </c>
      <c r="B1017" s="1"/>
      <c r="C1017" s="20">
        <v>18500</v>
      </c>
      <c r="D1017" s="1"/>
      <c r="E1017" s="1"/>
      <c r="F1017" s="20">
        <f t="shared" si="115"/>
        <v>0</v>
      </c>
      <c r="G1017" s="20">
        <f t="shared" si="115"/>
        <v>0</v>
      </c>
      <c r="H1017" s="20">
        <f t="shared" si="116"/>
        <v>0</v>
      </c>
      <c r="I1017" s="20" t="b">
        <f t="shared" si="117"/>
        <v>1</v>
      </c>
      <c r="J1017" s="20"/>
      <c r="K1017" s="20"/>
    </row>
    <row r="1018" spans="1:11" ht="15.5" x14ac:dyDescent="0.35">
      <c r="A1018" s="3" t="s">
        <v>87</v>
      </c>
      <c r="B1018" s="1"/>
      <c r="C1018" s="20">
        <v>18500</v>
      </c>
      <c r="D1018" s="1"/>
      <c r="E1018" s="1"/>
      <c r="F1018" s="20">
        <f t="shared" si="115"/>
        <v>0</v>
      </c>
      <c r="G1018" s="20">
        <f t="shared" si="115"/>
        <v>0</v>
      </c>
      <c r="H1018" s="20">
        <f t="shared" si="116"/>
        <v>0</v>
      </c>
      <c r="I1018" s="20" t="b">
        <f t="shared" si="117"/>
        <v>1</v>
      </c>
      <c r="J1018" s="20"/>
      <c r="K1018" s="20"/>
    </row>
    <row r="1019" spans="1:11" ht="15.5" x14ac:dyDescent="0.35">
      <c r="A1019" s="3" t="s">
        <v>88</v>
      </c>
      <c r="B1019" s="1"/>
      <c r="C1019" s="20">
        <v>18500</v>
      </c>
      <c r="D1019" s="1"/>
      <c r="E1019" s="1"/>
      <c r="F1019" s="20">
        <f t="shared" si="115"/>
        <v>0</v>
      </c>
      <c r="G1019" s="20">
        <f t="shared" si="115"/>
        <v>0</v>
      </c>
      <c r="H1019" s="20">
        <f t="shared" si="116"/>
        <v>0</v>
      </c>
      <c r="I1019" s="20" t="b">
        <f t="shared" si="117"/>
        <v>1</v>
      </c>
      <c r="J1019" s="20"/>
      <c r="K1019" s="20"/>
    </row>
    <row r="1020" spans="1:11" ht="15.5" x14ac:dyDescent="0.35">
      <c r="A1020" s="19" t="s">
        <v>89</v>
      </c>
      <c r="B1020" s="1"/>
      <c r="C1020" s="20"/>
      <c r="D1020" s="1"/>
      <c r="E1020" s="1"/>
      <c r="F1020" s="20"/>
      <c r="G1020" s="20"/>
      <c r="H1020" s="20">
        <f t="shared" si="116"/>
        <v>0</v>
      </c>
      <c r="I1020" s="20" t="b">
        <f t="shared" si="117"/>
        <v>1</v>
      </c>
      <c r="J1020" s="20"/>
      <c r="K1020" s="20"/>
    </row>
    <row r="1021" spans="1:11" ht="15.5" x14ac:dyDescent="0.35">
      <c r="A1021" s="3" t="s">
        <v>92</v>
      </c>
      <c r="B1021" s="1"/>
      <c r="C1021" s="20">
        <v>21500</v>
      </c>
      <c r="D1021" s="1"/>
      <c r="E1021" s="1"/>
      <c r="F1021" s="20">
        <f t="shared" ref="F1021:G1023" si="118">C1021*B1021</f>
        <v>0</v>
      </c>
      <c r="G1021" s="20">
        <f t="shared" si="118"/>
        <v>0</v>
      </c>
      <c r="H1021" s="20">
        <f t="shared" si="116"/>
        <v>0</v>
      </c>
      <c r="I1021" s="20" t="b">
        <f t="shared" si="117"/>
        <v>1</v>
      </c>
      <c r="J1021" s="20"/>
      <c r="K1021" s="20"/>
    </row>
    <row r="1022" spans="1:11" ht="15.5" x14ac:dyDescent="0.35">
      <c r="A1022" s="3" t="s">
        <v>93</v>
      </c>
      <c r="B1022" s="1"/>
      <c r="C1022" s="20">
        <v>21500</v>
      </c>
      <c r="D1022" s="1"/>
      <c r="E1022" s="1"/>
      <c r="F1022" s="20">
        <f t="shared" si="118"/>
        <v>0</v>
      </c>
      <c r="G1022" s="20">
        <f t="shared" si="118"/>
        <v>0</v>
      </c>
      <c r="H1022" s="20">
        <f t="shared" si="116"/>
        <v>0</v>
      </c>
      <c r="I1022" s="20" t="b">
        <f t="shared" si="117"/>
        <v>1</v>
      </c>
      <c r="J1022" s="20"/>
      <c r="K1022" s="20"/>
    </row>
    <row r="1023" spans="1:11" ht="15.5" x14ac:dyDescent="0.35">
      <c r="A1023" s="3" t="s">
        <v>94</v>
      </c>
      <c r="B1023" s="1"/>
      <c r="C1023" s="20">
        <v>21500</v>
      </c>
      <c r="D1023" s="1"/>
      <c r="E1023" s="1"/>
      <c r="F1023" s="20">
        <f t="shared" si="118"/>
        <v>0</v>
      </c>
      <c r="G1023" s="20">
        <f t="shared" si="118"/>
        <v>0</v>
      </c>
      <c r="H1023" s="20">
        <f t="shared" si="116"/>
        <v>0</v>
      </c>
      <c r="I1023" s="20" t="b">
        <f t="shared" si="117"/>
        <v>1</v>
      </c>
      <c r="J1023" s="20"/>
      <c r="K1023" s="20"/>
    </row>
    <row r="1024" spans="1:11" ht="15.5" x14ac:dyDescent="0.35">
      <c r="A1024" s="19"/>
      <c r="B1024" s="22">
        <f>SUM(B1007:B1023)</f>
        <v>0</v>
      </c>
      <c r="C1024" s="20"/>
      <c r="D1024" s="1"/>
      <c r="E1024" s="1"/>
      <c r="F1024" s="23">
        <f>SUM(F1007:F1023)</f>
        <v>0</v>
      </c>
      <c r="G1024" s="23">
        <f>SUM(G1007:G1023)</f>
        <v>0</v>
      </c>
      <c r="H1024" s="23">
        <f>SUM(H1007:H1023)</f>
        <v>0</v>
      </c>
      <c r="I1024" s="23"/>
      <c r="J1024" s="23">
        <f>SUM(J1007:J1023)</f>
        <v>440000</v>
      </c>
      <c r="K1024" s="23">
        <f>H1024-J1024</f>
        <v>-440000</v>
      </c>
    </row>
    <row r="1025" spans="1:11" ht="15.5" x14ac:dyDescent="0.35">
      <c r="A1025" s="19" t="s">
        <v>95</v>
      </c>
      <c r="B1025" s="1"/>
      <c r="C1025" s="20"/>
      <c r="D1025" s="1"/>
      <c r="E1025" s="1"/>
      <c r="F1025" s="20"/>
      <c r="G1025" s="20"/>
      <c r="H1025" s="20" t="s">
        <v>192</v>
      </c>
      <c r="I1025" s="20"/>
      <c r="J1025" s="20"/>
      <c r="K1025" s="20"/>
    </row>
    <row r="1026" spans="1:11" ht="15.5" x14ac:dyDescent="0.35">
      <c r="A1026" s="3" t="s">
        <v>96</v>
      </c>
      <c r="B1026" s="1"/>
      <c r="C1026" s="20">
        <v>3000</v>
      </c>
      <c r="D1026" s="1"/>
      <c r="E1026" s="20"/>
      <c r="F1026" s="20">
        <f t="shared" ref="F1026:F1029" si="119">C1026*B1026</f>
        <v>0</v>
      </c>
      <c r="G1026" s="20"/>
      <c r="H1026" s="20"/>
      <c r="I1026" s="20"/>
      <c r="J1026" s="20"/>
      <c r="K1026" s="20"/>
    </row>
    <row r="1027" spans="1:11" ht="15.5" x14ac:dyDescent="0.35">
      <c r="A1027" s="3" t="s">
        <v>97</v>
      </c>
      <c r="B1027" s="1"/>
      <c r="C1027" s="20">
        <v>2500</v>
      </c>
      <c r="D1027" s="1"/>
      <c r="E1027" s="1"/>
      <c r="F1027" s="20">
        <f t="shared" si="119"/>
        <v>0</v>
      </c>
      <c r="G1027" s="20"/>
      <c r="H1027" s="20"/>
      <c r="I1027" s="20"/>
      <c r="J1027" s="20"/>
      <c r="K1027" s="20"/>
    </row>
    <row r="1028" spans="1:11" ht="15.5" x14ac:dyDescent="0.35">
      <c r="A1028" s="3" t="s">
        <v>98</v>
      </c>
      <c r="B1028" s="1"/>
      <c r="C1028" s="20">
        <v>1800</v>
      </c>
      <c r="D1028" s="1"/>
      <c r="E1028" s="1"/>
      <c r="F1028" s="20">
        <f t="shared" si="119"/>
        <v>0</v>
      </c>
      <c r="G1028" s="20"/>
      <c r="H1028" s="20"/>
      <c r="I1028" s="20"/>
      <c r="J1028" s="20"/>
      <c r="K1028" s="20"/>
    </row>
    <row r="1029" spans="1:11" ht="15.5" x14ac:dyDescent="0.35">
      <c r="A1029" s="3" t="s">
        <v>99</v>
      </c>
      <c r="B1029" s="1"/>
      <c r="C1029" s="20">
        <v>3500</v>
      </c>
      <c r="D1029" s="1"/>
      <c r="E1029" s="1"/>
      <c r="F1029" s="20">
        <f t="shared" si="119"/>
        <v>0</v>
      </c>
      <c r="G1029" s="20"/>
      <c r="H1029" s="20"/>
      <c r="I1029" s="20"/>
      <c r="J1029" s="20"/>
      <c r="K1029" s="20"/>
    </row>
    <row r="1030" spans="1:11" ht="15.5" x14ac:dyDescent="0.35">
      <c r="A1030" s="18"/>
      <c r="F1030" s="21"/>
    </row>
    <row r="1031" spans="1:11" ht="15.5" x14ac:dyDescent="0.35">
      <c r="A1031" s="24" t="s">
        <v>108</v>
      </c>
      <c r="K1031" s="21"/>
    </row>
    <row r="1032" spans="1:11" ht="15.5" x14ac:dyDescent="0.35">
      <c r="A1032" s="18" t="s">
        <v>114</v>
      </c>
      <c r="B1032" s="67">
        <v>40000</v>
      </c>
    </row>
    <row r="1033" spans="1:11" ht="15.5" x14ac:dyDescent="0.35">
      <c r="A1033" s="18" t="s">
        <v>112</v>
      </c>
      <c r="B1033" s="67">
        <v>40000</v>
      </c>
    </row>
    <row r="1034" spans="1:11" ht="15.5" x14ac:dyDescent="0.35">
      <c r="A1034" s="18" t="s">
        <v>309</v>
      </c>
      <c r="B1034" s="67">
        <v>60000</v>
      </c>
    </row>
    <row r="1035" spans="1:11" ht="15.5" x14ac:dyDescent="0.35">
      <c r="A1035" s="18" t="s">
        <v>110</v>
      </c>
      <c r="B1035" s="67">
        <v>40000</v>
      </c>
    </row>
    <row r="1036" spans="1:11" ht="15.5" x14ac:dyDescent="0.35">
      <c r="A1036" s="18" t="s">
        <v>111</v>
      </c>
      <c r="B1036" s="67">
        <v>40000</v>
      </c>
    </row>
    <row r="1037" spans="1:11" ht="15.5" x14ac:dyDescent="0.35">
      <c r="A1037" s="18" t="s">
        <v>196</v>
      </c>
      <c r="B1037" s="67">
        <v>40000</v>
      </c>
    </row>
    <row r="1038" spans="1:11" ht="15.5" x14ac:dyDescent="0.35">
      <c r="A1038" s="18" t="s">
        <v>113</v>
      </c>
      <c r="B1038" s="67">
        <v>40000</v>
      </c>
    </row>
    <row r="1039" spans="1:11" ht="15.5" x14ac:dyDescent="0.35">
      <c r="A1039" s="18" t="s">
        <v>209</v>
      </c>
      <c r="B1039" s="67">
        <v>40000</v>
      </c>
    </row>
    <row r="1040" spans="1:11" ht="15.5" x14ac:dyDescent="0.35">
      <c r="A1040" s="18" t="s">
        <v>115</v>
      </c>
      <c r="B1040" s="67">
        <v>60000</v>
      </c>
    </row>
    <row r="1041" spans="1:11" ht="15.5" x14ac:dyDescent="0.35">
      <c r="A1041" s="18" t="s">
        <v>109</v>
      </c>
      <c r="B1041" s="67">
        <v>40000</v>
      </c>
    </row>
    <row r="1042" spans="1:11" ht="15.5" x14ac:dyDescent="0.35">
      <c r="A1042" s="24" t="s">
        <v>4</v>
      </c>
      <c r="B1042" s="75">
        <f>SUM(B1032:B1041)</f>
        <v>440000</v>
      </c>
    </row>
    <row r="1043" spans="1:11" ht="15.5" x14ac:dyDescent="0.35">
      <c r="A1043" s="18" t="s">
        <v>115</v>
      </c>
      <c r="B1043">
        <v>53500</v>
      </c>
    </row>
    <row r="1044" spans="1:11" ht="15.5" x14ac:dyDescent="0.35">
      <c r="A1044" s="24" t="s">
        <v>4</v>
      </c>
      <c r="B1044" s="17">
        <f>SUM(B1032:B1043)</f>
        <v>933500</v>
      </c>
    </row>
    <row r="1047" spans="1:11" ht="18.5" x14ac:dyDescent="0.45">
      <c r="A1047" s="151" t="s">
        <v>1</v>
      </c>
      <c r="B1047" s="151"/>
      <c r="C1047" s="151"/>
      <c r="D1047" s="151"/>
      <c r="E1047" s="151"/>
      <c r="F1047" s="151"/>
      <c r="G1047" s="151"/>
      <c r="H1047" s="151"/>
      <c r="I1047" s="151"/>
      <c r="J1047" s="151"/>
      <c r="K1047" s="151"/>
    </row>
    <row r="1048" spans="1:11" ht="18.5" x14ac:dyDescent="0.45">
      <c r="A1048" s="150" t="s">
        <v>74</v>
      </c>
      <c r="B1048" s="150"/>
      <c r="C1048" s="150"/>
      <c r="D1048" s="150"/>
      <c r="E1048" s="150"/>
      <c r="F1048" s="150"/>
      <c r="G1048" s="150"/>
      <c r="H1048" s="150"/>
      <c r="I1048" s="150"/>
      <c r="J1048" s="150"/>
      <c r="K1048" s="150"/>
    </row>
    <row r="1049" spans="1:11" ht="18.5" x14ac:dyDescent="0.45">
      <c r="A1049" s="149" t="s">
        <v>360</v>
      </c>
      <c r="B1049" s="149"/>
      <c r="C1049" s="149"/>
      <c r="D1049" s="149"/>
      <c r="E1049" s="149"/>
      <c r="F1049" s="149"/>
      <c r="G1049" s="149"/>
      <c r="H1049" s="149"/>
      <c r="I1049" s="149"/>
      <c r="J1049" s="149"/>
      <c r="K1049" s="149"/>
    </row>
    <row r="1050" spans="1:11" ht="18.5" x14ac:dyDescent="0.45">
      <c r="A1050" s="150"/>
      <c r="B1050" s="150"/>
      <c r="C1050" s="150"/>
      <c r="D1050" s="150"/>
      <c r="E1050" s="150"/>
      <c r="F1050" s="150"/>
      <c r="G1050" s="150"/>
      <c r="H1050" s="150"/>
      <c r="I1050" s="150"/>
      <c r="J1050" s="150"/>
      <c r="K1050" s="150"/>
    </row>
    <row r="1051" spans="1:11" ht="18.5" x14ac:dyDescent="0.45">
      <c r="A1051" s="2" t="s">
        <v>75</v>
      </c>
      <c r="B1051" s="2" t="s">
        <v>3</v>
      </c>
      <c r="C1051" s="2" t="s">
        <v>100</v>
      </c>
      <c r="D1051" s="2" t="s">
        <v>90</v>
      </c>
      <c r="E1051" s="2" t="s">
        <v>91</v>
      </c>
      <c r="F1051" s="2" t="s">
        <v>4</v>
      </c>
      <c r="G1051" s="2" t="s">
        <v>101</v>
      </c>
      <c r="H1051" s="2" t="s">
        <v>104</v>
      </c>
      <c r="I1051" s="2"/>
      <c r="J1051" s="2" t="s">
        <v>105</v>
      </c>
      <c r="K1051" s="2" t="s">
        <v>106</v>
      </c>
    </row>
    <row r="1052" spans="1:11" ht="15.5" x14ac:dyDescent="0.35">
      <c r="A1052" s="3" t="s">
        <v>76</v>
      </c>
      <c r="B1052" s="1"/>
      <c r="C1052" s="20">
        <v>17500</v>
      </c>
      <c r="D1052" s="1"/>
      <c r="E1052" s="1"/>
      <c r="F1052" s="20">
        <f>C1052*B1052</f>
        <v>0</v>
      </c>
      <c r="G1052" s="20">
        <f>D1052*C1052</f>
        <v>0</v>
      </c>
      <c r="H1052" s="20">
        <f>E1052*C1052</f>
        <v>0</v>
      </c>
      <c r="I1052" s="20" t="b">
        <f>D1052+E1052=B1052</f>
        <v>1</v>
      </c>
      <c r="J1052" s="20">
        <f>B1087</f>
        <v>440000</v>
      </c>
      <c r="K1052" s="20"/>
    </row>
    <row r="1053" spans="1:11" ht="15.5" x14ac:dyDescent="0.35">
      <c r="A1053" s="3" t="s">
        <v>77</v>
      </c>
      <c r="B1053" s="1"/>
      <c r="C1053" s="20">
        <v>16000</v>
      </c>
      <c r="D1053" s="1"/>
      <c r="E1053" s="1"/>
      <c r="F1053" s="20">
        <f t="shared" ref="F1053:G1064" si="120">C1053*B1053</f>
        <v>0</v>
      </c>
      <c r="G1053" s="20">
        <f t="shared" si="120"/>
        <v>0</v>
      </c>
      <c r="H1053" s="20">
        <f t="shared" ref="H1053:H1068" si="121">E1053*C1053</f>
        <v>0</v>
      </c>
      <c r="I1053" s="20" t="b">
        <f t="shared" ref="I1053:I1068" si="122">D1053+E1053=B1053</f>
        <v>1</v>
      </c>
      <c r="J1053" s="20"/>
      <c r="K1053" s="20"/>
    </row>
    <row r="1054" spans="1:11" ht="15.5" x14ac:dyDescent="0.35">
      <c r="A1054" s="3" t="s">
        <v>78</v>
      </c>
      <c r="B1054" s="1"/>
      <c r="C1054" s="20">
        <v>17500</v>
      </c>
      <c r="D1054" s="1"/>
      <c r="E1054" s="1"/>
      <c r="F1054" s="20">
        <f t="shared" si="120"/>
        <v>0</v>
      </c>
      <c r="G1054" s="20">
        <f t="shared" si="120"/>
        <v>0</v>
      </c>
      <c r="H1054" s="20">
        <f t="shared" si="121"/>
        <v>0</v>
      </c>
      <c r="I1054" s="20" t="b">
        <f t="shared" si="122"/>
        <v>1</v>
      </c>
      <c r="J1054" s="20"/>
      <c r="K1054" s="20"/>
    </row>
    <row r="1055" spans="1:11" ht="15.5" x14ac:dyDescent="0.35">
      <c r="A1055" s="3" t="s">
        <v>79</v>
      </c>
      <c r="B1055" s="1"/>
      <c r="C1055" s="20">
        <v>18500</v>
      </c>
      <c r="D1055" s="1"/>
      <c r="E1055" s="1"/>
      <c r="F1055" s="20">
        <f t="shared" si="120"/>
        <v>0</v>
      </c>
      <c r="G1055" s="20">
        <f t="shared" si="120"/>
        <v>0</v>
      </c>
      <c r="H1055" s="20">
        <f t="shared" si="121"/>
        <v>0</v>
      </c>
      <c r="I1055" s="20" t="b">
        <f t="shared" si="122"/>
        <v>1</v>
      </c>
      <c r="J1055" s="20"/>
      <c r="K1055" s="20"/>
    </row>
    <row r="1056" spans="1:11" ht="15.5" x14ac:dyDescent="0.35">
      <c r="A1056" s="3" t="s">
        <v>80</v>
      </c>
      <c r="B1056" s="1"/>
      <c r="C1056" s="20">
        <v>18500</v>
      </c>
      <c r="D1056" s="1"/>
      <c r="E1056" s="1"/>
      <c r="F1056" s="20">
        <f t="shared" si="120"/>
        <v>0</v>
      </c>
      <c r="G1056" s="20">
        <f t="shared" si="120"/>
        <v>0</v>
      </c>
      <c r="H1056" s="20">
        <f t="shared" si="121"/>
        <v>0</v>
      </c>
      <c r="I1056" s="20" t="b">
        <f t="shared" si="122"/>
        <v>1</v>
      </c>
      <c r="J1056" s="20"/>
      <c r="K1056" s="20"/>
    </row>
    <row r="1057" spans="1:11" ht="15.5" x14ac:dyDescent="0.35">
      <c r="A1057" s="3" t="s">
        <v>81</v>
      </c>
      <c r="B1057" s="1"/>
      <c r="C1057" s="20">
        <v>23000</v>
      </c>
      <c r="D1057" s="1"/>
      <c r="E1057" s="1"/>
      <c r="F1057" s="20">
        <f t="shared" si="120"/>
        <v>0</v>
      </c>
      <c r="G1057" s="20">
        <f t="shared" si="120"/>
        <v>0</v>
      </c>
      <c r="H1057" s="20">
        <f t="shared" si="121"/>
        <v>0</v>
      </c>
      <c r="I1057" s="20" t="b">
        <f t="shared" si="122"/>
        <v>1</v>
      </c>
      <c r="J1057" s="20"/>
      <c r="K1057" s="20"/>
    </row>
    <row r="1058" spans="1:11" ht="15.5" x14ac:dyDescent="0.35">
      <c r="A1058" s="3" t="s">
        <v>82</v>
      </c>
      <c r="B1058" s="1"/>
      <c r="C1058" s="20">
        <v>18000</v>
      </c>
      <c r="D1058" s="1"/>
      <c r="E1058" s="1"/>
      <c r="F1058" s="20">
        <f t="shared" si="120"/>
        <v>0</v>
      </c>
      <c r="G1058" s="20">
        <f t="shared" si="120"/>
        <v>0</v>
      </c>
      <c r="H1058" s="20">
        <f t="shared" si="121"/>
        <v>0</v>
      </c>
      <c r="I1058" s="20" t="b">
        <f t="shared" si="122"/>
        <v>1</v>
      </c>
      <c r="J1058" s="20"/>
      <c r="K1058" s="20"/>
    </row>
    <row r="1059" spans="1:11" ht="15.5" x14ac:dyDescent="0.35">
      <c r="A1059" s="3" t="s">
        <v>83</v>
      </c>
      <c r="B1059" s="1"/>
      <c r="C1059" s="20">
        <v>18000</v>
      </c>
      <c r="D1059" s="1"/>
      <c r="E1059" s="1"/>
      <c r="F1059" s="20">
        <f t="shared" si="120"/>
        <v>0</v>
      </c>
      <c r="G1059" s="20">
        <f t="shared" si="120"/>
        <v>0</v>
      </c>
      <c r="H1059" s="20">
        <f t="shared" si="121"/>
        <v>0</v>
      </c>
      <c r="I1059" s="20" t="b">
        <f t="shared" si="122"/>
        <v>1</v>
      </c>
      <c r="J1059" s="20"/>
      <c r="K1059" s="20"/>
    </row>
    <row r="1060" spans="1:11" ht="15.5" x14ac:dyDescent="0.35">
      <c r="A1060" s="3" t="s">
        <v>84</v>
      </c>
      <c r="B1060" s="1"/>
      <c r="C1060" s="20">
        <v>18500</v>
      </c>
      <c r="D1060" s="1"/>
      <c r="E1060" s="1"/>
      <c r="F1060" s="20">
        <f t="shared" si="120"/>
        <v>0</v>
      </c>
      <c r="G1060" s="20">
        <f t="shared" si="120"/>
        <v>0</v>
      </c>
      <c r="H1060" s="20">
        <f t="shared" si="121"/>
        <v>0</v>
      </c>
      <c r="I1060" s="20" t="b">
        <f t="shared" si="122"/>
        <v>1</v>
      </c>
      <c r="J1060" s="20"/>
      <c r="K1060" s="20"/>
    </row>
    <row r="1061" spans="1:11" ht="15.5" x14ac:dyDescent="0.35">
      <c r="A1061" s="3" t="s">
        <v>85</v>
      </c>
      <c r="B1061" s="1"/>
      <c r="C1061" s="20">
        <v>18500</v>
      </c>
      <c r="D1061" s="1"/>
      <c r="E1061" s="1"/>
      <c r="F1061" s="20">
        <f t="shared" si="120"/>
        <v>0</v>
      </c>
      <c r="G1061" s="20">
        <f t="shared" si="120"/>
        <v>0</v>
      </c>
      <c r="H1061" s="20">
        <f t="shared" si="121"/>
        <v>0</v>
      </c>
      <c r="I1061" s="20" t="b">
        <f t="shared" si="122"/>
        <v>1</v>
      </c>
      <c r="J1061" s="20"/>
      <c r="K1061" s="20"/>
    </row>
    <row r="1062" spans="1:11" ht="15.5" x14ac:dyDescent="0.35">
      <c r="A1062" s="3" t="s">
        <v>86</v>
      </c>
      <c r="B1062" s="1"/>
      <c r="C1062" s="20">
        <v>18500</v>
      </c>
      <c r="D1062" s="1"/>
      <c r="E1062" s="1"/>
      <c r="F1062" s="20">
        <f t="shared" si="120"/>
        <v>0</v>
      </c>
      <c r="G1062" s="20">
        <f t="shared" si="120"/>
        <v>0</v>
      </c>
      <c r="H1062" s="20">
        <f t="shared" si="121"/>
        <v>0</v>
      </c>
      <c r="I1062" s="20" t="b">
        <f t="shared" si="122"/>
        <v>1</v>
      </c>
      <c r="J1062" s="20"/>
      <c r="K1062" s="20"/>
    </row>
    <row r="1063" spans="1:11" ht="15.5" x14ac:dyDescent="0.35">
      <c r="A1063" s="3" t="s">
        <v>87</v>
      </c>
      <c r="B1063" s="1"/>
      <c r="C1063" s="20">
        <v>18500</v>
      </c>
      <c r="D1063" s="1"/>
      <c r="E1063" s="1"/>
      <c r="F1063" s="20">
        <f t="shared" si="120"/>
        <v>0</v>
      </c>
      <c r="G1063" s="20">
        <f t="shared" si="120"/>
        <v>0</v>
      </c>
      <c r="H1063" s="20">
        <f t="shared" si="121"/>
        <v>0</v>
      </c>
      <c r="I1063" s="20" t="b">
        <f t="shared" si="122"/>
        <v>1</v>
      </c>
      <c r="J1063" s="20"/>
      <c r="K1063" s="20"/>
    </row>
    <row r="1064" spans="1:11" ht="15.5" x14ac:dyDescent="0.35">
      <c r="A1064" s="3" t="s">
        <v>88</v>
      </c>
      <c r="B1064" s="1"/>
      <c r="C1064" s="20">
        <v>18500</v>
      </c>
      <c r="D1064" s="1"/>
      <c r="E1064" s="1"/>
      <c r="F1064" s="20">
        <f t="shared" si="120"/>
        <v>0</v>
      </c>
      <c r="G1064" s="20">
        <f t="shared" si="120"/>
        <v>0</v>
      </c>
      <c r="H1064" s="20">
        <f t="shared" si="121"/>
        <v>0</v>
      </c>
      <c r="I1064" s="20" t="b">
        <f t="shared" si="122"/>
        <v>1</v>
      </c>
      <c r="J1064" s="20"/>
      <c r="K1064" s="20"/>
    </row>
    <row r="1065" spans="1:11" ht="15.5" x14ac:dyDescent="0.35">
      <c r="A1065" s="19" t="s">
        <v>89</v>
      </c>
      <c r="B1065" s="1"/>
      <c r="C1065" s="20"/>
      <c r="D1065" s="1"/>
      <c r="E1065" s="1"/>
      <c r="F1065" s="20"/>
      <c r="G1065" s="20"/>
      <c r="H1065" s="20">
        <f t="shared" si="121"/>
        <v>0</v>
      </c>
      <c r="I1065" s="20" t="b">
        <f t="shared" si="122"/>
        <v>1</v>
      </c>
      <c r="J1065" s="20"/>
      <c r="K1065" s="20"/>
    </row>
    <row r="1066" spans="1:11" ht="15.5" x14ac:dyDescent="0.35">
      <c r="A1066" s="3" t="s">
        <v>92</v>
      </c>
      <c r="B1066" s="1"/>
      <c r="C1066" s="20">
        <v>21500</v>
      </c>
      <c r="D1066" s="1"/>
      <c r="E1066" s="1"/>
      <c r="F1066" s="20">
        <f t="shared" ref="F1066:G1068" si="123">C1066*B1066</f>
        <v>0</v>
      </c>
      <c r="G1066" s="20">
        <f t="shared" si="123"/>
        <v>0</v>
      </c>
      <c r="H1066" s="20">
        <f t="shared" si="121"/>
        <v>0</v>
      </c>
      <c r="I1066" s="20" t="b">
        <f t="shared" si="122"/>
        <v>1</v>
      </c>
      <c r="J1066" s="20"/>
      <c r="K1066" s="20"/>
    </row>
    <row r="1067" spans="1:11" ht="15.5" x14ac:dyDescent="0.35">
      <c r="A1067" s="3" t="s">
        <v>93</v>
      </c>
      <c r="B1067" s="1"/>
      <c r="C1067" s="20">
        <v>21500</v>
      </c>
      <c r="D1067" s="1"/>
      <c r="E1067" s="1"/>
      <c r="F1067" s="20">
        <f t="shared" si="123"/>
        <v>0</v>
      </c>
      <c r="G1067" s="20">
        <f t="shared" si="123"/>
        <v>0</v>
      </c>
      <c r="H1067" s="20">
        <f t="shared" si="121"/>
        <v>0</v>
      </c>
      <c r="I1067" s="20" t="b">
        <f t="shared" si="122"/>
        <v>1</v>
      </c>
      <c r="J1067" s="20"/>
      <c r="K1067" s="20"/>
    </row>
    <row r="1068" spans="1:11" ht="15.5" x14ac:dyDescent="0.35">
      <c r="A1068" s="3" t="s">
        <v>94</v>
      </c>
      <c r="B1068" s="1"/>
      <c r="C1068" s="20">
        <v>21500</v>
      </c>
      <c r="D1068" s="1"/>
      <c r="E1068" s="1"/>
      <c r="F1068" s="20">
        <f t="shared" si="123"/>
        <v>0</v>
      </c>
      <c r="G1068" s="20">
        <f t="shared" si="123"/>
        <v>0</v>
      </c>
      <c r="H1068" s="20">
        <f t="shared" si="121"/>
        <v>0</v>
      </c>
      <c r="I1068" s="20" t="b">
        <f t="shared" si="122"/>
        <v>1</v>
      </c>
      <c r="J1068" s="20"/>
      <c r="K1068" s="20"/>
    </row>
    <row r="1069" spans="1:11" ht="15.5" x14ac:dyDescent="0.35">
      <c r="A1069" s="19"/>
      <c r="B1069" s="22">
        <f>SUM(B1052:B1068)</f>
        <v>0</v>
      </c>
      <c r="C1069" s="20"/>
      <c r="D1069" s="1"/>
      <c r="E1069" s="1"/>
      <c r="F1069" s="23">
        <f>SUM(F1052:F1068)</f>
        <v>0</v>
      </c>
      <c r="G1069" s="23">
        <f>SUM(G1052:G1068)</f>
        <v>0</v>
      </c>
      <c r="H1069" s="23">
        <f>SUM(H1052:H1068)</f>
        <v>0</v>
      </c>
      <c r="I1069" s="23"/>
      <c r="J1069" s="23">
        <f>SUM(J1052:J1068)</f>
        <v>440000</v>
      </c>
      <c r="K1069" s="23">
        <f>H1069-J1069</f>
        <v>-440000</v>
      </c>
    </row>
    <row r="1070" spans="1:11" ht="15.5" x14ac:dyDescent="0.35">
      <c r="A1070" s="19" t="s">
        <v>95</v>
      </c>
      <c r="B1070" s="1"/>
      <c r="C1070" s="20"/>
      <c r="D1070" s="1"/>
      <c r="E1070" s="1"/>
      <c r="F1070" s="20"/>
      <c r="G1070" s="20"/>
      <c r="H1070" s="20" t="s">
        <v>192</v>
      </c>
      <c r="I1070" s="20"/>
      <c r="J1070" s="20"/>
      <c r="K1070" s="20"/>
    </row>
    <row r="1071" spans="1:11" ht="15.5" x14ac:dyDescent="0.35">
      <c r="A1071" s="3" t="s">
        <v>96</v>
      </c>
      <c r="B1071" s="1"/>
      <c r="C1071" s="20">
        <v>3000</v>
      </c>
      <c r="D1071" s="1"/>
      <c r="E1071" s="20"/>
      <c r="F1071" s="20">
        <f t="shared" ref="F1071:F1074" si="124">C1071*B1071</f>
        <v>0</v>
      </c>
      <c r="G1071" s="20"/>
      <c r="H1071" s="20"/>
      <c r="I1071" s="20"/>
      <c r="J1071" s="20"/>
      <c r="K1071" s="20"/>
    </row>
    <row r="1072" spans="1:11" ht="15.5" x14ac:dyDescent="0.35">
      <c r="A1072" s="3" t="s">
        <v>97</v>
      </c>
      <c r="B1072" s="1"/>
      <c r="C1072" s="20">
        <v>2500</v>
      </c>
      <c r="D1072" s="1"/>
      <c r="E1072" s="1"/>
      <c r="F1072" s="20">
        <f t="shared" si="124"/>
        <v>0</v>
      </c>
      <c r="G1072" s="20"/>
      <c r="H1072" s="20"/>
      <c r="I1072" s="20"/>
      <c r="J1072" s="20"/>
      <c r="K1072" s="20"/>
    </row>
    <row r="1073" spans="1:11" ht="15.5" x14ac:dyDescent="0.35">
      <c r="A1073" s="3" t="s">
        <v>98</v>
      </c>
      <c r="B1073" s="1"/>
      <c r="C1073" s="20">
        <v>1800</v>
      </c>
      <c r="D1073" s="1"/>
      <c r="E1073" s="1"/>
      <c r="F1073" s="20">
        <f t="shared" si="124"/>
        <v>0</v>
      </c>
      <c r="G1073" s="20"/>
      <c r="H1073" s="20"/>
      <c r="I1073" s="20"/>
      <c r="J1073" s="20"/>
      <c r="K1073" s="20"/>
    </row>
    <row r="1074" spans="1:11" ht="15.5" x14ac:dyDescent="0.35">
      <c r="A1074" s="3" t="s">
        <v>99</v>
      </c>
      <c r="B1074" s="1"/>
      <c r="C1074" s="20">
        <v>3500</v>
      </c>
      <c r="D1074" s="1"/>
      <c r="E1074" s="1"/>
      <c r="F1074" s="20">
        <f t="shared" si="124"/>
        <v>0</v>
      </c>
      <c r="G1074" s="20"/>
      <c r="H1074" s="20"/>
      <c r="I1074" s="20"/>
      <c r="J1074" s="20"/>
      <c r="K1074" s="20"/>
    </row>
    <row r="1075" spans="1:11" ht="15.5" x14ac:dyDescent="0.35">
      <c r="A1075" s="18"/>
      <c r="F1075" s="21"/>
    </row>
    <row r="1076" spans="1:11" ht="15.5" x14ac:dyDescent="0.35">
      <c r="A1076" s="24" t="s">
        <v>108</v>
      </c>
      <c r="K1076" s="21"/>
    </row>
    <row r="1077" spans="1:11" ht="15.5" x14ac:dyDescent="0.35">
      <c r="A1077" s="18" t="s">
        <v>114</v>
      </c>
      <c r="B1077" s="67">
        <v>40000</v>
      </c>
    </row>
    <row r="1078" spans="1:11" ht="15.5" x14ac:dyDescent="0.35">
      <c r="A1078" s="18" t="s">
        <v>112</v>
      </c>
      <c r="B1078" s="67">
        <v>40000</v>
      </c>
    </row>
    <row r="1079" spans="1:11" ht="15.5" x14ac:dyDescent="0.35">
      <c r="A1079" s="18" t="s">
        <v>309</v>
      </c>
      <c r="B1079" s="67">
        <v>60000</v>
      </c>
    </row>
    <row r="1080" spans="1:11" ht="15.5" x14ac:dyDescent="0.35">
      <c r="A1080" s="18" t="s">
        <v>110</v>
      </c>
      <c r="B1080" s="67">
        <v>40000</v>
      </c>
    </row>
    <row r="1081" spans="1:11" ht="15.5" x14ac:dyDescent="0.35">
      <c r="A1081" s="18" t="s">
        <v>111</v>
      </c>
      <c r="B1081" s="67">
        <v>40000</v>
      </c>
    </row>
    <row r="1082" spans="1:11" ht="15.5" x14ac:dyDescent="0.35">
      <c r="A1082" s="18" t="s">
        <v>196</v>
      </c>
      <c r="B1082" s="67">
        <v>40000</v>
      </c>
    </row>
    <row r="1083" spans="1:11" ht="15.5" x14ac:dyDescent="0.35">
      <c r="A1083" s="18" t="s">
        <v>113</v>
      </c>
      <c r="B1083" s="67">
        <v>40000</v>
      </c>
    </row>
    <row r="1084" spans="1:11" ht="15.5" x14ac:dyDescent="0.35">
      <c r="A1084" s="18" t="s">
        <v>209</v>
      </c>
      <c r="B1084" s="67">
        <v>40000</v>
      </c>
    </row>
    <row r="1085" spans="1:11" ht="15.5" x14ac:dyDescent="0.35">
      <c r="A1085" s="18" t="s">
        <v>115</v>
      </c>
      <c r="B1085" s="67">
        <v>60000</v>
      </c>
    </row>
    <row r="1086" spans="1:11" ht="15.5" x14ac:dyDescent="0.35">
      <c r="A1086" s="18" t="s">
        <v>109</v>
      </c>
      <c r="B1086" s="67">
        <v>40000</v>
      </c>
    </row>
    <row r="1087" spans="1:11" ht="15.5" x14ac:dyDescent="0.35">
      <c r="A1087" s="24" t="s">
        <v>4</v>
      </c>
      <c r="B1087" s="75">
        <f>SUM(B1077:B1086)</f>
        <v>440000</v>
      </c>
    </row>
    <row r="1088" spans="1:11" ht="15.5" x14ac:dyDescent="0.35">
      <c r="A1088" s="24"/>
      <c r="B1088" s="75"/>
    </row>
    <row r="1089" spans="1:11" ht="15.5" x14ac:dyDescent="0.35">
      <c r="A1089" s="24"/>
      <c r="B1089" s="75"/>
    </row>
    <row r="1090" spans="1:11" ht="18.5" x14ac:dyDescent="0.45">
      <c r="A1090" s="151" t="s">
        <v>1</v>
      </c>
      <c r="B1090" s="151"/>
      <c r="C1090" s="151"/>
      <c r="D1090" s="151"/>
      <c r="E1090" s="151"/>
      <c r="F1090" s="151"/>
      <c r="G1090" s="151"/>
      <c r="H1090" s="151"/>
      <c r="I1090" s="151"/>
      <c r="J1090" s="151"/>
      <c r="K1090" s="151"/>
    </row>
    <row r="1091" spans="1:11" ht="18.5" x14ac:dyDescent="0.45">
      <c r="A1091" s="150" t="s">
        <v>74</v>
      </c>
      <c r="B1091" s="150"/>
      <c r="C1091" s="150"/>
      <c r="D1091" s="150"/>
      <c r="E1091" s="150"/>
      <c r="F1091" s="150"/>
      <c r="G1091" s="150"/>
      <c r="H1091" s="150"/>
      <c r="I1091" s="150"/>
      <c r="J1091" s="150"/>
      <c r="K1091" s="150"/>
    </row>
    <row r="1092" spans="1:11" ht="18.5" x14ac:dyDescent="0.45">
      <c r="A1092" s="149" t="s">
        <v>360</v>
      </c>
      <c r="B1092" s="149"/>
      <c r="C1092" s="149"/>
      <c r="D1092" s="149"/>
      <c r="E1092" s="149"/>
      <c r="F1092" s="149"/>
      <c r="G1092" s="149"/>
      <c r="H1092" s="149"/>
      <c r="I1092" s="149"/>
      <c r="J1092" s="149"/>
      <c r="K1092" s="149"/>
    </row>
    <row r="1093" spans="1:11" ht="18.5" x14ac:dyDescent="0.45">
      <c r="A1093" s="150"/>
      <c r="B1093" s="150"/>
      <c r="C1093" s="150"/>
      <c r="D1093" s="150"/>
      <c r="E1093" s="150"/>
      <c r="F1093" s="150"/>
      <c r="G1093" s="150"/>
      <c r="H1093" s="150"/>
      <c r="I1093" s="150"/>
      <c r="J1093" s="150"/>
      <c r="K1093" s="150"/>
    </row>
    <row r="1094" spans="1:11" ht="18.5" x14ac:dyDescent="0.45">
      <c r="A1094" s="2" t="s">
        <v>75</v>
      </c>
      <c r="B1094" s="2" t="s">
        <v>3</v>
      </c>
      <c r="C1094" s="2" t="s">
        <v>100</v>
      </c>
      <c r="D1094" s="2" t="s">
        <v>90</v>
      </c>
      <c r="E1094" s="2" t="s">
        <v>91</v>
      </c>
      <c r="F1094" s="2" t="s">
        <v>4</v>
      </c>
      <c r="G1094" s="2" t="s">
        <v>101</v>
      </c>
      <c r="H1094" s="2" t="s">
        <v>104</v>
      </c>
      <c r="I1094" s="2"/>
      <c r="J1094" s="2" t="s">
        <v>105</v>
      </c>
      <c r="K1094" s="2" t="s">
        <v>106</v>
      </c>
    </row>
    <row r="1095" spans="1:11" ht="15.5" x14ac:dyDescent="0.35">
      <c r="A1095" s="3" t="s">
        <v>76</v>
      </c>
      <c r="B1095" s="1"/>
      <c r="C1095" s="20">
        <v>17500</v>
      </c>
      <c r="D1095" s="1"/>
      <c r="E1095" s="1"/>
      <c r="F1095" s="20">
        <f>C1095*B1095</f>
        <v>0</v>
      </c>
      <c r="G1095" s="20">
        <f>D1095*C1095</f>
        <v>0</v>
      </c>
      <c r="H1095" s="20">
        <f>E1095*C1095</f>
        <v>0</v>
      </c>
      <c r="I1095" s="20" t="b">
        <f>D1095+E1095=B1095</f>
        <v>1</v>
      </c>
      <c r="J1095" s="20">
        <f>B1130</f>
        <v>440000</v>
      </c>
      <c r="K1095" s="20"/>
    </row>
    <row r="1096" spans="1:11" ht="15.5" x14ac:dyDescent="0.35">
      <c r="A1096" s="3" t="s">
        <v>77</v>
      </c>
      <c r="B1096" s="1"/>
      <c r="C1096" s="20">
        <v>16000</v>
      </c>
      <c r="D1096" s="1"/>
      <c r="E1096" s="1"/>
      <c r="F1096" s="20">
        <f t="shared" ref="F1096:G1107" si="125">C1096*B1096</f>
        <v>0</v>
      </c>
      <c r="G1096" s="20">
        <f t="shared" si="125"/>
        <v>0</v>
      </c>
      <c r="H1096" s="20">
        <f t="shared" ref="H1096:H1111" si="126">E1096*C1096</f>
        <v>0</v>
      </c>
      <c r="I1096" s="20" t="b">
        <f t="shared" ref="I1096:I1111" si="127">D1096+E1096=B1096</f>
        <v>1</v>
      </c>
      <c r="J1096" s="20"/>
      <c r="K1096" s="20"/>
    </row>
    <row r="1097" spans="1:11" ht="15.5" x14ac:dyDescent="0.35">
      <c r="A1097" s="3" t="s">
        <v>78</v>
      </c>
      <c r="B1097" s="1"/>
      <c r="C1097" s="20">
        <v>17500</v>
      </c>
      <c r="D1097" s="1"/>
      <c r="E1097" s="1"/>
      <c r="F1097" s="20">
        <f t="shared" si="125"/>
        <v>0</v>
      </c>
      <c r="G1097" s="20">
        <f t="shared" si="125"/>
        <v>0</v>
      </c>
      <c r="H1097" s="20">
        <f t="shared" si="126"/>
        <v>0</v>
      </c>
      <c r="I1097" s="20" t="b">
        <f t="shared" si="127"/>
        <v>1</v>
      </c>
      <c r="J1097" s="20"/>
      <c r="K1097" s="20"/>
    </row>
    <row r="1098" spans="1:11" ht="15.5" x14ac:dyDescent="0.35">
      <c r="A1098" s="3" t="s">
        <v>79</v>
      </c>
      <c r="B1098" s="1"/>
      <c r="C1098" s="20">
        <v>18500</v>
      </c>
      <c r="D1098" s="1"/>
      <c r="E1098" s="1"/>
      <c r="F1098" s="20">
        <f t="shared" si="125"/>
        <v>0</v>
      </c>
      <c r="G1098" s="20">
        <f t="shared" si="125"/>
        <v>0</v>
      </c>
      <c r="H1098" s="20">
        <f t="shared" si="126"/>
        <v>0</v>
      </c>
      <c r="I1098" s="20" t="b">
        <f t="shared" si="127"/>
        <v>1</v>
      </c>
      <c r="J1098" s="20"/>
      <c r="K1098" s="20"/>
    </row>
    <row r="1099" spans="1:11" ht="15.5" x14ac:dyDescent="0.35">
      <c r="A1099" s="3" t="s">
        <v>80</v>
      </c>
      <c r="B1099" s="1"/>
      <c r="C1099" s="20">
        <v>18500</v>
      </c>
      <c r="D1099" s="1"/>
      <c r="E1099" s="1"/>
      <c r="F1099" s="20">
        <f t="shared" si="125"/>
        <v>0</v>
      </c>
      <c r="G1099" s="20">
        <f t="shared" si="125"/>
        <v>0</v>
      </c>
      <c r="H1099" s="20">
        <f t="shared" si="126"/>
        <v>0</v>
      </c>
      <c r="I1099" s="20" t="b">
        <f t="shared" si="127"/>
        <v>1</v>
      </c>
      <c r="J1099" s="20"/>
      <c r="K1099" s="20"/>
    </row>
    <row r="1100" spans="1:11" ht="15.5" x14ac:dyDescent="0.35">
      <c r="A1100" s="3" t="s">
        <v>81</v>
      </c>
      <c r="B1100" s="1"/>
      <c r="C1100" s="20">
        <v>23000</v>
      </c>
      <c r="D1100" s="1"/>
      <c r="E1100" s="1"/>
      <c r="F1100" s="20">
        <f t="shared" si="125"/>
        <v>0</v>
      </c>
      <c r="G1100" s="20">
        <f t="shared" si="125"/>
        <v>0</v>
      </c>
      <c r="H1100" s="20">
        <f t="shared" si="126"/>
        <v>0</v>
      </c>
      <c r="I1100" s="20" t="b">
        <f t="shared" si="127"/>
        <v>1</v>
      </c>
      <c r="J1100" s="20"/>
      <c r="K1100" s="20"/>
    </row>
    <row r="1101" spans="1:11" ht="15.5" x14ac:dyDescent="0.35">
      <c r="A1101" s="3" t="s">
        <v>82</v>
      </c>
      <c r="B1101" s="1"/>
      <c r="C1101" s="20">
        <v>18000</v>
      </c>
      <c r="D1101" s="1"/>
      <c r="E1101" s="1"/>
      <c r="F1101" s="20">
        <f t="shared" si="125"/>
        <v>0</v>
      </c>
      <c r="G1101" s="20">
        <f t="shared" si="125"/>
        <v>0</v>
      </c>
      <c r="H1101" s="20">
        <f t="shared" si="126"/>
        <v>0</v>
      </c>
      <c r="I1101" s="20" t="b">
        <f t="shared" si="127"/>
        <v>1</v>
      </c>
      <c r="J1101" s="20"/>
      <c r="K1101" s="20"/>
    </row>
    <row r="1102" spans="1:11" ht="15.5" x14ac:dyDescent="0.35">
      <c r="A1102" s="3" t="s">
        <v>83</v>
      </c>
      <c r="B1102" s="1"/>
      <c r="C1102" s="20">
        <v>18000</v>
      </c>
      <c r="D1102" s="1"/>
      <c r="E1102" s="1"/>
      <c r="F1102" s="20">
        <f t="shared" si="125"/>
        <v>0</v>
      </c>
      <c r="G1102" s="20">
        <f t="shared" si="125"/>
        <v>0</v>
      </c>
      <c r="H1102" s="20">
        <f t="shared" si="126"/>
        <v>0</v>
      </c>
      <c r="I1102" s="20" t="b">
        <f t="shared" si="127"/>
        <v>1</v>
      </c>
      <c r="J1102" s="20"/>
      <c r="K1102" s="20"/>
    </row>
    <row r="1103" spans="1:11" ht="15.5" x14ac:dyDescent="0.35">
      <c r="A1103" s="3" t="s">
        <v>84</v>
      </c>
      <c r="B1103" s="1"/>
      <c r="C1103" s="20">
        <v>18500</v>
      </c>
      <c r="D1103" s="1"/>
      <c r="E1103" s="1"/>
      <c r="F1103" s="20">
        <f t="shared" si="125"/>
        <v>0</v>
      </c>
      <c r="G1103" s="20">
        <f t="shared" si="125"/>
        <v>0</v>
      </c>
      <c r="H1103" s="20">
        <f t="shared" si="126"/>
        <v>0</v>
      </c>
      <c r="I1103" s="20" t="b">
        <f t="shared" si="127"/>
        <v>1</v>
      </c>
      <c r="J1103" s="20"/>
      <c r="K1103" s="20"/>
    </row>
    <row r="1104" spans="1:11" ht="15.5" x14ac:dyDescent="0.35">
      <c r="A1104" s="3" t="s">
        <v>85</v>
      </c>
      <c r="B1104" s="1"/>
      <c r="C1104" s="20">
        <v>18500</v>
      </c>
      <c r="D1104" s="1"/>
      <c r="E1104" s="1"/>
      <c r="F1104" s="20">
        <f t="shared" si="125"/>
        <v>0</v>
      </c>
      <c r="G1104" s="20">
        <f t="shared" si="125"/>
        <v>0</v>
      </c>
      <c r="H1104" s="20">
        <f t="shared" si="126"/>
        <v>0</v>
      </c>
      <c r="I1104" s="20" t="b">
        <f t="shared" si="127"/>
        <v>1</v>
      </c>
      <c r="J1104" s="20"/>
      <c r="K1104" s="20"/>
    </row>
    <row r="1105" spans="1:11" ht="15.5" x14ac:dyDescent="0.35">
      <c r="A1105" s="3" t="s">
        <v>86</v>
      </c>
      <c r="B1105" s="1"/>
      <c r="C1105" s="20">
        <v>18500</v>
      </c>
      <c r="D1105" s="1"/>
      <c r="E1105" s="1"/>
      <c r="F1105" s="20">
        <f t="shared" si="125"/>
        <v>0</v>
      </c>
      <c r="G1105" s="20">
        <f t="shared" si="125"/>
        <v>0</v>
      </c>
      <c r="H1105" s="20">
        <f t="shared" si="126"/>
        <v>0</v>
      </c>
      <c r="I1105" s="20" t="b">
        <f t="shared" si="127"/>
        <v>1</v>
      </c>
      <c r="J1105" s="20"/>
      <c r="K1105" s="20"/>
    </row>
    <row r="1106" spans="1:11" ht="15.5" x14ac:dyDescent="0.35">
      <c r="A1106" s="3" t="s">
        <v>87</v>
      </c>
      <c r="B1106" s="1"/>
      <c r="C1106" s="20">
        <v>18500</v>
      </c>
      <c r="D1106" s="1"/>
      <c r="E1106" s="1"/>
      <c r="F1106" s="20">
        <f t="shared" si="125"/>
        <v>0</v>
      </c>
      <c r="G1106" s="20">
        <f t="shared" si="125"/>
        <v>0</v>
      </c>
      <c r="H1106" s="20">
        <f t="shared" si="126"/>
        <v>0</v>
      </c>
      <c r="I1106" s="20" t="b">
        <f t="shared" si="127"/>
        <v>1</v>
      </c>
      <c r="J1106" s="20"/>
      <c r="K1106" s="20"/>
    </row>
    <row r="1107" spans="1:11" ht="15.5" x14ac:dyDescent="0.35">
      <c r="A1107" s="3" t="s">
        <v>88</v>
      </c>
      <c r="B1107" s="1"/>
      <c r="C1107" s="20">
        <v>18500</v>
      </c>
      <c r="D1107" s="1"/>
      <c r="E1107" s="1"/>
      <c r="F1107" s="20">
        <f t="shared" si="125"/>
        <v>0</v>
      </c>
      <c r="G1107" s="20">
        <f t="shared" si="125"/>
        <v>0</v>
      </c>
      <c r="H1107" s="20">
        <f t="shared" si="126"/>
        <v>0</v>
      </c>
      <c r="I1107" s="20" t="b">
        <f t="shared" si="127"/>
        <v>1</v>
      </c>
      <c r="J1107" s="20"/>
      <c r="K1107" s="20"/>
    </row>
    <row r="1108" spans="1:11" ht="15.5" x14ac:dyDescent="0.35">
      <c r="A1108" s="19" t="s">
        <v>89</v>
      </c>
      <c r="B1108" s="1"/>
      <c r="C1108" s="20"/>
      <c r="D1108" s="1"/>
      <c r="E1108" s="1"/>
      <c r="F1108" s="20"/>
      <c r="G1108" s="20"/>
      <c r="H1108" s="20">
        <f t="shared" si="126"/>
        <v>0</v>
      </c>
      <c r="I1108" s="20" t="b">
        <f t="shared" si="127"/>
        <v>1</v>
      </c>
      <c r="J1108" s="20"/>
      <c r="K1108" s="20"/>
    </row>
    <row r="1109" spans="1:11" ht="15.5" x14ac:dyDescent="0.35">
      <c r="A1109" s="3" t="s">
        <v>92</v>
      </c>
      <c r="B1109" s="1"/>
      <c r="C1109" s="20">
        <v>21500</v>
      </c>
      <c r="D1109" s="1"/>
      <c r="E1109" s="1"/>
      <c r="F1109" s="20">
        <f t="shared" ref="F1109:G1111" si="128">C1109*B1109</f>
        <v>0</v>
      </c>
      <c r="G1109" s="20">
        <f t="shared" si="128"/>
        <v>0</v>
      </c>
      <c r="H1109" s="20">
        <f t="shared" si="126"/>
        <v>0</v>
      </c>
      <c r="I1109" s="20" t="b">
        <f t="shared" si="127"/>
        <v>1</v>
      </c>
      <c r="J1109" s="20"/>
      <c r="K1109" s="20"/>
    </row>
    <row r="1110" spans="1:11" ht="15.5" x14ac:dyDescent="0.35">
      <c r="A1110" s="3" t="s">
        <v>93</v>
      </c>
      <c r="B1110" s="1"/>
      <c r="C1110" s="20">
        <v>21500</v>
      </c>
      <c r="D1110" s="1"/>
      <c r="E1110" s="1"/>
      <c r="F1110" s="20">
        <f t="shared" si="128"/>
        <v>0</v>
      </c>
      <c r="G1110" s="20">
        <f t="shared" si="128"/>
        <v>0</v>
      </c>
      <c r="H1110" s="20">
        <f t="shared" si="126"/>
        <v>0</v>
      </c>
      <c r="I1110" s="20" t="b">
        <f t="shared" si="127"/>
        <v>1</v>
      </c>
      <c r="J1110" s="20"/>
      <c r="K1110" s="20"/>
    </row>
    <row r="1111" spans="1:11" ht="15.5" x14ac:dyDescent="0.35">
      <c r="A1111" s="3" t="s">
        <v>94</v>
      </c>
      <c r="B1111" s="1"/>
      <c r="C1111" s="20">
        <v>21500</v>
      </c>
      <c r="D1111" s="1"/>
      <c r="E1111" s="1"/>
      <c r="F1111" s="20">
        <f t="shared" si="128"/>
        <v>0</v>
      </c>
      <c r="G1111" s="20">
        <f t="shared" si="128"/>
        <v>0</v>
      </c>
      <c r="H1111" s="20">
        <f t="shared" si="126"/>
        <v>0</v>
      </c>
      <c r="I1111" s="20" t="b">
        <f t="shared" si="127"/>
        <v>1</v>
      </c>
      <c r="J1111" s="20"/>
      <c r="K1111" s="20"/>
    </row>
    <row r="1112" spans="1:11" ht="15.5" x14ac:dyDescent="0.35">
      <c r="A1112" s="19"/>
      <c r="B1112" s="22">
        <f>SUM(B1095:B1111)</f>
        <v>0</v>
      </c>
      <c r="C1112" s="20"/>
      <c r="D1112" s="1"/>
      <c r="E1112" s="1"/>
      <c r="F1112" s="23">
        <f>SUM(F1095:F1111)</f>
        <v>0</v>
      </c>
      <c r="G1112" s="23">
        <f>SUM(G1095:G1111)</f>
        <v>0</v>
      </c>
      <c r="H1112" s="23">
        <f>SUM(H1095:H1111)</f>
        <v>0</v>
      </c>
      <c r="I1112" s="23"/>
      <c r="J1112" s="23">
        <f>SUM(J1095:J1111)</f>
        <v>440000</v>
      </c>
      <c r="K1112" s="23">
        <f>H1112-J1112</f>
        <v>-440000</v>
      </c>
    </row>
    <row r="1113" spans="1:11" ht="15.5" x14ac:dyDescent="0.35">
      <c r="A1113" s="19" t="s">
        <v>95</v>
      </c>
      <c r="B1113" s="1"/>
      <c r="C1113" s="20"/>
      <c r="D1113" s="1"/>
      <c r="E1113" s="1"/>
      <c r="F1113" s="20"/>
      <c r="G1113" s="20"/>
      <c r="H1113" s="20" t="s">
        <v>192</v>
      </c>
      <c r="I1113" s="20"/>
      <c r="J1113" s="20"/>
      <c r="K1113" s="20"/>
    </row>
    <row r="1114" spans="1:11" ht="15.5" x14ac:dyDescent="0.35">
      <c r="A1114" s="3" t="s">
        <v>96</v>
      </c>
      <c r="B1114" s="1"/>
      <c r="C1114" s="20">
        <v>3000</v>
      </c>
      <c r="D1114" s="1"/>
      <c r="E1114" s="20"/>
      <c r="F1114" s="20">
        <f t="shared" ref="F1114:F1117" si="129">C1114*B1114</f>
        <v>0</v>
      </c>
      <c r="G1114" s="20"/>
      <c r="H1114" s="20"/>
      <c r="I1114" s="20"/>
      <c r="J1114" s="20"/>
      <c r="K1114" s="20"/>
    </row>
    <row r="1115" spans="1:11" ht="15.5" x14ac:dyDescent="0.35">
      <c r="A1115" s="3" t="s">
        <v>97</v>
      </c>
      <c r="B1115" s="1"/>
      <c r="C1115" s="20">
        <v>2500</v>
      </c>
      <c r="D1115" s="1"/>
      <c r="E1115" s="1"/>
      <c r="F1115" s="20">
        <f t="shared" si="129"/>
        <v>0</v>
      </c>
      <c r="G1115" s="20"/>
      <c r="H1115" s="20"/>
      <c r="I1115" s="20"/>
      <c r="J1115" s="20"/>
      <c r="K1115" s="20"/>
    </row>
    <row r="1116" spans="1:11" ht="15.5" x14ac:dyDescent="0.35">
      <c r="A1116" s="3" t="s">
        <v>98</v>
      </c>
      <c r="B1116" s="1"/>
      <c r="C1116" s="20">
        <v>1800</v>
      </c>
      <c r="D1116" s="1"/>
      <c r="E1116" s="1"/>
      <c r="F1116" s="20">
        <f t="shared" si="129"/>
        <v>0</v>
      </c>
      <c r="G1116" s="20"/>
      <c r="H1116" s="20"/>
      <c r="I1116" s="20"/>
      <c r="J1116" s="20"/>
      <c r="K1116" s="20"/>
    </row>
    <row r="1117" spans="1:11" ht="15.5" x14ac:dyDescent="0.35">
      <c r="A1117" s="3" t="s">
        <v>99</v>
      </c>
      <c r="B1117" s="1"/>
      <c r="C1117" s="20">
        <v>3500</v>
      </c>
      <c r="D1117" s="1"/>
      <c r="E1117" s="1"/>
      <c r="F1117" s="20">
        <f t="shared" si="129"/>
        <v>0</v>
      </c>
      <c r="G1117" s="20"/>
      <c r="H1117" s="20"/>
      <c r="I1117" s="20"/>
      <c r="J1117" s="20"/>
      <c r="K1117" s="20"/>
    </row>
    <row r="1118" spans="1:11" ht="15.5" x14ac:dyDescent="0.35">
      <c r="A1118" s="18"/>
      <c r="F1118" s="21"/>
    </row>
    <row r="1119" spans="1:11" ht="15.5" x14ac:dyDescent="0.35">
      <c r="A1119" s="24" t="s">
        <v>108</v>
      </c>
      <c r="K1119" s="21"/>
    </row>
    <row r="1120" spans="1:11" ht="15.5" x14ac:dyDescent="0.35">
      <c r="A1120" s="18" t="s">
        <v>114</v>
      </c>
      <c r="B1120" s="67">
        <v>40000</v>
      </c>
    </row>
    <row r="1121" spans="1:2" ht="15.5" x14ac:dyDescent="0.35">
      <c r="A1121" s="18" t="s">
        <v>112</v>
      </c>
      <c r="B1121" s="67">
        <v>40000</v>
      </c>
    </row>
    <row r="1122" spans="1:2" ht="15.5" x14ac:dyDescent="0.35">
      <c r="A1122" s="18" t="s">
        <v>309</v>
      </c>
      <c r="B1122" s="67">
        <v>60000</v>
      </c>
    </row>
    <row r="1123" spans="1:2" ht="15.5" x14ac:dyDescent="0.35">
      <c r="A1123" s="18" t="s">
        <v>110</v>
      </c>
      <c r="B1123" s="67">
        <v>40000</v>
      </c>
    </row>
    <row r="1124" spans="1:2" ht="15.5" x14ac:dyDescent="0.35">
      <c r="A1124" s="18" t="s">
        <v>111</v>
      </c>
      <c r="B1124" s="67">
        <v>40000</v>
      </c>
    </row>
    <row r="1125" spans="1:2" ht="15.5" x14ac:dyDescent="0.35">
      <c r="A1125" s="18" t="s">
        <v>196</v>
      </c>
      <c r="B1125" s="67">
        <v>40000</v>
      </c>
    </row>
    <row r="1126" spans="1:2" ht="15.5" x14ac:dyDescent="0.35">
      <c r="A1126" s="18" t="s">
        <v>113</v>
      </c>
      <c r="B1126" s="67">
        <v>40000</v>
      </c>
    </row>
    <row r="1127" spans="1:2" ht="15.5" x14ac:dyDescent="0.35">
      <c r="A1127" s="18" t="s">
        <v>209</v>
      </c>
      <c r="B1127" s="67">
        <v>40000</v>
      </c>
    </row>
    <row r="1128" spans="1:2" ht="15.5" x14ac:dyDescent="0.35">
      <c r="A1128" s="18" t="s">
        <v>115</v>
      </c>
      <c r="B1128" s="67">
        <v>60000</v>
      </c>
    </row>
    <row r="1129" spans="1:2" ht="15.5" x14ac:dyDescent="0.35">
      <c r="A1129" s="18" t="s">
        <v>109</v>
      </c>
      <c r="B1129" s="67">
        <v>40000</v>
      </c>
    </row>
    <row r="1130" spans="1:2" ht="15.5" x14ac:dyDescent="0.35">
      <c r="A1130" s="24" t="s">
        <v>4</v>
      </c>
      <c r="B1130" s="75">
        <f>SUM(B1120:B1129)</f>
        <v>440000</v>
      </c>
    </row>
  </sheetData>
  <mergeCells count="106">
    <mergeCell ref="A180:K180"/>
    <mergeCell ref="A221:K221"/>
    <mergeCell ref="A222:K222"/>
    <mergeCell ref="A223:K223"/>
    <mergeCell ref="A224:K224"/>
    <mergeCell ref="A310:K310"/>
    <mergeCell ref="A311:K311"/>
    <mergeCell ref="A312:K312"/>
    <mergeCell ref="A313:K313"/>
    <mergeCell ref="A264:K264"/>
    <mergeCell ref="A265:K265"/>
    <mergeCell ref="A266:K266"/>
    <mergeCell ref="A267:K267"/>
    <mergeCell ref="A268:K268"/>
    <mergeCell ref="A1:K1"/>
    <mergeCell ref="A90:K90"/>
    <mergeCell ref="A91:K91"/>
    <mergeCell ref="A92:K92"/>
    <mergeCell ref="A93:K93"/>
    <mergeCell ref="A175:K175"/>
    <mergeCell ref="A177:K177"/>
    <mergeCell ref="A178:K178"/>
    <mergeCell ref="A179:K179"/>
    <mergeCell ref="A2:K2"/>
    <mergeCell ref="A3:K3"/>
    <mergeCell ref="A4:K4"/>
    <mergeCell ref="A46:K46"/>
    <mergeCell ref="A47:K47"/>
    <mergeCell ref="A48:K48"/>
    <mergeCell ref="A49:K49"/>
    <mergeCell ref="A133:K133"/>
    <mergeCell ref="A134:K134"/>
    <mergeCell ref="A135:K135"/>
    <mergeCell ref="A136:K136"/>
    <mergeCell ref="A527:K527"/>
    <mergeCell ref="A528:K528"/>
    <mergeCell ref="A529:K529"/>
    <mergeCell ref="A530:K530"/>
    <mergeCell ref="A443:K443"/>
    <mergeCell ref="A444:K444"/>
    <mergeCell ref="A484:K484"/>
    <mergeCell ref="A485:K485"/>
    <mergeCell ref="A486:K486"/>
    <mergeCell ref="A353:K353"/>
    <mergeCell ref="A658:K658"/>
    <mergeCell ref="A659:K659"/>
    <mergeCell ref="A660:K660"/>
    <mergeCell ref="A661:K661"/>
    <mergeCell ref="A701:K701"/>
    <mergeCell ref="A571:K571"/>
    <mergeCell ref="A572:K572"/>
    <mergeCell ref="A573:K573"/>
    <mergeCell ref="A574:K574"/>
    <mergeCell ref="A615:K615"/>
    <mergeCell ref="A616:K616"/>
    <mergeCell ref="A617:K617"/>
    <mergeCell ref="A618:K618"/>
    <mergeCell ref="A397:K397"/>
    <mergeCell ref="A398:K398"/>
    <mergeCell ref="A354:K354"/>
    <mergeCell ref="A355:K355"/>
    <mergeCell ref="A356:K356"/>
    <mergeCell ref="A399:K399"/>
    <mergeCell ref="A400:K400"/>
    <mergeCell ref="A441:K441"/>
    <mergeCell ref="A442:K442"/>
    <mergeCell ref="A487:K487"/>
    <mergeCell ref="A746:K746"/>
    <mergeCell ref="A747:K747"/>
    <mergeCell ref="A787:K787"/>
    <mergeCell ref="A788:K788"/>
    <mergeCell ref="A789:K789"/>
    <mergeCell ref="A702:K702"/>
    <mergeCell ref="A703:K703"/>
    <mergeCell ref="A704:K704"/>
    <mergeCell ref="A744:K744"/>
    <mergeCell ref="A745:K745"/>
    <mergeCell ref="A873:K873"/>
    <mergeCell ref="A874:K874"/>
    <mergeCell ref="A875:K875"/>
    <mergeCell ref="A876:K876"/>
    <mergeCell ref="A916:K916"/>
    <mergeCell ref="A790:K790"/>
    <mergeCell ref="A830:K830"/>
    <mergeCell ref="A831:K831"/>
    <mergeCell ref="A832:K832"/>
    <mergeCell ref="A833:K833"/>
    <mergeCell ref="A961:K961"/>
    <mergeCell ref="A962:K962"/>
    <mergeCell ref="A1002:K1002"/>
    <mergeCell ref="A1003:K1003"/>
    <mergeCell ref="A1004:K1004"/>
    <mergeCell ref="A917:K917"/>
    <mergeCell ref="A918:K918"/>
    <mergeCell ref="A919:K919"/>
    <mergeCell ref="A959:K959"/>
    <mergeCell ref="A960:K960"/>
    <mergeCell ref="A1090:K1090"/>
    <mergeCell ref="A1091:K1091"/>
    <mergeCell ref="A1092:K1092"/>
    <mergeCell ref="A1093:K1093"/>
    <mergeCell ref="A1005:K1005"/>
    <mergeCell ref="A1047:K1047"/>
    <mergeCell ref="A1048:K1048"/>
    <mergeCell ref="A1049:K1049"/>
    <mergeCell ref="A1050:K105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690C-330C-428C-861C-F5EC56BB5B34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FF5F-35B3-4FAE-9A00-063AB4F18DC4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CONTROL MERCADO</vt:lpstr>
      <vt:lpstr>CUENTAS LC</vt:lpstr>
      <vt:lpstr>IMPRIMIR</vt:lpstr>
      <vt:lpstr>COMPRAS</vt:lpstr>
      <vt:lpstr>NOMINA</vt:lpstr>
      <vt:lpstr>PRESTAMOS</vt:lpstr>
      <vt:lpstr>CUENTAS</vt:lpstr>
      <vt:lpstr>CONSOLIDADO</vt:lpstr>
      <vt:lpstr>VENTAS ENERO</vt:lpstr>
      <vt:lpstr>VENTAS FEBRERO</vt:lpstr>
      <vt:lpstr>VENTAS MARZO</vt:lpstr>
      <vt:lpstr>VENTAS ABRIL</vt:lpstr>
      <vt:lpstr>VENTAS MAYO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2025-05-21T01:46:09Z</dcterms:created>
  <dcterms:modified xsi:type="dcterms:W3CDTF">2026-05-11T16:31:07Z</dcterms:modified>
</cp:coreProperties>
</file>