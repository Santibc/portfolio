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-ENE" sheetId="1" r:id="rId4"/>
    <sheet state="visible" name="ENE - FEB" sheetId="2" r:id="rId5"/>
    <sheet state="visible" name="FEB - MAR" sheetId="3" r:id="rId6"/>
    <sheet state="visible" name="MAR - ABR" sheetId="4" r:id="rId7"/>
    <sheet state="visible" name="ABR - MAY" sheetId="5" r:id="rId8"/>
    <sheet state="visible" name="MAY-JUN" sheetId="6" r:id="rId9"/>
    <sheet state="visible" name="JUN-JUL" sheetId="7" r:id="rId10"/>
    <sheet state="visible" name="JUL-AGO" sheetId="8" r:id="rId11"/>
    <sheet state="visible" name="AGO - SEP" sheetId="9" r:id="rId12"/>
    <sheet state="visible" name="SEP - OCT" sheetId="10" r:id="rId13"/>
    <sheet state="visible" name="OCT - NOV" sheetId="11" r:id="rId14"/>
    <sheet state="visible" name="NOV - DIC" sheetId="12" r:id="rId15"/>
    <sheet state="visible" name="PRECIOS Y CÓDIGOS" sheetId="13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Desbroce herbáceo con recogida de restos</t>
      </text>
    </comment>
    <comment authorId="0" ref="H2">
      <text>
        <t xml:space="preserve">Desbroce arbustivo/cañas con recogida de restos</t>
      </text>
    </comment>
    <comment authorId="0" ref="J2">
      <text>
        <t xml:space="preserve">TALAS/PODAS DIÁMETRO &lt;25CM SIN DIFICULTAD con Tensión</t>
      </text>
    </comment>
    <comment authorId="0" ref="K2">
      <text>
        <t xml:space="preserve">TALA O PODA DE ÁRBOL AISLADO SIN ESPECIAL DIFICULTAD DE DIÁMETRO 25-100 CM.
</t>
      </text>
    </comment>
    <comment authorId="0" ref="L2">
      <text>
        <t xml:space="preserve">TALA O PODA DE ÁRBOL, EN GRUPOS DE 2 O MÁS, SIN ESPECIAL DIFICULTAD DE DIÁMETRO 25-100 CM</t>
      </text>
    </comment>
    <comment authorId="0" ref="M2">
      <text>
        <t xml:space="preserve">TALA O PODA DE ÁRBOL AISLADO SIN ESPECIAL DIFICULTAD DE DIÁMETRO SUPERIOR A 100 CM.</t>
      </text>
    </comment>
    <comment authorId="0" ref="N2">
      <text>
        <t xml:space="preserve">TALA O PODA DE ÁRBOL, EN GRUPOS DE DOS O MÁS, SIN ESPECIAL DIFICULTAD DE DIÁMETRO SUPERIOR A 100 CM</t>
      </text>
    </comment>
    <comment authorId="0" ref="O2">
      <text>
        <t xml:space="preserve">TALA ÁRBOL ESPECIAL DIFICULTAD SIN CORTE TENSIÓN</t>
      </text>
    </comment>
    <comment authorId="0" ref="P2">
      <text>
        <t xml:space="preserve">TALA ÁRBOL ESPECIAL DIFICULTAD CON CORTE TENSIÓN</t>
      </text>
    </comment>
    <comment authorId="0" ref="Q2">
      <text>
        <t xml:space="preserve">TALAS ÁRBOLES ESPECIAL DIFICULTAD SIN CORTE TENSIÓN</t>
      </text>
    </comment>
    <comment authorId="0" ref="R2">
      <text>
        <t xml:space="preserve">TALAS ÁRBOLES ESPECIAL DIFICULTAD CON CORTE TENSIÓN</t>
      </text>
    </comment>
    <comment authorId="0" ref="S2">
      <text>
        <t xml:space="preserve">PODA ÁRBOL ESPECIAL DIFICULTAD SIN CORTE TENSIÓN</t>
      </text>
    </comment>
    <comment authorId="0" ref="T2">
      <text>
        <t xml:space="preserve">PODA ÁRBOL ESPECIAL DIFICULTAD CON CORTE TENSIÓN</t>
      </text>
    </comment>
    <comment authorId="0" ref="U2">
      <text>
        <t xml:space="preserve">PODAS ÁRBOLES ESPECIAL DIFICULTAD SIN CORTE TENSIÓN</t>
      </text>
    </comment>
    <comment authorId="0" ref="V2">
      <text>
        <t xml:space="preserve">PODAS ÁRBOLES ESPECIAL DIFICULTAD CON CORTE TENSIÓN</t>
      </text>
    </comment>
    <comment authorId="0" ref="W2">
      <text>
        <t xml:space="preserve">TRATAM. FITOSANITARIO TOCONES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Desbroce herbáceo con recogida de restos</t>
      </text>
    </comment>
    <comment authorId="0" ref="H2">
      <text>
        <t xml:space="preserve">Desbroce arbustivo/cañas con recogida de restos</t>
      </text>
    </comment>
    <comment authorId="0" ref="I2">
      <text>
        <t xml:space="preserve">TALAS/PODAS DIÁMETRO &lt;25CM SIN DIFICULTAD con Tensión</t>
      </text>
    </comment>
    <comment authorId="0" ref="J2">
      <text>
        <t xml:space="preserve">TALA O PODA DE ÁRBOL AISLADO SIN ESPECIAL DIFICULTAD DE DIÁMETRO 25-100 CM.
</t>
      </text>
    </comment>
    <comment authorId="0" ref="K2">
      <text>
        <t xml:space="preserve">TALA O PODA DE ÁRBOL, EN GRUPOS DE 2 O MÁS, SIN ESPECIAL DIFICULTAD DE DIÁMETRO 25-100 CM</t>
      </text>
    </comment>
    <comment authorId="0" ref="L2">
      <text>
        <t xml:space="preserve">TALA O PODA DE ÁRBOL AISLADO SIN ESPECIAL DIFICULTAD DE DIÁMETRO SUPERIOR A 100 CM.</t>
      </text>
    </comment>
    <comment authorId="0" ref="M2">
      <text>
        <t xml:space="preserve">TALA O PODA DE ÁRBOL, EN GRUPOS DE DOS O MÁS, SIN ESPECIAL DIFICULTAD DE DIÁMETRO SUPERIOR A 100 CM</t>
      </text>
    </comment>
    <comment authorId="0" ref="N2">
      <text>
        <t xml:space="preserve">TALA ÁRBOL ESPECIAL DIFICULTAD SIN CORTE TENSIÓN</t>
      </text>
    </comment>
    <comment authorId="0" ref="O2">
      <text>
        <t xml:space="preserve">TALA ÁRBOL ESPECIAL DIFICULTAD CON CORTE TENSIÓN</t>
      </text>
    </comment>
    <comment authorId="0" ref="P2">
      <text>
        <t xml:space="preserve">TALAS ÁRBOLES ESPECIAL DIFICULTAD SIN CORTE TENSIÓN</t>
      </text>
    </comment>
    <comment authorId="0" ref="Q2">
      <text>
        <t xml:space="preserve">TALAS ÁRBOLES ESPECIAL DIFICULTAD CON CORTE TENSIÓN</t>
      </text>
    </comment>
    <comment authorId="0" ref="R2">
      <text>
        <t xml:space="preserve">PODA ÁRBOL ESPECIAL DIFICULTAD SIN CORTE TENSIÓN</t>
      </text>
    </comment>
    <comment authorId="0" ref="S2">
      <text>
        <t xml:space="preserve">PODA ÁRBOL ESPECIAL DIFICULTAD CON CORTE TENSIÓN</t>
      </text>
    </comment>
    <comment authorId="0" ref="T2">
      <text>
        <t xml:space="preserve">PODAS ÁRBOLES ESPECIAL DIFICULTAD SIN CORTE TENSIÓN</t>
      </text>
    </comment>
    <comment authorId="0" ref="U2">
      <text>
        <t xml:space="preserve">PODAS ÁRBOLES ESPECIAL DIFICULTAD CON CORTE TENSIÓN</t>
      </text>
    </comment>
    <comment authorId="0" ref="V2">
      <text>
        <t xml:space="preserve">TRATAM. FITOSANITARIO TOCONES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Desbroce herbáceo con recogida de restos</t>
      </text>
    </comment>
    <comment authorId="0" ref="H2">
      <text>
        <t xml:space="preserve">Desbroce arbustivo/cañas con recogida de restos</t>
      </text>
    </comment>
    <comment authorId="0" ref="J2">
      <text>
        <t xml:space="preserve">TALAS/PODAS DIÁMETRO &lt;25CM SIN DIFICULTAD con Tensión</t>
      </text>
    </comment>
    <comment authorId="0" ref="K2">
      <text>
        <t xml:space="preserve">TALA O PODA DE ÁRBOL AISLADO SIN ESPECIAL DIFICULTAD DE DIÁMETRO 25-100 CM.
</t>
      </text>
    </comment>
    <comment authorId="0" ref="L2">
      <text>
        <t xml:space="preserve">TALA O PODA DE ÁRBOL, EN GRUPOS DE 2 O MÁS, SIN ESPECIAL DIFICULTAD DE DIÁMETRO 25-100 CM</t>
      </text>
    </comment>
    <comment authorId="0" ref="M2">
      <text>
        <t xml:space="preserve">TALA O PODA DE ÁRBOL AISLADO SIN ESPECIAL DIFICULTAD DE DIÁMETRO SUPERIOR A 100 CM.</t>
      </text>
    </comment>
    <comment authorId="0" ref="N2">
      <text>
        <t xml:space="preserve">TALA O PODA DE ÁRBOL, EN GRUPOS DE DOS O MÁS, SIN ESPECIAL DIFICULTAD DE DIÁMETRO SUPERIOR A 100 CM</t>
      </text>
    </comment>
    <comment authorId="0" ref="O2">
      <text>
        <t xml:space="preserve">TALA ÁRBOL ESPECIAL DIFICULTAD SIN CORTE TENSIÓN</t>
      </text>
    </comment>
    <comment authorId="0" ref="P2">
      <text>
        <t xml:space="preserve">TALA ÁRBOL ESPECIAL DIFICULTAD CON CORTE TENSIÓN</t>
      </text>
    </comment>
    <comment authorId="0" ref="Q2">
      <text>
        <t xml:space="preserve">TALAS ÁRBOLES ESPECIAL DIFICULTAD SIN CORTE TENSIÓN</t>
      </text>
    </comment>
    <comment authorId="0" ref="R2">
      <text>
        <t xml:space="preserve">TALAS ÁRBOLES ESPECIAL DIFICULTAD CON CORTE TENSIÓN</t>
      </text>
    </comment>
    <comment authorId="0" ref="S2">
      <text>
        <t xml:space="preserve">PODA ÁRBOL ESPECIAL DIFICULTAD SIN CORTE TENSIÓN</t>
      </text>
    </comment>
    <comment authorId="0" ref="T2">
      <text>
        <t xml:space="preserve">PODA ÁRBOL ESPECIAL DIFICULTAD CON CORTE TENSIÓN</t>
      </text>
    </comment>
    <comment authorId="0" ref="U2">
      <text>
        <t xml:space="preserve">PODAS ÁRBOLES ESPECIAL DIFICULTAD SIN CORTE TENSIÓN</t>
      </text>
    </comment>
    <comment authorId="0" ref="V2">
      <text>
        <t xml:space="preserve">PODAS ÁRBOLES ESPECIAL DIFICULTAD CON CORTE TENSIÓN</t>
      </text>
    </comment>
    <comment authorId="0" ref="W2">
      <text>
        <t xml:space="preserve">TRATAM. FITOSANITARIO TOCONES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Desbroce herbáceo con recogida de restos</t>
      </text>
    </comment>
    <comment authorId="0" ref="H2">
      <text>
        <t xml:space="preserve">Desbroce arbustivo/cañas con recogida de restos</t>
      </text>
    </comment>
    <comment authorId="0" ref="J2">
      <text>
        <t xml:space="preserve">TALAS/PODAS DIÁMETRO &lt;25CM SIN DIFICULTAD con Tensión</t>
      </text>
    </comment>
    <comment authorId="0" ref="K2">
      <text>
        <t xml:space="preserve">TALA O PODA DE ÁRBOL AISLADO SIN ESPECIAL DIFICULTAD DE DIÁMETRO 25-100 CM.
</t>
      </text>
    </comment>
    <comment authorId="0" ref="L2">
      <text>
        <t xml:space="preserve">TALA O PODA DE ÁRBOL, EN GRUPOS DE 2 O MÁS, SIN ESPECIAL DIFICULTAD DE DIÁMETRO 25-100 CM</t>
      </text>
    </comment>
    <comment authorId="0" ref="M2">
      <text>
        <t xml:space="preserve">TALA O PODA DE ÁRBOL AISLADO SIN ESPECIAL DIFICULTAD DE DIÁMETRO SUPERIOR A 100 CM.</t>
      </text>
    </comment>
    <comment authorId="0" ref="N2">
      <text>
        <t xml:space="preserve">TALA O PODA DE ÁRBOL, EN GRUPOS DE DOS O MÁS, SIN ESPECIAL DIFICULTAD DE DIÁMETRO SUPERIOR A 100 CM</t>
      </text>
    </comment>
    <comment authorId="0" ref="O2">
      <text>
        <t xml:space="preserve">TALA ÁRBOL ESPECIAL DIFICULTAD SIN CORTE TENSIÓN</t>
      </text>
    </comment>
    <comment authorId="0" ref="P2">
      <text>
        <t xml:space="preserve">TALA ÁRBOL ESPECIAL DIFICULTAD CON CORTE TENSIÓN</t>
      </text>
    </comment>
    <comment authorId="0" ref="Q2">
      <text>
        <t xml:space="preserve">TALAS ÁRBOLES ESPECIAL DIFICULTAD SIN CORTE TENSIÓN</t>
      </text>
    </comment>
    <comment authorId="0" ref="R2">
      <text>
        <t xml:space="preserve">TALAS ÁRBOLES ESPECIAL DIFICULTAD CON CORTE TENSIÓN</t>
      </text>
    </comment>
    <comment authorId="0" ref="S2">
      <text>
        <t xml:space="preserve">PODA ÁRBOL ESPECIAL DIFICULTAD SIN CORTE TENSIÓN</t>
      </text>
    </comment>
    <comment authorId="0" ref="T2">
      <text>
        <t xml:space="preserve">PODA ÁRBOL ESPECIAL DIFICULTAD CON CORTE TENSIÓN</t>
      </text>
    </comment>
    <comment authorId="0" ref="U2">
      <text>
        <t xml:space="preserve">PODAS ÁRBOLES ESPECIAL DIFICULTAD SIN CORTE TENSIÓN</t>
      </text>
    </comment>
    <comment authorId="0" ref="V2">
      <text>
        <t xml:space="preserve">PODAS ÁRBOLES ESPECIAL DIFICULTAD CON CORTE TENSIÓN</t>
      </text>
    </comment>
    <comment authorId="0" ref="W2">
      <text>
        <t xml:space="preserve">TRATAM. FITOSANITARIO TOCONES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Desbroce herbáceo con recogida de restos</t>
      </text>
    </comment>
    <comment authorId="0" ref="H2">
      <text>
        <t xml:space="preserve">Desbroce arbustivo/cañas con recogida de restos</t>
      </text>
    </comment>
    <comment authorId="0" ref="J2">
      <text>
        <t xml:space="preserve">TALAS/PODAS DIÁMETRO &lt;25CM SIN DIFICULTAD con Tensión</t>
      </text>
    </comment>
    <comment authorId="0" ref="K2">
      <text>
        <t xml:space="preserve">TALA O PODA DE ÁRBOL AISLADO SIN ESPECIAL DIFICULTAD DE DIÁMETRO 25-100 CM.
</t>
      </text>
    </comment>
    <comment authorId="0" ref="L2">
      <text>
        <t xml:space="preserve">TALA O PODA DE ÁRBOL, EN GRUPOS DE 2 O MÁS, SIN ESPECIAL DIFICULTAD DE DIÁMETRO 25-100 CM</t>
      </text>
    </comment>
    <comment authorId="0" ref="M2">
      <text>
        <t xml:space="preserve">TALA O PODA DE ÁRBOL AISLADO SIN ESPECIAL DIFICULTAD DE DIÁMETRO SUPERIOR A 100 CM.</t>
      </text>
    </comment>
    <comment authorId="0" ref="N2">
      <text>
        <t xml:space="preserve">TALA O PODA DE ÁRBOL, EN GRUPOS DE DOS O MÁS, SIN ESPECIAL DIFICULTAD DE DIÁMETRO SUPERIOR A 100 CM</t>
      </text>
    </comment>
    <comment authorId="0" ref="O2">
      <text>
        <t xml:space="preserve">TALA ÁRBOL ESPECIAL DIFICULTAD SIN CORTE TENSIÓN</t>
      </text>
    </comment>
    <comment authorId="0" ref="P2">
      <text>
        <t xml:space="preserve">TALA ÁRBOL ESPECIAL DIFICULTAD CON CORTE TENSIÓN</t>
      </text>
    </comment>
    <comment authorId="0" ref="Q2">
      <text>
        <t xml:space="preserve">TALAS ÁRBOLES ESPECIAL DIFICULTAD SIN CORTE TENSIÓN</t>
      </text>
    </comment>
    <comment authorId="0" ref="R2">
      <text>
        <t xml:space="preserve">TALAS ÁRBOLES ESPECIAL DIFICULTAD CON CORTE TENSIÓN</t>
      </text>
    </comment>
    <comment authorId="0" ref="S2">
      <text>
        <t xml:space="preserve">PODA ÁRBOL ESPECIAL DIFICULTAD SIN CORTE TENSIÓN</t>
      </text>
    </comment>
    <comment authorId="0" ref="T2">
      <text>
        <t xml:space="preserve">PODA ÁRBOL ESPECIAL DIFICULTAD CON CORTE TENSIÓN</t>
      </text>
    </comment>
    <comment authorId="0" ref="U2">
      <text>
        <t xml:space="preserve">PODAS ÁRBOLES ESPECIAL DIFICULTAD SIN CORTE TENSIÓN</t>
      </text>
    </comment>
    <comment authorId="0" ref="V2">
      <text>
        <t xml:space="preserve">PODAS ÁRBOLES ESPECIAL DIFICULTAD CON CORTE TENSIÓN</t>
      </text>
    </comment>
    <comment authorId="0" ref="W2">
      <text>
        <t xml:space="preserve">TRATAM. FITOSANITARIO TOCONES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Desbroce herbáceo con recogida de restos</t>
      </text>
    </comment>
    <comment authorId="0" ref="I2">
      <text>
        <t xml:space="preserve">Desbroce arbustivo/cañas con recogida de restos</t>
      </text>
    </comment>
    <comment authorId="0" ref="K2">
      <text>
        <t xml:space="preserve">TALAS/PODAS DIÁMETRO &lt;25CM SIN DIFICULTAD con Tensión</t>
      </text>
    </comment>
    <comment authorId="0" ref="L2">
      <text>
        <t xml:space="preserve">TALA O PODA DE ÁRBOL AISLADO SIN ESPECIAL DIFICULTAD DE DIÁMETRO 25-100 CM.
</t>
      </text>
    </comment>
    <comment authorId="0" ref="M2">
      <text>
        <t xml:space="preserve">TALA O PODA DE ÁRBOL, EN GRUPOS DE 2 O MÁS, SIN ESPECIAL DIFICULTAD DE DIÁMETRO 25-100 CM</t>
      </text>
    </comment>
    <comment authorId="0" ref="N2">
      <text>
        <t xml:space="preserve">TALA O PODA DE ÁRBOL AISLADO SIN ESPECIAL DIFICULTAD DE DIÁMETRO SUPERIOR A 100 CM.</t>
      </text>
    </comment>
    <comment authorId="0" ref="O2">
      <text>
        <t xml:space="preserve">TALA O PODA DE ÁRBOL, EN GRUPOS DE DOS O MÁS, SIN ESPECIAL DIFICULTAD DE DIÁMETRO SUPERIOR A 100 CM</t>
      </text>
    </comment>
    <comment authorId="0" ref="P2">
      <text>
        <t xml:space="preserve">TALA ÁRBOL ESPECIAL DIFICULTAD SIN CORTE TENSIÓN</t>
      </text>
    </comment>
    <comment authorId="0" ref="Q2">
      <text>
        <t xml:space="preserve">TALA ÁRBOL ESPECIAL DIFICULTAD CON CORTE TENSIÓN</t>
      </text>
    </comment>
    <comment authorId="0" ref="R2">
      <text>
        <t xml:space="preserve">TALAS ÁRBOLES ESPECIAL DIFICULTAD SIN CORTE TENSIÓN</t>
      </text>
    </comment>
    <comment authorId="0" ref="S2">
      <text>
        <t xml:space="preserve">TALAS ÁRBOLES ESPECIAL DIFICULTAD CON CORTE TENSIÓN</t>
      </text>
    </comment>
    <comment authorId="0" ref="T2">
      <text>
        <t xml:space="preserve">PODA ÁRBOL ESPECIAL DIFICULTAD SIN CORTE TENSIÓN</t>
      </text>
    </comment>
    <comment authorId="0" ref="U2">
      <text>
        <t xml:space="preserve">PODA ÁRBOL ESPECIAL DIFICULTAD CON CORTE TENSIÓN</t>
      </text>
    </comment>
    <comment authorId="0" ref="V2">
      <text>
        <t xml:space="preserve">PODAS ÁRBOLES ESPECIAL DIFICULTAD SIN CORTE TENSIÓN</t>
      </text>
    </comment>
    <comment authorId="0" ref="W2">
      <text>
        <t xml:space="preserve">PODAS ÁRBOLES ESPECIAL DIFICULTAD CON CORTE TENSIÓN</t>
      </text>
    </comment>
    <comment authorId="0" ref="X2">
      <text>
        <t xml:space="preserve">TRATAM. FITOSANITARIO TOCONES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HERBICIDA
</t>
      </text>
    </comment>
    <comment authorId="0" ref="H2">
      <text>
        <t xml:space="preserve">Desbroce herbáceo con recogida de restos</t>
      </text>
    </comment>
    <comment authorId="0" ref="I2">
      <text>
        <t xml:space="preserve">Desbroce arbustivo/cañas con recogida de restos</t>
      </text>
    </comment>
    <comment authorId="0" ref="K2">
      <text>
        <t xml:space="preserve">TALAS/PODAS DIÁMETRO &lt;25CM SIN DIFICULTAD con Tensión</t>
      </text>
    </comment>
    <comment authorId="0" ref="L2">
      <text>
        <t xml:space="preserve">TALA O PODA DE ÁRBOL AISLADO SIN ESPECIAL DIFICULTAD DE DIÁMETRO 25-100 CM.
</t>
      </text>
    </comment>
    <comment authorId="0" ref="M2">
      <text>
        <t xml:space="preserve">TALA O PODA DE ÁRBOL, EN GRUPOS DE 2 O MÁS, SIN ESPECIAL DIFICULTAD DE DIÁMETRO 25-100 CM</t>
      </text>
    </comment>
    <comment authorId="0" ref="N2">
      <text>
        <t xml:space="preserve">TALA O PODA DE ÁRBOL AISLADO SIN ESPECIAL DIFICULTAD DE DIÁMETRO SUPERIOR A 100 CM.</t>
      </text>
    </comment>
    <comment authorId="0" ref="O2">
      <text>
        <t xml:space="preserve">TALA O PODA DE ÁRBOL, EN GRUPOS DE DOS O MÁS, SIN ESPECIAL DIFICULTAD DE DIÁMETRO SUPERIOR A 100 CM</t>
      </text>
    </comment>
    <comment authorId="0" ref="P2">
      <text>
        <t xml:space="preserve">TALA ÁRBOL ESPECIAL DIFICULTAD SIN CORTE TENSIÓN</t>
      </text>
    </comment>
    <comment authorId="0" ref="Q2">
      <text>
        <t xml:space="preserve">TALA ÁRBOL ESPECIAL DIFICULTAD CON CORTE TENSIÓN</t>
      </text>
    </comment>
    <comment authorId="0" ref="R2">
      <text>
        <t xml:space="preserve">TALAS ÁRBOLES ESPECIAL DIFICULTAD SIN CORTE TENSIÓN</t>
      </text>
    </comment>
    <comment authorId="0" ref="S2">
      <text>
        <t xml:space="preserve">TALAS ÁRBOLES ESPECIAL DIFICULTAD CON CORTE TENSIÓN</t>
      </text>
    </comment>
    <comment authorId="0" ref="T2">
      <text>
        <t xml:space="preserve">PODA ÁRBOL ESPECIAL DIFICULTAD SIN CORTE TENSIÓN</t>
      </text>
    </comment>
    <comment authorId="0" ref="U2">
      <text>
        <t xml:space="preserve">PODA ÁRBOL ESPECIAL DIFICULTAD CON CORTE TENSIÓN</t>
      </text>
    </comment>
    <comment authorId="0" ref="V2">
      <text>
        <t xml:space="preserve">PODAS ÁRBOLES ESPECIAL DIFICULTAD SIN CORTE TENSIÓN</t>
      </text>
    </comment>
    <comment authorId="0" ref="W2">
      <text>
        <t xml:space="preserve">PODAS ÁRBOLES ESPECIAL DIFICULTAD CON CORTE TENSIÓN</t>
      </text>
    </comment>
    <comment authorId="0" ref="X2">
      <text>
        <t xml:space="preserve">TRATAM. FITOSANITARIO TOCONES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Desbroce herbáceo con recogida de restos</t>
      </text>
    </comment>
    <comment authorId="0" ref="H2">
      <text>
        <t xml:space="preserve">Desbroce arbustivo/cañas con recogida de restos</t>
      </text>
    </comment>
    <comment authorId="0" ref="J2">
      <text>
        <t xml:space="preserve">TALAS/PODAS DIÁMETRO &lt;25CM SIN DIFICULTAD con Tensión</t>
      </text>
    </comment>
    <comment authorId="0" ref="K2">
      <text>
        <t xml:space="preserve">TALA O PODA DE ÁRBOL AISLADO SIN ESPECIAL DIFICULTAD DE DIÁMETRO 25-100 CM.
</t>
      </text>
    </comment>
    <comment authorId="0" ref="L2">
      <text>
        <t xml:space="preserve">TALA O PODA DE ÁRBOL, EN GRUPOS DE 2 O MÁS, SIN ESPECIAL DIFICULTAD DE DIÁMETRO 25-100 CM</t>
      </text>
    </comment>
    <comment authorId="0" ref="M2">
      <text>
        <t xml:space="preserve">TALA O PODA DE ÁRBOL AISLADO SIN ESPECIAL DIFICULTAD DE DIÁMETRO SUPERIOR A 100 CM.</t>
      </text>
    </comment>
    <comment authorId="0" ref="N2">
      <text>
        <t xml:space="preserve">TALA O PODA DE ÁRBOL, EN GRUPOS DE DOS O MÁS, SIN ESPECIAL DIFICULTAD DE DIÁMETRO SUPERIOR A 100 CM</t>
      </text>
    </comment>
    <comment authorId="0" ref="O2">
      <text>
        <t xml:space="preserve">TALA ÁRBOL ESPECIAL DIFICULTAD SIN CORTE TENSIÓN</t>
      </text>
    </comment>
    <comment authorId="0" ref="P2">
      <text>
        <t xml:space="preserve">TALA ÁRBOL ESPECIAL DIFICULTAD CON CORTE TENSIÓN</t>
      </text>
    </comment>
    <comment authorId="0" ref="Q2">
      <text>
        <t xml:space="preserve">TALAS ÁRBOLES ESPECIAL DIFICULTAD SIN CORTE TENSIÓN</t>
      </text>
    </comment>
    <comment authorId="0" ref="R2">
      <text>
        <t xml:space="preserve">TALAS ÁRBOLES ESPECIAL DIFICULTAD CON CORTE TENSIÓN</t>
      </text>
    </comment>
    <comment authorId="0" ref="S2">
      <text>
        <t xml:space="preserve">PODA ÁRBOL ESPECIAL DIFICULTAD SIN CORTE TENSIÓN</t>
      </text>
    </comment>
    <comment authorId="0" ref="T2">
      <text>
        <t xml:space="preserve">PODA ÁRBOL ESPECIAL DIFICULTAD CON CORTE TENSIÓN</t>
      </text>
    </comment>
    <comment authorId="0" ref="U2">
      <text>
        <t xml:space="preserve">PODAS ÁRBOLES ESPECIAL DIFICULTAD SIN CORTE TENSIÓN</t>
      </text>
    </comment>
    <comment authorId="0" ref="V2">
      <text>
        <t xml:space="preserve">PODAS ÁRBOLES ESPECIAL DIFICULTAD CON CORTE TENSIÓN</t>
      </text>
    </comment>
    <comment authorId="0" ref="W2">
      <text>
        <t xml:space="preserve">TRATAM. FITOSANITARIO TOCONES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Desbroce herbáceo con recogida de restos</t>
      </text>
    </comment>
    <comment authorId="0" ref="H2">
      <text>
        <t xml:space="preserve">Desbroce arbustivo/cañas con recogida de restos</t>
      </text>
    </comment>
    <comment authorId="0" ref="J2">
      <text>
        <t xml:space="preserve">TALAS/PODAS DIÁMETRO &lt;25CM SIN DIFICULTAD con Tensión</t>
      </text>
    </comment>
    <comment authorId="0" ref="K2">
      <text>
        <t xml:space="preserve">TALA O PODA DE ÁRBOL AISLADO SIN ESPECIAL DIFICULTAD DE DIÁMETRO 25-100 CM.
</t>
      </text>
    </comment>
    <comment authorId="0" ref="L2">
      <text>
        <t xml:space="preserve">TALA O PODA DE ÁRBOL, EN GRUPOS DE 2 O MÁS, SIN ESPECIAL DIFICULTAD DE DIÁMETRO 25-100 CM</t>
      </text>
    </comment>
    <comment authorId="0" ref="M2">
      <text>
        <t xml:space="preserve">TALA O PODA DE ÁRBOL AISLADO SIN ESPECIAL DIFICULTAD DE DIÁMETRO SUPERIOR A 100 CM.</t>
      </text>
    </comment>
    <comment authorId="0" ref="N2">
      <text>
        <t xml:space="preserve">TALA O PODA DE ÁRBOL, EN GRUPOS DE DOS O MÁS, SIN ESPECIAL DIFICULTAD DE DIÁMETRO SUPERIOR A 100 CM</t>
      </text>
    </comment>
    <comment authorId="0" ref="O2">
      <text>
        <t xml:space="preserve">TALA ÁRBOL ESPECIAL DIFICULTAD SIN CORTE TENSIÓN</t>
      </text>
    </comment>
    <comment authorId="0" ref="P2">
      <text>
        <t xml:space="preserve">TALA ÁRBOL ESPECIAL DIFICULTAD CON CORTE TENSIÓN</t>
      </text>
    </comment>
    <comment authorId="0" ref="Q2">
      <text>
        <t xml:space="preserve">TALAS ÁRBOLES ESPECIAL DIFICULTAD SIN CORTE TENSIÓN</t>
      </text>
    </comment>
    <comment authorId="0" ref="R2">
      <text>
        <t xml:space="preserve">TALAS ÁRBOLES ESPECIAL DIFICULTAD CON CORTE TENSIÓN</t>
      </text>
    </comment>
    <comment authorId="0" ref="S2">
      <text>
        <t xml:space="preserve">PODA ÁRBOL ESPECIAL DIFICULTAD SIN CORTE TENSIÓN</t>
      </text>
    </comment>
    <comment authorId="0" ref="T2">
      <text>
        <t xml:space="preserve">PODA ÁRBOL ESPECIAL DIFICULTAD CON CORTE TENSIÓN</t>
      </text>
    </comment>
    <comment authorId="0" ref="U2">
      <text>
        <t xml:space="preserve">PODAS ÁRBOLES ESPECIAL DIFICULTAD SIN CORTE TENSIÓN</t>
      </text>
    </comment>
    <comment authorId="0" ref="V2">
      <text>
        <t xml:space="preserve">PODAS ÁRBOLES ESPECIAL DIFICULTAD CON CORTE TENSIÓN</t>
      </text>
    </comment>
    <comment authorId="0" ref="W2">
      <text>
        <t xml:space="preserve">TRATAM. FITOSANITARIO TOCONES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Desbroce herbáceo con recogida de restos</t>
      </text>
    </comment>
    <comment authorId="0" ref="H2">
      <text>
        <t xml:space="preserve">Desbroce arbustivo/cañas con recogida de restos</t>
      </text>
    </comment>
    <comment authorId="0" ref="J2">
      <text>
        <t xml:space="preserve">TALAS/PODAS DIÁMETRO &lt;25CM SIN DIFICULTAD con Tensión</t>
      </text>
    </comment>
    <comment authorId="0" ref="K2">
      <text>
        <t xml:space="preserve">TALA O PODA DE ÁRBOL AISLADO SIN ESPECIAL DIFICULTAD DE DIÁMETRO 25-100 CM.
</t>
      </text>
    </comment>
    <comment authorId="0" ref="L2">
      <text>
        <t xml:space="preserve">TALA O PODA DE ÁRBOL, EN GRUPOS DE 2 O MÁS, SIN ESPECIAL DIFICULTAD DE DIÁMETRO 25-100 CM</t>
      </text>
    </comment>
    <comment authorId="0" ref="M2">
      <text>
        <t xml:space="preserve">TALA O PODA DE ÁRBOL AISLADO SIN ESPECIAL DIFICULTAD DE DIÁMETRO SUPERIOR A 100 CM.</t>
      </text>
    </comment>
    <comment authorId="0" ref="N2">
      <text>
        <t xml:space="preserve">TALA O PODA DE ÁRBOL, EN GRUPOS DE DOS O MÁS, SIN ESPECIAL DIFICULTAD DE DIÁMETRO SUPERIOR A 100 CM</t>
      </text>
    </comment>
    <comment authorId="0" ref="O2">
      <text>
        <t xml:space="preserve">TALA ÁRBOL ESPECIAL DIFICULTAD SIN CORTE TENSIÓN</t>
      </text>
    </comment>
    <comment authorId="0" ref="P2">
      <text>
        <t xml:space="preserve">TALA ÁRBOL ESPECIAL DIFICULTAD CON CORTE TENSIÓN</t>
      </text>
    </comment>
    <comment authorId="0" ref="Q2">
      <text>
        <t xml:space="preserve">TALAS ÁRBOLES ESPECIAL DIFICULTAD SIN CORTE TENSIÓN</t>
      </text>
    </comment>
    <comment authorId="0" ref="R2">
      <text>
        <t xml:space="preserve">TALAS ÁRBOLES ESPECIAL DIFICULTAD CON CORTE TENSIÓN</t>
      </text>
    </comment>
    <comment authorId="0" ref="S2">
      <text>
        <t xml:space="preserve">PODA ÁRBOL ESPECIAL DIFICULTAD SIN CORTE TENSIÓN</t>
      </text>
    </comment>
    <comment authorId="0" ref="T2">
      <text>
        <t xml:space="preserve">PODA ÁRBOL ESPECIAL DIFICULTAD CON CORTE TENSIÓN</t>
      </text>
    </comment>
    <comment authorId="0" ref="U2">
      <text>
        <t xml:space="preserve">PODAS ÁRBOLES ESPECIAL DIFICULTAD SIN CORTE TENSIÓN</t>
      </text>
    </comment>
    <comment authorId="0" ref="V2">
      <text>
        <t xml:space="preserve">PODAS ÁRBOLES ESPECIAL DIFICULTAD CON CORTE TENSIÓN</t>
      </text>
    </comment>
    <comment authorId="0" ref="W2">
      <text>
        <t xml:space="preserve">TRATAM. FITOSANITARIO TOCONES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Desbroce herbáceo con recogida de restos</t>
      </text>
    </comment>
    <comment authorId="0" ref="H2">
      <text>
        <t xml:space="preserve">Desbroce arbustivo/cañas con recogida de restos</t>
      </text>
    </comment>
    <comment authorId="0" ref="J2">
      <text>
        <t xml:space="preserve">TALAS/PODAS DIÁMETRO &lt;25CM SIN DIFICULTAD con Tensión</t>
      </text>
    </comment>
    <comment authorId="0" ref="K2">
      <text>
        <t xml:space="preserve">TALA O PODA DE ÁRBOL AISLADO SIN ESPECIAL DIFICULTAD DE DIÁMETRO 25-100 CM.
</t>
      </text>
    </comment>
    <comment authorId="0" ref="L2">
      <text>
        <t xml:space="preserve">TALA O PODA DE ÁRBOL, EN GRUPOS DE 2 O MÁS, SIN ESPECIAL DIFICULTAD DE DIÁMETRO 25-100 CM</t>
      </text>
    </comment>
    <comment authorId="0" ref="M2">
      <text>
        <t xml:space="preserve">TALA O PODA DE ÁRBOL AISLADO SIN ESPECIAL DIFICULTAD DE DIÁMETRO SUPERIOR A 100 CM.</t>
      </text>
    </comment>
    <comment authorId="0" ref="N2">
      <text>
        <t xml:space="preserve">TALA O PODA DE ÁRBOL, EN GRUPOS DE DOS O MÁS, SIN ESPECIAL DIFICULTAD DE DIÁMETRO SUPERIOR A 100 CM</t>
      </text>
    </comment>
    <comment authorId="0" ref="O2">
      <text>
        <t xml:space="preserve">TALA ÁRBOL ESPECIAL DIFICULTAD SIN CORTE TENSIÓN</t>
      </text>
    </comment>
    <comment authorId="0" ref="P2">
      <text>
        <t xml:space="preserve">TALA ÁRBOL ESPECIAL DIFICULTAD CON CORTE TENSIÓN</t>
      </text>
    </comment>
    <comment authorId="0" ref="Q2">
      <text>
        <t xml:space="preserve">TALAS ÁRBOLES ESPECIAL DIFICULTAD SIN CORTE TENSIÓN</t>
      </text>
    </comment>
    <comment authorId="0" ref="R2">
      <text>
        <t xml:space="preserve">TALAS ÁRBOLES ESPECIAL DIFICULTAD CON CORTE TENSIÓN</t>
      </text>
    </comment>
    <comment authorId="0" ref="S2">
      <text>
        <t xml:space="preserve">PODA ÁRBOL ESPECIAL DIFICULTAD SIN CORTE TENSIÓN</t>
      </text>
    </comment>
    <comment authorId="0" ref="T2">
      <text>
        <t xml:space="preserve">PODA ÁRBOL ESPECIAL DIFICULTAD CON CORTE TENSIÓN</t>
      </text>
    </comment>
    <comment authorId="0" ref="U2">
      <text>
        <t xml:space="preserve">PODAS ÁRBOLES ESPECIAL DIFICULTAD SIN CORTE TENSIÓN</t>
      </text>
    </comment>
    <comment authorId="0" ref="V2">
      <text>
        <t xml:space="preserve">PODAS ÁRBOLES ESPECIAL DIFICULTAD CON CORTE TENSIÓN</t>
      </text>
    </comment>
    <comment authorId="0" ref="W2">
      <text>
        <t xml:space="preserve">TRATAM. FITOSANITARIO TOCONES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Desbroce herbáceo con recogida de restos</t>
      </text>
    </comment>
    <comment authorId="0" ref="H2">
      <text>
        <t xml:space="preserve">Desbroce arbustivo/cañas con recogida de restos</t>
      </text>
    </comment>
    <comment authorId="0" ref="J2">
      <text>
        <t xml:space="preserve">TALAS/PODAS DIÁMETRO &lt;25CM SIN DIFICULTAD con Tensión</t>
      </text>
    </comment>
    <comment authorId="0" ref="K2">
      <text>
        <t xml:space="preserve">TALA O PODA DE ÁRBOL AISLADO SIN ESPECIAL DIFICULTAD DE DIÁMETRO 25-100 CM.
</t>
      </text>
    </comment>
    <comment authorId="0" ref="L2">
      <text>
        <t xml:space="preserve">TALA O PODA DE ÁRBOL, EN GRUPOS DE 2 O MÁS, SIN ESPECIAL DIFICULTAD DE DIÁMETRO 25-100 CM</t>
      </text>
    </comment>
    <comment authorId="0" ref="M2">
      <text>
        <t xml:space="preserve">TALA O PODA DE ÁRBOL AISLADO SIN ESPECIAL DIFICULTAD DE DIÁMETRO SUPERIOR A 100 CM.</t>
      </text>
    </comment>
    <comment authorId="0" ref="N2">
      <text>
        <t xml:space="preserve">TALA O PODA DE ÁRBOL, EN GRUPOS DE DOS O MÁS, SIN ESPECIAL DIFICULTAD DE DIÁMETRO SUPERIOR A 100 CM</t>
      </text>
    </comment>
    <comment authorId="0" ref="O2">
      <text>
        <t xml:space="preserve">TALA ÁRBOL ESPECIAL DIFICULTAD SIN CORTE TENSIÓN</t>
      </text>
    </comment>
    <comment authorId="0" ref="P2">
      <text>
        <t xml:space="preserve">TALA ÁRBOL ESPECIAL DIFICULTAD CON CORTE TENSIÓN</t>
      </text>
    </comment>
    <comment authorId="0" ref="Q2">
      <text>
        <t xml:space="preserve">TALAS ÁRBOLES ESPECIAL DIFICULTAD SIN CORTE TENSIÓN</t>
      </text>
    </comment>
    <comment authorId="0" ref="R2">
      <text>
        <t xml:space="preserve">TALAS ÁRBOLES ESPECIAL DIFICULTAD CON CORTE TENSIÓN</t>
      </text>
    </comment>
    <comment authorId="0" ref="S2">
      <text>
        <t xml:space="preserve">PODA ÁRBOL ESPECIAL DIFICULTAD SIN CORTE TENSIÓN</t>
      </text>
    </comment>
    <comment authorId="0" ref="T2">
      <text>
        <t xml:space="preserve">PODA ÁRBOL ESPECIAL DIFICULTAD CON CORTE TENSIÓN</t>
      </text>
    </comment>
    <comment authorId="0" ref="U2">
      <text>
        <t xml:space="preserve">PODAS ÁRBOLES ESPECIAL DIFICULTAD SIN CORTE TENSIÓN</t>
      </text>
    </comment>
    <comment authorId="0" ref="V2">
      <text>
        <t xml:space="preserve">PODAS ÁRBOLES ESPECIAL DIFICULTAD CON CORTE TENSIÓN</t>
      </text>
    </comment>
    <comment authorId="0" ref="W2">
      <text>
        <t xml:space="preserve">TRATAM. FITOSANITARIO TOCONES</t>
      </text>
    </comment>
  </commentList>
</comments>
</file>

<file path=xl/sharedStrings.xml><?xml version="1.0" encoding="utf-8"?>
<sst xmlns="http://schemas.openxmlformats.org/spreadsheetml/2006/main" count="562" uniqueCount="153">
  <si>
    <t>RECOGIDA</t>
  </si>
  <si>
    <t>LÍNEA TALA</t>
  </si>
  <si>
    <t xml:space="preserve">TRAYECTO TALA </t>
  </si>
  <si>
    <t>PK</t>
  </si>
  <si>
    <t>DÍA</t>
  </si>
  <si>
    <t>P5/P7</t>
  </si>
  <si>
    <t xml:space="preserve">P6
</t>
  </si>
  <si>
    <r>
      <rPr>
        <rFont val="Arial"/>
        <b/>
        <color theme="1"/>
      </rPr>
      <t xml:space="preserve">P8
</t>
    </r>
    <r>
      <rPr>
        <rFont val="Arial"/>
        <b/>
        <color theme="1"/>
        <sz val="7.0"/>
      </rPr>
      <t>RECOGIDA</t>
    </r>
  </si>
  <si>
    <t>P10</t>
  </si>
  <si>
    <t>P11</t>
  </si>
  <si>
    <t>P12</t>
  </si>
  <si>
    <t>P13</t>
  </si>
  <si>
    <t>P14</t>
  </si>
  <si>
    <t>P15 - P17</t>
  </si>
  <si>
    <t xml:space="preserve">P18 - P20
</t>
  </si>
  <si>
    <t xml:space="preserve">P21 - P23
</t>
  </si>
  <si>
    <t>P25</t>
  </si>
  <si>
    <t xml:space="preserve">P27 - P29
</t>
  </si>
  <si>
    <t xml:space="preserve">P30 - P32
</t>
  </si>
  <si>
    <t xml:space="preserve">P33 - P35
</t>
  </si>
  <si>
    <t xml:space="preserve">P36 - P38
</t>
  </si>
  <si>
    <t xml:space="preserve">P39
</t>
  </si>
  <si>
    <t>UNIDADES</t>
  </si>
  <si>
    <t>TOTAL</t>
  </si>
  <si>
    <t>Acumulado ciclo facturación</t>
  </si>
  <si>
    <t>MEDIA / DÍA</t>
  </si>
  <si>
    <t>L222</t>
  </si>
  <si>
    <t>MONTCADA - STA PERPETUA</t>
  </si>
  <si>
    <t>356+200</t>
  </si>
  <si>
    <t>12+100</t>
  </si>
  <si>
    <t>10+000</t>
  </si>
  <si>
    <t>Lluvia</t>
  </si>
  <si>
    <t>12+400</t>
  </si>
  <si>
    <t>MOLLET - STA ROSA</t>
  </si>
  <si>
    <t>17+500</t>
  </si>
  <si>
    <t>Arrollamiento, imposible entrar</t>
  </si>
  <si>
    <t>17+100</t>
  </si>
  <si>
    <t>LÍNEA</t>
  </si>
  <si>
    <t>TRAYECTO</t>
  </si>
  <si>
    <t>P5/P7 + P8</t>
  </si>
  <si>
    <t xml:space="preserve">P6+ P8
</t>
  </si>
  <si>
    <t>STA PERPÈTUA DE MOGODA + DENUNCIA 63 MOLLET</t>
  </si>
  <si>
    <t>15+100</t>
  </si>
  <si>
    <t xml:space="preserve">STA PERPÈTUA DE MOGODA </t>
  </si>
  <si>
    <t>15+000</t>
  </si>
  <si>
    <t>MEDIA/DÍA</t>
  </si>
  <si>
    <t>14+400</t>
  </si>
  <si>
    <t>18+400</t>
  </si>
  <si>
    <t>18+700</t>
  </si>
  <si>
    <t>ESTAC. MANRESA + MANRESA - CASTELLGALÍ</t>
  </si>
  <si>
    <t>VEHÍCULO AVERIADO</t>
  </si>
  <si>
    <t>RECOGIDA MONTCADA</t>
  </si>
  <si>
    <t>P8</t>
  </si>
  <si>
    <t>JORNAL
PILOTO</t>
  </si>
  <si>
    <t>RECOG LEÑA</t>
  </si>
  <si>
    <t>LLUVIA</t>
  </si>
  <si>
    <t>P6</t>
  </si>
  <si>
    <t>Cambio puntual a L200</t>
  </si>
  <si>
    <t>BAJA PILOTO DANIEL MOLINA. SE JUNTAN EL L276</t>
  </si>
  <si>
    <t>L200</t>
  </si>
  <si>
    <t>L200 EST.FRANÇA</t>
  </si>
  <si>
    <t>L238</t>
  </si>
  <si>
    <t>CAN TUNIS</t>
  </si>
  <si>
    <t>OPERARIOS</t>
  </si>
  <si>
    <t>JORNAL PS</t>
  </si>
  <si>
    <t>L276</t>
  </si>
  <si>
    <t>Maçanet-Massanes a Hospitalet de Llobregat</t>
  </si>
  <si>
    <t>FESTIVO</t>
  </si>
  <si>
    <t>Estación Mataró</t>
  </si>
  <si>
    <t>Mataró - Cabrera de Mar</t>
  </si>
  <si>
    <t>Sant Vicenç - Pineda</t>
  </si>
  <si>
    <t>Madrid Chamartín -Barcelona estació de frança</t>
  </si>
  <si>
    <t xml:space="preserve">Roda de bera a Estació Roda de bera			</t>
  </si>
  <si>
    <t>Roda de Barà - Salomó</t>
  </si>
  <si>
    <t>CUADRILLAS JUNTAS</t>
  </si>
  <si>
    <t>L624</t>
  </si>
  <si>
    <t>Tarragona mercaderias</t>
  </si>
  <si>
    <t>P4</t>
  </si>
  <si>
    <t>JORNAL
PS</t>
  </si>
  <si>
    <t>Tarragona Mercaderias</t>
  </si>
  <si>
    <t>L220</t>
  </si>
  <si>
    <t>Apeadero Rajadell / Anglesola</t>
  </si>
  <si>
    <t>Bellpuig / Castellnou de Seana</t>
  </si>
  <si>
    <t>Golomés / Bell-lloc</t>
  </si>
  <si>
    <t>Bell-Lloc</t>
  </si>
  <si>
    <t>Pla de Vilanoveta</t>
  </si>
  <si>
    <t>L230</t>
  </si>
  <si>
    <t>Reus - Alcover</t>
  </si>
  <si>
    <t xml:space="preserve">Alcover y Estación Alcover			</t>
  </si>
  <si>
    <t xml:space="preserve">Alcover a Plana picamoxons			</t>
  </si>
  <si>
    <t>Alcover a Plana picamoxons</t>
  </si>
  <si>
    <t xml:space="preserve">Alcover a Plana picamoxons y Estacio plana picamoixons			</t>
  </si>
  <si>
    <t xml:space="preserve">Plana picamoxons y trayecto a st Vicenç calders			</t>
  </si>
  <si>
    <t>Plana picamoxons a st Vicenç calders</t>
  </si>
  <si>
    <t xml:space="preserve">picamoxons a Valls y Estacion Valls			</t>
  </si>
  <si>
    <t xml:space="preserve">Estacion Valls			</t>
  </si>
  <si>
    <t xml:space="preserve">Ausencia </t>
  </si>
  <si>
    <t>ESTACION VALLS</t>
  </si>
  <si>
    <t>ESTACION VALLS y trayecto a St V.Calders</t>
  </si>
  <si>
    <t>Castell de montornes denuncia 131</t>
  </si>
  <si>
    <t xml:space="preserve">Cuadrillas Manzer juntas </t>
  </si>
  <si>
    <t>EL VENDRELL DENUNCIA 128</t>
  </si>
  <si>
    <t>Estacion Salomo y de Salomo a Nulles</t>
  </si>
  <si>
    <t>VACACIONES</t>
  </si>
  <si>
    <t>L240</t>
  </si>
  <si>
    <t xml:space="preserve">P21 - P23
</t>
  </si>
  <si>
    <t>L270</t>
  </si>
  <si>
    <t>MOLLET - LLAGOSTA</t>
  </si>
  <si>
    <t>LA GRANADA</t>
  </si>
  <si>
    <t>FESTIVO COMSA</t>
  </si>
  <si>
    <t xml:space="preserve"> ESTACION DE LOS MONJOS</t>
  </si>
  <si>
    <t xml:space="preserve">AUSENCIA PILOTO POR RECON. MÉDICO + JUAN VERDUN TREN HERBICIDA  </t>
  </si>
  <si>
    <t xml:space="preserve">JUAN VERDUN TREN HERBICIDA </t>
  </si>
  <si>
    <t>P5</t>
  </si>
  <si>
    <t xml:space="preserve">P7
</t>
  </si>
  <si>
    <t>Ud.</t>
  </si>
  <si>
    <t>COD</t>
  </si>
  <si>
    <t>CONCEPTO</t>
  </si>
  <si>
    <t>IMPORTE</t>
  </si>
  <si>
    <t>m2</t>
  </si>
  <si>
    <t>Desbroce herbáceo con recogida de restos</t>
  </si>
  <si>
    <t>P6+ P8</t>
  </si>
  <si>
    <t>Desbroce arbustivo/cañas con recogida de restos</t>
  </si>
  <si>
    <t>P9 - P10</t>
  </si>
  <si>
    <t>🔗</t>
  </si>
  <si>
    <t>TALAS/PODAS DIÁMETRO &lt;25CM SIN DIFICULTAD</t>
  </si>
  <si>
    <t>P11 - P12</t>
  </si>
  <si>
    <t>TALAS/PODAS DIÁMETRO 25CM - 100CM SIN DIFICULTAD</t>
  </si>
  <si>
    <t>P13 - P14</t>
  </si>
  <si>
    <t>TALAS/PODAS DIÁMETRO 100CM SIN DIFICULTAD</t>
  </si>
  <si>
    <t>TALA ÁRBOL ESPECIAL DIFICULTAD SIN CORTE TENSIÓN</t>
  </si>
  <si>
    <t>P18 - P20</t>
  </si>
  <si>
    <t>⚡</t>
  </si>
  <si>
    <t>TALA ÁRBOL ESPECIAL DIFICULTAD CON CORTE TENSIÓN</t>
  </si>
  <si>
    <t>P21 - P23</t>
  </si>
  <si>
    <t>TALAS ÁRBOLES ESPECIAL DIFICULTAD SIN CORTE TENSIÓN</t>
  </si>
  <si>
    <t>P24 - P26</t>
  </si>
  <si>
    <t>TALAS ÁRBOLES ESPECIAL DIFICULTAD CON CORTE TENSIÓN</t>
  </si>
  <si>
    <t>P27 - P29</t>
  </si>
  <si>
    <t>PODA ÁRBOL ESPECIAL DIFICULTAD SIN CORTE TENSIÓN</t>
  </si>
  <si>
    <t>P30 - P32</t>
  </si>
  <si>
    <t>PODA ÁRBOL ESPECIAL DIFICULTAD CON CORTE TENSIÓN</t>
  </si>
  <si>
    <t>P33 - P35</t>
  </si>
  <si>
    <t>PODAS ÁRBOLES ESPECIAL DIFICULTAD SIN CORTE TENSIÓN</t>
  </si>
  <si>
    <t>P36 - P38</t>
  </si>
  <si>
    <t>PODAS ÁRBOLES ESPECIAL DIFICULTAD CON CORTE TENSIÓN</t>
  </si>
  <si>
    <t>P39</t>
  </si>
  <si>
    <t>TRATAM. FITOSANITARIO TOCONES</t>
  </si>
  <si>
    <t>P40</t>
  </si>
  <si>
    <t>!</t>
  </si>
  <si>
    <t>Jornal</t>
  </si>
  <si>
    <t xml:space="preserve">Personal seguridad </t>
  </si>
  <si>
    <t>PILOTO DE SEGURIDAD HABILITADO PARA CONCEDER TRABAJOS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</si>
</sst>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b/>
      <color theme="1"/>
      <name val="Arial"/>
    </font>
    <font>
      <color theme="1"/>
      <name val="Arial"/>
    </font>
    <font>
      <sz val="9.0"/>
      <color rgb="FF000000"/>
      <name val="Arial"/>
      <scheme val="minor"/>
    </font>
    <font>
      <color rgb="FF000000"/>
      <name val="'Times New Roman'"/>
    </font>
    <font>
      <color rgb="FF000000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b/>
      <color rgb="FFFF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4" fontId="5" numFmtId="0" xfId="0" applyAlignment="1" applyBorder="1" applyFill="1" applyFont="1">
      <alignment vertical="bottom"/>
    </xf>
    <xf borderId="1" fillId="4" fontId="5" numFmtId="0" xfId="0" applyAlignment="1" applyBorder="1" applyFont="1">
      <alignment horizontal="right" vertical="bottom"/>
    </xf>
    <xf borderId="4" fillId="4" fontId="5" numFmtId="0" xfId="0" applyAlignment="1" applyBorder="1" applyFont="1">
      <alignment horizontal="right" vertical="bottom"/>
    </xf>
    <xf borderId="1" fillId="4" fontId="5" numFmtId="0" xfId="0" applyAlignment="1" applyBorder="1" applyFont="1">
      <alignment horizontal="right" vertical="bottom"/>
    </xf>
    <xf borderId="0" fillId="0" fontId="1" numFmtId="0" xfId="0" applyAlignment="1" applyFont="1">
      <alignment horizontal="center" readingOrder="0"/>
    </xf>
    <xf borderId="1" fillId="5" fontId="2" numFmtId="0" xfId="0" applyAlignment="1" applyBorder="1" applyFill="1" applyFont="1">
      <alignment readingOrder="0"/>
    </xf>
    <xf borderId="1" fillId="0" fontId="1" numFmtId="0" xfId="0" applyBorder="1" applyFont="1"/>
    <xf borderId="3" fillId="0" fontId="1" numFmtId="0" xfId="0" applyAlignment="1" applyBorder="1" applyFont="1">
      <alignment horizontal="center"/>
    </xf>
    <xf borderId="1" fillId="3" fontId="1" numFmtId="0" xfId="0" applyAlignment="1" applyBorder="1" applyFont="1">
      <alignment readingOrder="0"/>
    </xf>
    <xf borderId="3" fillId="0" fontId="1" numFmtId="0" xfId="0" applyBorder="1" applyFont="1"/>
    <xf borderId="1" fillId="4" fontId="5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center"/>
    </xf>
    <xf borderId="1" fillId="4" fontId="5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readingOrder="0"/>
    </xf>
    <xf borderId="5" fillId="0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3" fillId="0" fontId="1" numFmtId="0" xfId="0" applyBorder="1" applyFont="1"/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6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5" fontId="5" numFmtId="0" xfId="0" applyAlignment="1" applyBorder="1" applyFont="1">
      <alignment vertical="bottom"/>
    </xf>
    <xf borderId="1" fillId="5" fontId="5" numFmtId="0" xfId="0" applyAlignment="1" applyBorder="1" applyFont="1">
      <alignment horizontal="right" vertical="bottom"/>
    </xf>
    <xf borderId="4" fillId="5" fontId="5" numFmtId="0" xfId="0" applyAlignment="1" applyBorder="1" applyFont="1">
      <alignment horizontal="right" vertical="bottom"/>
    </xf>
    <xf borderId="1" fillId="5" fontId="5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6" fontId="5" numFmtId="0" xfId="0" applyAlignment="1" applyBorder="1" applyFill="1" applyFont="1">
      <alignment vertical="bottom"/>
    </xf>
    <xf borderId="1" fillId="6" fontId="5" numFmtId="0" xfId="0" applyAlignment="1" applyBorder="1" applyFont="1">
      <alignment horizontal="right" vertical="bottom"/>
    </xf>
    <xf borderId="1" fillId="6" fontId="5" numFmtId="0" xfId="0" applyAlignment="1" applyBorder="1" applyFont="1">
      <alignment horizontal="right" vertical="bottom"/>
    </xf>
    <xf borderId="4" fillId="6" fontId="5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2" fillId="6" fontId="5" numFmtId="0" xfId="0" applyAlignment="1" applyBorder="1" applyFont="1">
      <alignment vertical="bottom"/>
    </xf>
    <xf borderId="2" fillId="6" fontId="5" numFmtId="0" xfId="0" applyAlignment="1" applyBorder="1" applyFont="1">
      <alignment horizontal="right" vertical="bottom"/>
    </xf>
    <xf borderId="2" fillId="6" fontId="5" numFmtId="0" xfId="0" applyAlignment="1" applyBorder="1" applyFont="1">
      <alignment horizontal="right" vertical="bottom"/>
    </xf>
    <xf borderId="3" fillId="6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1" fillId="7" fontId="5" numFmtId="0" xfId="0" applyAlignment="1" applyBorder="1" applyFill="1" applyFont="1">
      <alignment vertical="bottom"/>
    </xf>
    <xf borderId="1" fillId="7" fontId="5" numFmtId="0" xfId="0" applyAlignment="1" applyBorder="1" applyFont="1">
      <alignment horizontal="right" vertical="bottom"/>
    </xf>
    <xf borderId="4" fillId="7" fontId="5" numFmtId="0" xfId="0" applyAlignment="1" applyBorder="1" applyFont="1">
      <alignment horizontal="right" vertical="bottom"/>
    </xf>
    <xf borderId="1" fillId="7" fontId="5" numFmtId="0" xfId="0" applyAlignment="1" applyBorder="1" applyFont="1">
      <alignment horizontal="right" vertical="bottom"/>
    </xf>
    <xf borderId="3" fillId="0" fontId="3" numFmtId="0" xfId="0" applyAlignment="1" applyBorder="1" applyFont="1">
      <alignment readingOrder="0"/>
    </xf>
    <xf borderId="1" fillId="3" fontId="2" numFmtId="0" xfId="0" applyAlignment="1" applyBorder="1" applyFont="1">
      <alignment readingOrder="0" vertical="center"/>
    </xf>
    <xf borderId="1" fillId="7" fontId="5" numFmtId="0" xfId="0" applyAlignment="1" applyBorder="1" applyFont="1">
      <alignment horizontal="right" readingOrder="0" vertical="bottom"/>
    </xf>
    <xf borderId="5" fillId="0" fontId="6" numFmtId="0" xfId="0" applyAlignment="1" applyBorder="1" applyFont="1">
      <alignment readingOrder="0"/>
    </xf>
    <xf borderId="3" fillId="0" fontId="5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horizontal="right" readingOrder="0" vertical="bottom"/>
    </xf>
    <xf borderId="1" fillId="6" fontId="5" numFmtId="0" xfId="0" applyAlignment="1" applyBorder="1" applyFont="1">
      <alignment readingOrder="0" vertical="bottom"/>
    </xf>
    <xf borderId="1" fillId="3" fontId="9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vertical="bottom"/>
    </xf>
    <xf borderId="4" fillId="6" fontId="5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horizontal="right" vertical="bottom"/>
    </xf>
    <xf borderId="4" fillId="3" fontId="5" numFmtId="0" xfId="0" applyAlignment="1" applyBorder="1" applyFont="1">
      <alignment vertical="bottom"/>
    </xf>
    <xf borderId="4" fillId="3" fontId="5" numFmtId="0" xfId="0" applyAlignment="1" applyBorder="1" applyFont="1">
      <alignment horizontal="right" vertical="bottom"/>
    </xf>
    <xf borderId="1" fillId="3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1" fillId="8" fontId="5" numFmtId="0" xfId="0" applyAlignment="1" applyBorder="1" applyFill="1" applyFont="1">
      <alignment vertical="bottom"/>
    </xf>
    <xf borderId="1" fillId="8" fontId="5" numFmtId="0" xfId="0" applyAlignment="1" applyBorder="1" applyFont="1">
      <alignment horizontal="right" vertical="bottom"/>
    </xf>
    <xf borderId="4" fillId="8" fontId="5" numFmtId="0" xfId="0" applyAlignment="1" applyBorder="1" applyFont="1">
      <alignment horizontal="right" vertical="bottom"/>
    </xf>
    <xf borderId="1" fillId="8" fontId="5" numFmtId="0" xfId="0" applyAlignment="1" applyBorder="1" applyFont="1">
      <alignment horizontal="right" vertical="bottom"/>
    </xf>
    <xf borderId="1" fillId="7" fontId="5" numFmtId="0" xfId="0" applyAlignment="1" applyBorder="1" applyFont="1">
      <alignment readingOrder="0" vertical="bottom"/>
    </xf>
    <xf borderId="1" fillId="9" fontId="5" numFmtId="0" xfId="0" applyAlignment="1" applyBorder="1" applyFill="1" applyFont="1">
      <alignment vertical="bottom"/>
    </xf>
    <xf borderId="1" fillId="9" fontId="5" numFmtId="0" xfId="0" applyAlignment="1" applyBorder="1" applyFont="1">
      <alignment horizontal="right" vertical="bottom"/>
    </xf>
    <xf borderId="1" fillId="9" fontId="5" numFmtId="0" xfId="0" applyAlignment="1" applyBorder="1" applyFont="1">
      <alignment horizontal="right" vertical="bottom"/>
    </xf>
    <xf borderId="4" fillId="9" fontId="5" numFmtId="0" xfId="0" applyAlignment="1" applyBorder="1" applyFont="1">
      <alignment horizontal="right" vertical="bottom"/>
    </xf>
    <xf borderId="0" fillId="0" fontId="1" numFmtId="0" xfId="0" applyAlignment="1" applyFont="1">
      <alignment horizontal="center" readingOrder="0" vertical="center"/>
    </xf>
    <xf borderId="1" fillId="9" fontId="5" numFmtId="0" xfId="0" applyAlignment="1" applyBorder="1" applyFont="1">
      <alignment readingOrder="0" vertical="bottom"/>
    </xf>
    <xf borderId="5" fillId="0" fontId="7" numFmtId="0" xfId="0" applyAlignment="1" applyBorder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5" fillId="0" fontId="8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readingOrder="0"/>
    </xf>
    <xf borderId="1" fillId="11" fontId="5" numFmtId="0" xfId="0" applyAlignment="1" applyBorder="1" applyFill="1" applyFont="1">
      <alignment vertical="bottom"/>
    </xf>
    <xf borderId="1" fillId="11" fontId="5" numFmtId="0" xfId="0" applyAlignment="1" applyBorder="1" applyFont="1">
      <alignment horizontal="right" vertical="bottom"/>
    </xf>
    <xf borderId="1" fillId="11" fontId="5" numFmtId="0" xfId="0" applyAlignment="1" applyBorder="1" applyFont="1">
      <alignment readingOrder="0" vertical="bottom"/>
    </xf>
    <xf borderId="4" fillId="11" fontId="5" numFmtId="0" xfId="0" applyAlignment="1" applyBorder="1" applyFont="1">
      <alignment horizontal="right" vertical="bottom"/>
    </xf>
    <xf borderId="1" fillId="11" fontId="5" numFmtId="0" xfId="0" applyAlignment="1" applyBorder="1" applyFont="1">
      <alignment horizontal="right" vertical="bottom"/>
    </xf>
    <xf borderId="1" fillId="2" fontId="5" numFmtId="0" xfId="0" applyAlignment="1" applyBorder="1" applyFont="1">
      <alignment vertical="bottom"/>
    </xf>
    <xf borderId="1" fillId="2" fontId="5" numFmtId="0" xfId="0" applyAlignment="1" applyBorder="1" applyFont="1">
      <alignment horizontal="right" vertical="bottom"/>
    </xf>
    <xf borderId="1" fillId="2" fontId="5" numFmtId="0" xfId="0" applyAlignment="1" applyBorder="1" applyFont="1">
      <alignment readingOrder="0" vertical="bottom"/>
    </xf>
    <xf borderId="4" fillId="2" fontId="5" numFmtId="0" xfId="0" applyAlignment="1" applyBorder="1" applyFont="1">
      <alignment horizontal="right" vertical="bottom"/>
    </xf>
    <xf borderId="8" fillId="0" fontId="10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readingOrder="0"/>
    </xf>
    <xf borderId="1" fillId="2" fontId="5" numFmtId="0" xfId="0" applyAlignment="1" applyBorder="1" applyFont="1">
      <alignment horizontal="right" vertical="bottom"/>
    </xf>
    <xf borderId="1" fillId="12" fontId="5" numFmtId="0" xfId="0" applyAlignment="1" applyBorder="1" applyFill="1" applyFont="1">
      <alignment vertical="bottom"/>
    </xf>
    <xf borderId="1" fillId="12" fontId="5" numFmtId="0" xfId="0" applyAlignment="1" applyBorder="1" applyFont="1">
      <alignment horizontal="right" vertical="bottom"/>
    </xf>
    <xf borderId="1" fillId="12" fontId="5" numFmtId="0" xfId="0" applyAlignment="1" applyBorder="1" applyFont="1">
      <alignment readingOrder="0" vertical="bottom"/>
    </xf>
    <xf borderId="4" fillId="12" fontId="5" numFmtId="0" xfId="0" applyAlignment="1" applyBorder="1" applyFont="1">
      <alignment horizontal="right" vertical="bottom"/>
    </xf>
    <xf borderId="3" fillId="0" fontId="1" numFmtId="0" xfId="0" applyAlignment="1" applyBorder="1" applyFont="1">
      <alignment readingOrder="0"/>
    </xf>
    <xf borderId="3" fillId="0" fontId="10" numFmtId="0" xfId="0" applyAlignment="1" applyBorder="1" applyFont="1">
      <alignment horizontal="left" readingOrder="0" shrinkToFit="0" vertical="top" wrapText="1"/>
    </xf>
    <xf borderId="1" fillId="13" fontId="5" numFmtId="0" xfId="0" applyAlignment="1" applyBorder="1" applyFill="1" applyFont="1">
      <alignment vertical="bottom"/>
    </xf>
    <xf borderId="1" fillId="13" fontId="5" numFmtId="0" xfId="0" applyAlignment="1" applyBorder="1" applyFont="1">
      <alignment horizontal="right" vertical="bottom"/>
    </xf>
    <xf borderId="1" fillId="13" fontId="5" numFmtId="0" xfId="0" applyAlignment="1" applyBorder="1" applyFont="1">
      <alignment horizontal="right" vertical="bottom"/>
    </xf>
    <xf borderId="4" fillId="13" fontId="5" numFmtId="0" xfId="0" applyAlignment="1" applyBorder="1" applyFont="1">
      <alignment horizontal="right" vertical="bottom"/>
    </xf>
    <xf borderId="6" fillId="0" fontId="1" numFmtId="0" xfId="0" applyBorder="1" applyFont="1"/>
    <xf borderId="3" fillId="0" fontId="1" numFmtId="0" xfId="0" applyBorder="1" applyFont="1"/>
    <xf borderId="1" fillId="13" fontId="5" numFmtId="0" xfId="0" applyAlignment="1" applyBorder="1" applyFont="1">
      <alignment readingOrder="0" vertical="bottom"/>
    </xf>
    <xf borderId="1" fillId="10" fontId="5" numFmtId="0" xfId="0" applyAlignment="1" applyBorder="1" applyFont="1">
      <alignment vertical="bottom"/>
    </xf>
    <xf borderId="1" fillId="10" fontId="5" numFmtId="0" xfId="0" applyAlignment="1" applyBorder="1" applyFont="1">
      <alignment horizontal="right" vertical="bottom"/>
    </xf>
    <xf borderId="1" fillId="10" fontId="5" numFmtId="0" xfId="0" applyAlignment="1" applyBorder="1" applyFont="1">
      <alignment horizontal="right" vertical="bottom"/>
    </xf>
    <xf borderId="4" fillId="10" fontId="5" numFmtId="0" xfId="0" applyAlignment="1" applyBorder="1" applyFont="1">
      <alignment horizontal="right" vertical="bottom"/>
    </xf>
    <xf borderId="3" fillId="0" fontId="10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1" fillId="14" fontId="5" numFmtId="0" xfId="0" applyAlignment="1" applyBorder="1" applyFill="1" applyFont="1">
      <alignment horizontal="center" vertical="center"/>
    </xf>
    <xf borderId="1" fillId="14" fontId="5" numFmtId="0" xfId="0" applyAlignment="1" applyBorder="1" applyFont="1">
      <alignment horizontal="center" readingOrder="0" vertical="center"/>
    </xf>
    <xf borderId="4" fillId="14" fontId="5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center" readingOrder="0" vertical="center"/>
    </xf>
    <xf borderId="4" fillId="9" fontId="5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readingOrder="0" vertical="bottom"/>
    </xf>
    <xf borderId="0" fillId="0" fontId="1" numFmtId="0" xfId="0" applyFont="1"/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17.38"/>
    <col customWidth="1" min="4" max="4" width="33.0"/>
    <col customWidth="1" min="5" max="5" width="17.25"/>
    <col customWidth="1" min="6" max="6" width="4.38"/>
    <col customWidth="1" min="7" max="7" width="11.13"/>
    <col customWidth="1" min="8" max="9" width="9.38"/>
    <col customWidth="1" min="10" max="10" width="6.63"/>
    <col customWidth="1" min="11" max="11" width="6.38"/>
    <col customWidth="1" min="12" max="12" width="6.25"/>
    <col customWidth="1" min="13" max="13" width="6.63"/>
    <col customWidth="1" min="14" max="14" width="5.5"/>
    <col customWidth="1" min="15" max="17" width="9.38"/>
    <col customWidth="1" min="18" max="18" width="7.5"/>
    <col customWidth="1" min="19" max="22" width="9.38"/>
    <col customWidth="1" min="23" max="23" width="7.25"/>
    <col customWidth="1" min="25" max="25" width="7.63"/>
    <col customWidth="1" min="26" max="26" width="7.25"/>
    <col customWidth="1" min="27" max="27" width="25.13"/>
    <col customWidth="1" min="28" max="28" width="12.25"/>
    <col customWidth="1" min="29" max="29" width="3.0"/>
    <col customWidth="1" min="30" max="30" width="15.25"/>
    <col customWidth="1" min="31" max="31" width="11.25"/>
  </cols>
  <sheetData>
    <row r="1" ht="27.0" customHeight="1">
      <c r="B1" s="1"/>
      <c r="D1" s="1"/>
      <c r="E1" s="1"/>
      <c r="F1" s="2"/>
      <c r="Z1" s="1"/>
      <c r="AD1" s="3"/>
      <c r="AE1" s="4"/>
    </row>
    <row r="2" ht="30.0" customHeight="1">
      <c r="A2" s="5"/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9" t="s">
        <v>15</v>
      </c>
      <c r="R2" s="8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7" t="s">
        <v>22</v>
      </c>
      <c r="Y2" s="7" t="s">
        <v>23</v>
      </c>
      <c r="Z2" s="10"/>
      <c r="AA2" s="11"/>
      <c r="AB2" s="11"/>
      <c r="AC2" s="11"/>
      <c r="AD2" s="12"/>
      <c r="AE2" s="13"/>
      <c r="AF2" s="11"/>
      <c r="AG2" s="11"/>
      <c r="AH2" s="11"/>
      <c r="AI2" s="11"/>
      <c r="AJ2" s="11"/>
      <c r="AK2" s="11"/>
    </row>
    <row r="3">
      <c r="B3" s="14"/>
      <c r="C3" s="15"/>
      <c r="D3" s="16"/>
      <c r="E3" s="16"/>
      <c r="F3" s="17">
        <v>26.0</v>
      </c>
      <c r="G3" s="18"/>
      <c r="H3" s="18"/>
      <c r="I3" s="18"/>
      <c r="J3" s="19"/>
      <c r="K3" s="18"/>
      <c r="L3" s="18"/>
      <c r="M3" s="18"/>
      <c r="N3" s="18"/>
      <c r="O3" s="18"/>
      <c r="P3" s="18"/>
      <c r="Q3" s="18"/>
      <c r="R3" s="19"/>
      <c r="S3" s="18"/>
      <c r="T3" s="18"/>
      <c r="U3" s="18"/>
      <c r="V3" s="18"/>
      <c r="W3" s="18"/>
      <c r="X3" s="20">
        <f t="shared" ref="X3:X34" si="1">SUM(G3:W3)</f>
        <v>0</v>
      </c>
      <c r="Y3" s="21">
        <f t="shared" ref="Y3:Y20" si="2">SUM(G3*0.08)+(H3*0.14)+(J3*27)+(K3*40)+(M3*50)+(O3*350)+(P3*550)+(Q3*160)+(R3*200)+(S3*260)+(T3*330)+(U3*110)+(V3*120)+(W3*0.7)</f>
        <v>0</v>
      </c>
      <c r="Z3" s="22">
        <v>0.0</v>
      </c>
      <c r="AA3" s="23" t="s">
        <v>24</v>
      </c>
      <c r="AB3" s="24">
        <f>SUM(Y3:Y33)</f>
        <v>24103</v>
      </c>
      <c r="AD3" s="3"/>
      <c r="AE3" s="4"/>
    </row>
    <row r="4">
      <c r="B4" s="25"/>
      <c r="C4" s="15"/>
      <c r="D4" s="16"/>
      <c r="E4" s="16"/>
      <c r="F4" s="17">
        <v>27.0</v>
      </c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9"/>
      <c r="S4" s="18"/>
      <c r="T4" s="18"/>
      <c r="U4" s="18"/>
      <c r="V4" s="18"/>
      <c r="W4" s="18"/>
      <c r="X4" s="20">
        <f t="shared" si="1"/>
        <v>0</v>
      </c>
      <c r="Y4" s="21">
        <f t="shared" si="2"/>
        <v>0</v>
      </c>
      <c r="Z4" s="22">
        <v>0.0</v>
      </c>
      <c r="AD4" s="3"/>
      <c r="AE4" s="4"/>
    </row>
    <row r="5">
      <c r="B5" s="25"/>
      <c r="C5" s="15"/>
      <c r="D5" s="16"/>
      <c r="E5" s="16"/>
      <c r="F5" s="17">
        <v>28.0</v>
      </c>
      <c r="G5" s="18"/>
      <c r="H5" s="18"/>
      <c r="I5" s="18"/>
      <c r="J5" s="21"/>
      <c r="K5" s="18"/>
      <c r="L5" s="18"/>
      <c r="M5" s="18"/>
      <c r="N5" s="18"/>
      <c r="O5" s="18"/>
      <c r="P5" s="18"/>
      <c r="Q5" s="18"/>
      <c r="R5" s="19"/>
      <c r="S5" s="18"/>
      <c r="T5" s="18"/>
      <c r="U5" s="18"/>
      <c r="V5" s="18"/>
      <c r="W5" s="18"/>
      <c r="X5" s="20">
        <f t="shared" si="1"/>
        <v>0</v>
      </c>
      <c r="Y5" s="21">
        <f t="shared" si="2"/>
        <v>0</v>
      </c>
      <c r="Z5" s="22">
        <v>0.0</v>
      </c>
      <c r="AA5" s="26" t="s">
        <v>25</v>
      </c>
      <c r="AB5" s="24">
        <f>SUM((Y21+Y22+Y23+Y24+Y25+Y28+Y29+Y30+Y31+Y32+Y33)/(Z3+Z4+Z5+Z6+Z7+Z21+Z22+Z23+Z24+Z25+Z28+Z29+Z30+Z31+Z32+Z33))</f>
        <v>2410.3</v>
      </c>
      <c r="AD5" s="3"/>
      <c r="AE5" s="4"/>
    </row>
    <row r="6">
      <c r="B6" s="25"/>
      <c r="C6" s="15"/>
      <c r="D6" s="16"/>
      <c r="E6" s="16"/>
      <c r="F6" s="17">
        <v>29.0</v>
      </c>
      <c r="G6" s="18"/>
      <c r="H6" s="18"/>
      <c r="I6" s="18"/>
      <c r="J6" s="21"/>
      <c r="K6" s="21"/>
      <c r="L6" s="18"/>
      <c r="M6" s="18"/>
      <c r="N6" s="18"/>
      <c r="O6" s="18"/>
      <c r="P6" s="18"/>
      <c r="Q6" s="18"/>
      <c r="R6" s="19"/>
      <c r="S6" s="18"/>
      <c r="T6" s="18"/>
      <c r="U6" s="18"/>
      <c r="V6" s="18"/>
      <c r="W6" s="18"/>
      <c r="X6" s="20">
        <f t="shared" si="1"/>
        <v>0</v>
      </c>
      <c r="Y6" s="21">
        <f t="shared" si="2"/>
        <v>0</v>
      </c>
      <c r="Z6" s="22">
        <v>0.0</v>
      </c>
      <c r="AD6" s="3"/>
      <c r="AE6" s="4"/>
    </row>
    <row r="7">
      <c r="B7" s="25"/>
      <c r="C7" s="27"/>
      <c r="D7" s="25"/>
      <c r="E7" s="25"/>
      <c r="F7" s="17">
        <v>30.0</v>
      </c>
      <c r="G7" s="18"/>
      <c r="H7" s="18"/>
      <c r="I7" s="18"/>
      <c r="J7" s="21"/>
      <c r="K7" s="18"/>
      <c r="L7" s="18"/>
      <c r="M7" s="18"/>
      <c r="N7" s="18"/>
      <c r="O7" s="18"/>
      <c r="P7" s="18"/>
      <c r="Q7" s="18"/>
      <c r="R7" s="21"/>
      <c r="S7" s="28"/>
      <c r="T7" s="18"/>
      <c r="U7" s="18"/>
      <c r="V7" s="18"/>
      <c r="W7" s="18"/>
      <c r="X7" s="20">
        <f t="shared" si="1"/>
        <v>0</v>
      </c>
      <c r="Y7" s="21">
        <f t="shared" si="2"/>
        <v>0</v>
      </c>
      <c r="Z7" s="22">
        <v>0.0</v>
      </c>
      <c r="AD7" s="3"/>
      <c r="AE7" s="4"/>
    </row>
    <row r="8">
      <c r="B8" s="25"/>
      <c r="C8" s="27"/>
      <c r="D8" s="25"/>
      <c r="E8" s="25"/>
      <c r="F8" s="17">
        <v>31.0</v>
      </c>
      <c r="G8" s="18"/>
      <c r="H8" s="18"/>
      <c r="I8" s="18"/>
      <c r="J8" s="21"/>
      <c r="K8" s="21"/>
      <c r="L8" s="18"/>
      <c r="M8" s="18"/>
      <c r="N8" s="18"/>
      <c r="O8" s="18"/>
      <c r="P8" s="18"/>
      <c r="Q8" s="18"/>
      <c r="R8" s="19"/>
      <c r="S8" s="18"/>
      <c r="T8" s="18"/>
      <c r="U8" s="18"/>
      <c r="V8" s="18"/>
      <c r="W8" s="18"/>
      <c r="X8" s="20">
        <f t="shared" si="1"/>
        <v>0</v>
      </c>
      <c r="Y8" s="21">
        <f t="shared" si="2"/>
        <v>0</v>
      </c>
      <c r="Z8" s="22">
        <v>0.0</v>
      </c>
      <c r="AD8" s="3"/>
      <c r="AE8" s="4"/>
    </row>
    <row r="9">
      <c r="B9" s="25"/>
      <c r="C9" s="27"/>
      <c r="D9" s="25"/>
      <c r="E9" s="25"/>
      <c r="F9" s="17">
        <v>1.0</v>
      </c>
      <c r="G9" s="18"/>
      <c r="H9" s="18"/>
      <c r="I9" s="18"/>
      <c r="J9" s="19"/>
      <c r="K9" s="18"/>
      <c r="L9" s="18"/>
      <c r="M9" s="18"/>
      <c r="N9" s="18"/>
      <c r="O9" s="18"/>
      <c r="P9" s="18"/>
      <c r="Q9" s="18"/>
      <c r="R9" s="19"/>
      <c r="S9" s="18"/>
      <c r="T9" s="18"/>
      <c r="U9" s="18"/>
      <c r="V9" s="18"/>
      <c r="W9" s="18"/>
      <c r="X9" s="20">
        <f t="shared" si="1"/>
        <v>0</v>
      </c>
      <c r="Y9" s="21">
        <f t="shared" si="2"/>
        <v>0</v>
      </c>
      <c r="Z9" s="22">
        <v>0.0</v>
      </c>
      <c r="AA9" s="29"/>
      <c r="AD9" s="3"/>
      <c r="AE9" s="4"/>
    </row>
    <row r="10">
      <c r="B10" s="25"/>
      <c r="C10" s="27"/>
      <c r="D10" s="25"/>
      <c r="E10" s="25"/>
      <c r="F10" s="17">
        <v>2.0</v>
      </c>
      <c r="G10" s="18"/>
      <c r="H10" s="18"/>
      <c r="I10" s="18"/>
      <c r="J10" s="19"/>
      <c r="K10" s="18"/>
      <c r="L10" s="18"/>
      <c r="M10" s="18"/>
      <c r="N10" s="18"/>
      <c r="O10" s="18"/>
      <c r="P10" s="18"/>
      <c r="Q10" s="18"/>
      <c r="R10" s="30"/>
      <c r="S10" s="18"/>
      <c r="T10" s="18"/>
      <c r="U10" s="18"/>
      <c r="V10" s="18"/>
      <c r="W10" s="18"/>
      <c r="X10" s="20">
        <f t="shared" si="1"/>
        <v>0</v>
      </c>
      <c r="Y10" s="21">
        <f t="shared" si="2"/>
        <v>0</v>
      </c>
      <c r="Z10" s="22">
        <v>0.0</v>
      </c>
      <c r="AD10" s="3"/>
      <c r="AE10" s="4"/>
    </row>
    <row r="11">
      <c r="B11" s="25"/>
      <c r="C11" s="27"/>
      <c r="D11" s="25"/>
      <c r="E11" s="25"/>
      <c r="F11" s="17">
        <v>3.0</v>
      </c>
      <c r="G11" s="18"/>
      <c r="H11" s="18"/>
      <c r="I11" s="18"/>
      <c r="J11" s="21"/>
      <c r="K11" s="18"/>
      <c r="L11" s="18"/>
      <c r="M11" s="18"/>
      <c r="N11" s="18"/>
      <c r="O11" s="18"/>
      <c r="P11" s="18"/>
      <c r="Q11" s="18"/>
      <c r="R11" s="19"/>
      <c r="S11" s="18"/>
      <c r="T11" s="18"/>
      <c r="U11" s="18"/>
      <c r="V11" s="18"/>
      <c r="W11" s="18"/>
      <c r="X11" s="20">
        <f t="shared" si="1"/>
        <v>0</v>
      </c>
      <c r="Y11" s="21">
        <f t="shared" si="2"/>
        <v>0</v>
      </c>
      <c r="Z11" s="22">
        <v>0.0</v>
      </c>
      <c r="AD11" s="3"/>
      <c r="AE11" s="4"/>
    </row>
    <row r="12">
      <c r="B12" s="25"/>
      <c r="C12" s="31"/>
      <c r="D12" s="32"/>
      <c r="E12" s="33"/>
      <c r="F12" s="17">
        <v>4.0</v>
      </c>
      <c r="G12" s="18"/>
      <c r="H12" s="18"/>
      <c r="I12" s="18"/>
      <c r="J12" s="21"/>
      <c r="K12" s="21"/>
      <c r="L12" s="18"/>
      <c r="M12" s="18"/>
      <c r="N12" s="18"/>
      <c r="O12" s="18"/>
      <c r="P12" s="18"/>
      <c r="Q12" s="18"/>
      <c r="R12" s="19"/>
      <c r="S12" s="18"/>
      <c r="T12" s="28"/>
      <c r="U12" s="18"/>
      <c r="V12" s="18"/>
      <c r="W12" s="18"/>
      <c r="X12" s="20">
        <f t="shared" si="1"/>
        <v>0</v>
      </c>
      <c r="Y12" s="21">
        <f t="shared" si="2"/>
        <v>0</v>
      </c>
      <c r="Z12" s="22">
        <v>0.0</v>
      </c>
      <c r="AD12" s="3"/>
      <c r="AE12" s="4"/>
    </row>
    <row r="13">
      <c r="B13" s="25"/>
      <c r="C13" s="31"/>
      <c r="D13" s="32"/>
      <c r="E13" s="33"/>
      <c r="F13" s="17">
        <v>5.0</v>
      </c>
      <c r="G13" s="18"/>
      <c r="H13" s="18"/>
      <c r="I13" s="18"/>
      <c r="J13" s="21"/>
      <c r="K13" s="18"/>
      <c r="L13" s="18"/>
      <c r="M13" s="18"/>
      <c r="N13" s="18"/>
      <c r="O13" s="18"/>
      <c r="P13" s="18"/>
      <c r="Q13" s="18"/>
      <c r="R13" s="21"/>
      <c r="S13" s="18"/>
      <c r="T13" s="18"/>
      <c r="U13" s="18"/>
      <c r="V13" s="18"/>
      <c r="W13" s="18"/>
      <c r="X13" s="20">
        <f t="shared" si="1"/>
        <v>0</v>
      </c>
      <c r="Y13" s="21">
        <f t="shared" si="2"/>
        <v>0</v>
      </c>
      <c r="Z13" s="22">
        <v>0.0</v>
      </c>
      <c r="AD13" s="3"/>
      <c r="AE13" s="4"/>
    </row>
    <row r="14">
      <c r="B14" s="25"/>
      <c r="C14" s="34"/>
      <c r="D14" s="35"/>
      <c r="E14" s="36"/>
      <c r="F14" s="17">
        <v>6.0</v>
      </c>
      <c r="G14" s="18"/>
      <c r="H14" s="18"/>
      <c r="I14" s="18"/>
      <c r="J14" s="19"/>
      <c r="K14" s="18"/>
      <c r="L14" s="18"/>
      <c r="M14" s="18"/>
      <c r="N14" s="18"/>
      <c r="O14" s="18"/>
      <c r="P14" s="18"/>
      <c r="Q14" s="18"/>
      <c r="R14" s="19"/>
      <c r="S14" s="18"/>
      <c r="T14" s="18"/>
      <c r="U14" s="18"/>
      <c r="V14" s="18"/>
      <c r="W14" s="18"/>
      <c r="X14" s="20">
        <f t="shared" si="1"/>
        <v>0</v>
      </c>
      <c r="Y14" s="21">
        <f t="shared" si="2"/>
        <v>0</v>
      </c>
      <c r="Z14" s="22">
        <v>0.0</v>
      </c>
      <c r="AD14" s="3"/>
      <c r="AE14" s="4"/>
    </row>
    <row r="15">
      <c r="B15" s="25"/>
      <c r="C15" s="27"/>
      <c r="D15" s="37"/>
      <c r="E15" s="36"/>
      <c r="F15" s="17">
        <v>7.0</v>
      </c>
      <c r="G15" s="18"/>
      <c r="H15" s="18"/>
      <c r="I15" s="18"/>
      <c r="J15" s="21"/>
      <c r="K15" s="18"/>
      <c r="L15" s="18"/>
      <c r="M15" s="18"/>
      <c r="N15" s="18"/>
      <c r="O15" s="18"/>
      <c r="P15" s="18"/>
      <c r="Q15" s="18"/>
      <c r="R15" s="21"/>
      <c r="S15" s="18"/>
      <c r="T15" s="18"/>
      <c r="U15" s="18"/>
      <c r="V15" s="18"/>
      <c r="W15" s="18"/>
      <c r="X15" s="20">
        <f t="shared" si="1"/>
        <v>0</v>
      </c>
      <c r="Y15" s="21">
        <f t="shared" si="2"/>
        <v>0</v>
      </c>
      <c r="Z15" s="22">
        <v>0.0</v>
      </c>
      <c r="AD15" s="3"/>
      <c r="AE15" s="4"/>
    </row>
    <row r="16">
      <c r="B16" s="25"/>
      <c r="C16" s="27"/>
      <c r="D16" s="37"/>
      <c r="E16" s="36"/>
      <c r="F16" s="17">
        <v>8.0</v>
      </c>
      <c r="G16" s="18"/>
      <c r="H16" s="18"/>
      <c r="I16" s="18"/>
      <c r="J16" s="19"/>
      <c r="K16" s="18"/>
      <c r="L16" s="18"/>
      <c r="M16" s="18"/>
      <c r="N16" s="18"/>
      <c r="O16" s="18"/>
      <c r="P16" s="18"/>
      <c r="Q16" s="18"/>
      <c r="R16" s="19"/>
      <c r="S16" s="18"/>
      <c r="T16" s="18"/>
      <c r="U16" s="18"/>
      <c r="V16" s="18"/>
      <c r="W16" s="18"/>
      <c r="X16" s="20">
        <f t="shared" si="1"/>
        <v>0</v>
      </c>
      <c r="Y16" s="21">
        <f t="shared" si="2"/>
        <v>0</v>
      </c>
      <c r="Z16" s="22">
        <v>0.0</v>
      </c>
      <c r="AD16" s="3"/>
      <c r="AE16" s="4"/>
    </row>
    <row r="17">
      <c r="B17" s="25"/>
      <c r="C17" s="38"/>
      <c r="D17" s="39"/>
      <c r="E17" s="40"/>
      <c r="F17" s="17">
        <v>9.0</v>
      </c>
      <c r="G17" s="18"/>
      <c r="H17" s="18"/>
      <c r="I17" s="18"/>
      <c r="J17" s="21"/>
      <c r="K17" s="18"/>
      <c r="L17" s="18"/>
      <c r="M17" s="18"/>
      <c r="N17" s="18"/>
      <c r="O17" s="18"/>
      <c r="P17" s="18"/>
      <c r="Q17" s="18"/>
      <c r="R17" s="21"/>
      <c r="S17" s="18"/>
      <c r="T17" s="18"/>
      <c r="U17" s="18"/>
      <c r="V17" s="18"/>
      <c r="W17" s="18"/>
      <c r="X17" s="20">
        <f t="shared" si="1"/>
        <v>0</v>
      </c>
      <c r="Y17" s="21">
        <f t="shared" si="2"/>
        <v>0</v>
      </c>
      <c r="Z17" s="22">
        <v>0.0</v>
      </c>
      <c r="AD17" s="3"/>
      <c r="AE17" s="4"/>
    </row>
    <row r="18">
      <c r="B18" s="25"/>
      <c r="C18" s="15"/>
      <c r="D18" s="39"/>
      <c r="E18" s="40"/>
      <c r="F18" s="17">
        <v>10.0</v>
      </c>
      <c r="G18" s="18"/>
      <c r="H18" s="18"/>
      <c r="I18" s="18"/>
      <c r="J18" s="19"/>
      <c r="K18" s="18"/>
      <c r="L18" s="18"/>
      <c r="M18" s="18"/>
      <c r="N18" s="18"/>
      <c r="O18" s="18"/>
      <c r="P18" s="18"/>
      <c r="Q18" s="18"/>
      <c r="R18" s="19"/>
      <c r="S18" s="18"/>
      <c r="T18" s="18"/>
      <c r="U18" s="18"/>
      <c r="V18" s="18"/>
      <c r="W18" s="18"/>
      <c r="X18" s="20">
        <f t="shared" si="1"/>
        <v>0</v>
      </c>
      <c r="Y18" s="21">
        <f t="shared" si="2"/>
        <v>0</v>
      </c>
      <c r="Z18" s="22">
        <v>0.0</v>
      </c>
      <c r="AD18" s="3"/>
      <c r="AE18" s="4"/>
    </row>
    <row r="19">
      <c r="B19" s="25"/>
      <c r="C19" s="15"/>
      <c r="D19" s="39"/>
      <c r="E19" s="41"/>
      <c r="F19" s="17">
        <v>11.0</v>
      </c>
      <c r="G19" s="18"/>
      <c r="H19" s="18"/>
      <c r="I19" s="18"/>
      <c r="J19" s="21"/>
      <c r="K19" s="18"/>
      <c r="L19" s="18"/>
      <c r="M19" s="18"/>
      <c r="N19" s="18"/>
      <c r="O19" s="18"/>
      <c r="P19" s="18"/>
      <c r="Q19" s="18"/>
      <c r="R19" s="21"/>
      <c r="S19" s="18"/>
      <c r="T19" s="18"/>
      <c r="U19" s="18"/>
      <c r="V19" s="18"/>
      <c r="W19" s="18"/>
      <c r="X19" s="20">
        <f t="shared" si="1"/>
        <v>0</v>
      </c>
      <c r="Y19" s="21">
        <f t="shared" si="2"/>
        <v>0</v>
      </c>
      <c r="Z19" s="22">
        <v>0.0</v>
      </c>
      <c r="AD19" s="3"/>
      <c r="AE19" s="4"/>
    </row>
    <row r="20">
      <c r="B20" s="25"/>
      <c r="C20" s="38"/>
      <c r="D20" s="39"/>
      <c r="E20" s="40"/>
      <c r="F20" s="17">
        <v>12.0</v>
      </c>
      <c r="G20" s="18"/>
      <c r="H20" s="18"/>
      <c r="I20" s="18"/>
      <c r="J20" s="19"/>
      <c r="K20" s="18"/>
      <c r="L20" s="18"/>
      <c r="M20" s="18"/>
      <c r="N20" s="18"/>
      <c r="O20" s="18"/>
      <c r="P20" s="18"/>
      <c r="Q20" s="18"/>
      <c r="R20" s="19"/>
      <c r="S20" s="18"/>
      <c r="T20" s="18"/>
      <c r="U20" s="18"/>
      <c r="V20" s="18"/>
      <c r="W20" s="18"/>
      <c r="X20" s="20">
        <f t="shared" si="1"/>
        <v>0</v>
      </c>
      <c r="Y20" s="21">
        <f t="shared" si="2"/>
        <v>0</v>
      </c>
      <c r="Z20" s="22">
        <v>0.0</v>
      </c>
      <c r="AD20" s="3"/>
      <c r="AE20" s="4"/>
    </row>
    <row r="21">
      <c r="B21" s="25"/>
      <c r="C21" s="38" t="s">
        <v>26</v>
      </c>
      <c r="D21" s="39" t="s">
        <v>27</v>
      </c>
      <c r="E21" s="40" t="s">
        <v>28</v>
      </c>
      <c r="F21" s="17">
        <v>13.0</v>
      </c>
      <c r="G21" s="42"/>
      <c r="H21" s="43">
        <v>2900.0</v>
      </c>
      <c r="I21" s="43"/>
      <c r="J21" s="44">
        <v>29.0</v>
      </c>
      <c r="K21" s="42"/>
      <c r="L21" s="42"/>
      <c r="M21" s="42"/>
      <c r="N21" s="42"/>
      <c r="O21" s="42"/>
      <c r="P21" s="42"/>
      <c r="Q21" s="42"/>
      <c r="R21" s="45"/>
      <c r="S21" s="42"/>
      <c r="T21" s="42"/>
      <c r="U21" s="42"/>
      <c r="V21" s="42"/>
      <c r="W21" s="42"/>
      <c r="X21" s="46">
        <f t="shared" si="1"/>
        <v>2929</v>
      </c>
      <c r="Y21" s="47">
        <f t="shared" ref="Y21:Y34" si="3">SUM(G21*0.04)+(H21*0.1)+(J21*27)+(K21*40)+(M21*50)+(O21*350)+(P21*550)+(Q21*160)+(R21*200)+(S21*260)+(T21*330)+(U21*110)+(V21*120)+(W21*0.7)+(I21*0.04)</f>
        <v>1073</v>
      </c>
      <c r="Z21" s="22">
        <v>1.0</v>
      </c>
      <c r="AD21" s="3"/>
      <c r="AE21" s="4"/>
    </row>
    <row r="22">
      <c r="B22" s="25"/>
      <c r="C22" s="15" t="s">
        <v>26</v>
      </c>
      <c r="D22" s="39" t="s">
        <v>27</v>
      </c>
      <c r="E22" s="40" t="s">
        <v>29</v>
      </c>
      <c r="F22" s="17">
        <v>14.0</v>
      </c>
      <c r="G22" s="42"/>
      <c r="H22" s="43">
        <v>3000.0</v>
      </c>
      <c r="I22" s="42"/>
      <c r="J22" s="44">
        <v>13.0</v>
      </c>
      <c r="K22" s="47"/>
      <c r="L22" s="42"/>
      <c r="M22" s="42"/>
      <c r="N22" s="42"/>
      <c r="O22" s="42"/>
      <c r="P22" s="42"/>
      <c r="Q22" s="42"/>
      <c r="R22" s="44">
        <v>1.0</v>
      </c>
      <c r="S22" s="42"/>
      <c r="T22" s="42"/>
      <c r="U22" s="42"/>
      <c r="V22" s="43">
        <v>2.0</v>
      </c>
      <c r="W22" s="42"/>
      <c r="X22" s="46">
        <f t="shared" si="1"/>
        <v>3016</v>
      </c>
      <c r="Y22" s="47">
        <f t="shared" si="3"/>
        <v>1091</v>
      </c>
      <c r="Z22" s="22">
        <v>1.0</v>
      </c>
      <c r="AD22" s="3"/>
      <c r="AE22" s="4"/>
    </row>
    <row r="23">
      <c r="B23" s="25"/>
      <c r="C23" s="15" t="s">
        <v>26</v>
      </c>
      <c r="D23" s="39" t="s">
        <v>27</v>
      </c>
      <c r="E23" s="40" t="s">
        <v>30</v>
      </c>
      <c r="F23" s="17">
        <v>15.0</v>
      </c>
      <c r="G23" s="42"/>
      <c r="H23" s="43">
        <v>5500.0</v>
      </c>
      <c r="I23" s="42"/>
      <c r="J23" s="44">
        <v>7.0</v>
      </c>
      <c r="K23" s="42"/>
      <c r="L23" s="42"/>
      <c r="M23" s="42"/>
      <c r="N23" s="42"/>
      <c r="O23" s="42"/>
      <c r="P23" s="42"/>
      <c r="Q23" s="42"/>
      <c r="R23" s="44">
        <v>4.0</v>
      </c>
      <c r="S23" s="42"/>
      <c r="T23" s="42"/>
      <c r="U23" s="42"/>
      <c r="V23" s="42"/>
      <c r="W23" s="42"/>
      <c r="X23" s="46">
        <f t="shared" si="1"/>
        <v>5511</v>
      </c>
      <c r="Y23" s="47">
        <f t="shared" si="3"/>
        <v>1539</v>
      </c>
      <c r="Z23" s="22">
        <v>1.0</v>
      </c>
      <c r="AD23" s="3"/>
      <c r="AE23" s="4"/>
    </row>
    <row r="24">
      <c r="B24" s="25"/>
      <c r="C24" s="15"/>
      <c r="D24" s="39"/>
      <c r="E24" s="40"/>
      <c r="F24" s="17">
        <v>16.0</v>
      </c>
      <c r="G24" s="48"/>
      <c r="H24" s="48"/>
      <c r="I24" s="48"/>
      <c r="J24" s="49"/>
      <c r="K24" s="48"/>
      <c r="L24" s="48"/>
      <c r="M24" s="48"/>
      <c r="N24" s="48"/>
      <c r="O24" s="48"/>
      <c r="P24" s="48"/>
      <c r="Q24" s="48"/>
      <c r="R24" s="49"/>
      <c r="S24" s="48"/>
      <c r="T24" s="48"/>
      <c r="U24" s="48"/>
      <c r="V24" s="48"/>
      <c r="W24" s="48"/>
      <c r="X24" s="50">
        <f t="shared" si="1"/>
        <v>0</v>
      </c>
      <c r="Y24" s="51">
        <f t="shared" si="3"/>
        <v>0</v>
      </c>
      <c r="Z24" s="22">
        <v>1.0</v>
      </c>
      <c r="AA24" s="52" t="s">
        <v>31</v>
      </c>
      <c r="AD24" s="3"/>
      <c r="AE24" s="4"/>
    </row>
    <row r="25">
      <c r="B25" s="25"/>
      <c r="C25" s="15" t="s">
        <v>26</v>
      </c>
      <c r="D25" s="39" t="s">
        <v>27</v>
      </c>
      <c r="E25" s="40" t="s">
        <v>32</v>
      </c>
      <c r="F25" s="17">
        <v>17.0</v>
      </c>
      <c r="G25" s="42"/>
      <c r="H25" s="43">
        <v>9000.0</v>
      </c>
      <c r="I25" s="42"/>
      <c r="J25" s="44">
        <v>15.0</v>
      </c>
      <c r="K25" s="42"/>
      <c r="L25" s="42"/>
      <c r="M25" s="42"/>
      <c r="N25" s="42"/>
      <c r="O25" s="42"/>
      <c r="P25" s="42"/>
      <c r="Q25" s="42"/>
      <c r="R25" s="44">
        <v>2.0</v>
      </c>
      <c r="S25" s="42"/>
      <c r="T25" s="42"/>
      <c r="U25" s="42"/>
      <c r="V25" s="43">
        <v>11.0</v>
      </c>
      <c r="W25" s="42"/>
      <c r="X25" s="46">
        <f t="shared" si="1"/>
        <v>9028</v>
      </c>
      <c r="Y25" s="47">
        <f t="shared" si="3"/>
        <v>3025</v>
      </c>
      <c r="Z25" s="22">
        <v>1.0</v>
      </c>
      <c r="AD25" s="3"/>
      <c r="AE25" s="4"/>
    </row>
    <row r="26">
      <c r="B26" s="25"/>
      <c r="C26" s="15"/>
      <c r="D26" s="53"/>
      <c r="E26" s="54"/>
      <c r="F26" s="17">
        <v>18.0</v>
      </c>
      <c r="G26" s="55"/>
      <c r="H26" s="55"/>
      <c r="I26" s="55"/>
      <c r="J26" s="56"/>
      <c r="K26" s="55"/>
      <c r="L26" s="55"/>
      <c r="M26" s="55"/>
      <c r="N26" s="55"/>
      <c r="O26" s="55"/>
      <c r="P26" s="55"/>
      <c r="Q26" s="55"/>
      <c r="R26" s="57"/>
      <c r="S26" s="55"/>
      <c r="T26" s="55"/>
      <c r="U26" s="55"/>
      <c r="V26" s="55"/>
      <c r="W26" s="55"/>
      <c r="X26" s="58">
        <f t="shared" si="1"/>
        <v>0</v>
      </c>
      <c r="Y26" s="56">
        <f t="shared" si="3"/>
        <v>0</v>
      </c>
      <c r="Z26" s="22">
        <v>0.0</v>
      </c>
      <c r="AD26" s="3"/>
      <c r="AE26" s="4"/>
    </row>
    <row r="27">
      <c r="B27" s="25"/>
      <c r="C27" s="15"/>
      <c r="D27" s="53"/>
      <c r="E27" s="54"/>
      <c r="F27" s="17">
        <v>19.0</v>
      </c>
      <c r="G27" s="55"/>
      <c r="H27" s="55"/>
      <c r="I27" s="55"/>
      <c r="J27" s="56"/>
      <c r="K27" s="56"/>
      <c r="L27" s="55"/>
      <c r="M27" s="55"/>
      <c r="N27" s="55"/>
      <c r="O27" s="55"/>
      <c r="P27" s="55"/>
      <c r="Q27" s="55"/>
      <c r="R27" s="57"/>
      <c r="S27" s="55"/>
      <c r="T27" s="55"/>
      <c r="U27" s="55"/>
      <c r="V27" s="55"/>
      <c r="W27" s="55"/>
      <c r="X27" s="58">
        <f t="shared" si="1"/>
        <v>0</v>
      </c>
      <c r="Y27" s="56">
        <f t="shared" si="3"/>
        <v>0</v>
      </c>
      <c r="Z27" s="22">
        <v>0.0</v>
      </c>
      <c r="AD27" s="3"/>
      <c r="AE27" s="4"/>
    </row>
    <row r="28">
      <c r="B28" s="25"/>
      <c r="C28" s="15" t="s">
        <v>26</v>
      </c>
      <c r="D28" s="39" t="s">
        <v>33</v>
      </c>
      <c r="E28" s="40" t="s">
        <v>34</v>
      </c>
      <c r="F28" s="17">
        <v>20.0</v>
      </c>
      <c r="G28" s="42"/>
      <c r="H28" s="43">
        <v>6000.0</v>
      </c>
      <c r="I28" s="42"/>
      <c r="J28" s="44">
        <v>4.0</v>
      </c>
      <c r="K28" s="42"/>
      <c r="L28" s="42"/>
      <c r="M28" s="42"/>
      <c r="N28" s="42"/>
      <c r="O28" s="42"/>
      <c r="P28" s="42"/>
      <c r="Q28" s="42"/>
      <c r="R28" s="44">
        <v>1.0</v>
      </c>
      <c r="S28" s="42"/>
      <c r="T28" s="42"/>
      <c r="U28" s="42"/>
      <c r="V28" s="43">
        <v>35.0</v>
      </c>
      <c r="W28" s="42"/>
      <c r="X28" s="46">
        <f t="shared" si="1"/>
        <v>6040</v>
      </c>
      <c r="Y28" s="47">
        <f t="shared" si="3"/>
        <v>5108</v>
      </c>
      <c r="Z28" s="22">
        <v>1.0</v>
      </c>
      <c r="AD28" s="3"/>
      <c r="AE28" s="4"/>
    </row>
    <row r="29">
      <c r="B29" s="25"/>
      <c r="C29" s="15"/>
      <c r="D29" s="39"/>
      <c r="E29" s="40"/>
      <c r="F29" s="17">
        <v>21.0</v>
      </c>
      <c r="G29" s="48"/>
      <c r="H29" s="48"/>
      <c r="I29" s="48"/>
      <c r="J29" s="49"/>
      <c r="K29" s="48"/>
      <c r="L29" s="48"/>
      <c r="M29" s="48"/>
      <c r="N29" s="48"/>
      <c r="O29" s="48"/>
      <c r="P29" s="48"/>
      <c r="Q29" s="48"/>
      <c r="R29" s="49"/>
      <c r="S29" s="48"/>
      <c r="T29" s="48"/>
      <c r="U29" s="48"/>
      <c r="V29" s="48"/>
      <c r="W29" s="48"/>
      <c r="X29" s="50">
        <f t="shared" si="1"/>
        <v>0</v>
      </c>
      <c r="Y29" s="51">
        <f t="shared" si="3"/>
        <v>0</v>
      </c>
      <c r="Z29" s="22">
        <v>1.0</v>
      </c>
      <c r="AA29" s="52" t="s">
        <v>35</v>
      </c>
      <c r="AD29" s="3"/>
      <c r="AE29" s="4"/>
    </row>
    <row r="30">
      <c r="B30" s="25"/>
      <c r="C30" s="15" t="s">
        <v>26</v>
      </c>
      <c r="D30" s="39" t="s">
        <v>33</v>
      </c>
      <c r="E30" s="40" t="s">
        <v>36</v>
      </c>
      <c r="F30" s="17">
        <v>22.0</v>
      </c>
      <c r="G30" s="42"/>
      <c r="H30" s="43">
        <v>7000.0</v>
      </c>
      <c r="I30" s="42"/>
      <c r="J30" s="45"/>
      <c r="K30" s="43">
        <v>20.0</v>
      </c>
      <c r="L30" s="42"/>
      <c r="M30" s="42"/>
      <c r="N30" s="42"/>
      <c r="O30" s="42"/>
      <c r="P30" s="42"/>
      <c r="Q30" s="42"/>
      <c r="R30" s="44">
        <v>1.0</v>
      </c>
      <c r="S30" s="42"/>
      <c r="T30" s="42"/>
      <c r="U30" s="42"/>
      <c r="V30" s="43">
        <v>16.0</v>
      </c>
      <c r="W30" s="42"/>
      <c r="X30" s="46">
        <f t="shared" si="1"/>
        <v>7037</v>
      </c>
      <c r="Y30" s="47">
        <f t="shared" si="3"/>
        <v>3620</v>
      </c>
      <c r="Z30" s="22">
        <v>1.0</v>
      </c>
      <c r="AD30" s="3"/>
      <c r="AE30" s="4"/>
    </row>
    <row r="31">
      <c r="B31" s="25"/>
      <c r="C31" s="15" t="s">
        <v>26</v>
      </c>
      <c r="D31" s="39" t="s">
        <v>33</v>
      </c>
      <c r="E31" s="40" t="s">
        <v>36</v>
      </c>
      <c r="F31" s="17">
        <v>23.0</v>
      </c>
      <c r="G31" s="42"/>
      <c r="H31" s="43">
        <v>9000.0</v>
      </c>
      <c r="I31" s="42"/>
      <c r="J31" s="47"/>
      <c r="K31" s="43">
        <v>19.0</v>
      </c>
      <c r="L31" s="42"/>
      <c r="M31" s="42"/>
      <c r="N31" s="42"/>
      <c r="O31" s="42"/>
      <c r="P31" s="42"/>
      <c r="Q31" s="42"/>
      <c r="R31" s="44">
        <v>3.0</v>
      </c>
      <c r="S31" s="42"/>
      <c r="T31" s="42"/>
      <c r="U31" s="42"/>
      <c r="V31" s="43">
        <v>13.0</v>
      </c>
      <c r="W31" s="42"/>
      <c r="X31" s="46">
        <f t="shared" si="1"/>
        <v>9035</v>
      </c>
      <c r="Y31" s="47">
        <f t="shared" si="3"/>
        <v>3820</v>
      </c>
      <c r="Z31" s="22">
        <v>1.0</v>
      </c>
      <c r="AD31" s="3"/>
      <c r="AE31" s="4"/>
    </row>
    <row r="32">
      <c r="B32" s="25"/>
      <c r="C32" s="15" t="s">
        <v>26</v>
      </c>
      <c r="D32" s="39" t="s">
        <v>33</v>
      </c>
      <c r="E32" s="40" t="s">
        <v>36</v>
      </c>
      <c r="F32" s="17">
        <v>24.0</v>
      </c>
      <c r="G32" s="42"/>
      <c r="H32" s="43">
        <v>6000.0</v>
      </c>
      <c r="I32" s="42"/>
      <c r="J32" s="44">
        <v>1.0</v>
      </c>
      <c r="K32" s="47"/>
      <c r="L32" s="42"/>
      <c r="M32" s="42"/>
      <c r="N32" s="42"/>
      <c r="O32" s="42"/>
      <c r="P32" s="42"/>
      <c r="Q32" s="42"/>
      <c r="R32" s="44">
        <v>3.0</v>
      </c>
      <c r="S32" s="42"/>
      <c r="T32" s="42"/>
      <c r="U32" s="42"/>
      <c r="V32" s="43">
        <v>30.0</v>
      </c>
      <c r="W32" s="42"/>
      <c r="X32" s="46">
        <f t="shared" si="1"/>
        <v>6034</v>
      </c>
      <c r="Y32" s="47">
        <f t="shared" si="3"/>
        <v>4827</v>
      </c>
      <c r="Z32" s="22">
        <v>1.0</v>
      </c>
      <c r="AD32" s="3"/>
      <c r="AE32" s="4"/>
    </row>
    <row r="33">
      <c r="B33" s="59"/>
      <c r="C33" s="60"/>
      <c r="D33" s="59"/>
      <c r="E33" s="59"/>
      <c r="F33" s="17">
        <v>25.0</v>
      </c>
      <c r="G33" s="61"/>
      <c r="H33" s="61"/>
      <c r="I33" s="61"/>
      <c r="J33" s="62"/>
      <c r="K33" s="61"/>
      <c r="L33" s="61"/>
      <c r="M33" s="61"/>
      <c r="N33" s="61"/>
      <c r="O33" s="61"/>
      <c r="P33" s="61"/>
      <c r="Q33" s="61"/>
      <c r="R33" s="63"/>
      <c r="S33" s="61"/>
      <c r="T33" s="61"/>
      <c r="U33" s="61"/>
      <c r="V33" s="61"/>
      <c r="W33" s="61"/>
      <c r="X33" s="64">
        <f t="shared" si="1"/>
        <v>0</v>
      </c>
      <c r="Y33" s="62">
        <f t="shared" si="3"/>
        <v>0</v>
      </c>
      <c r="Z33" s="22">
        <v>0.0</v>
      </c>
      <c r="AD33" s="3"/>
      <c r="AE33" s="4"/>
    </row>
    <row r="34">
      <c r="B34" s="1"/>
      <c r="D34" s="1"/>
      <c r="E34" s="1"/>
      <c r="F34" s="2"/>
      <c r="G34" s="65"/>
      <c r="H34" s="65"/>
      <c r="I34" s="65"/>
      <c r="J34" s="66"/>
      <c r="K34" s="66"/>
      <c r="L34" s="65"/>
      <c r="M34" s="65"/>
      <c r="N34" s="65"/>
      <c r="O34" s="65"/>
      <c r="P34" s="65"/>
      <c r="Q34" s="65"/>
      <c r="R34" s="67"/>
      <c r="S34" s="65"/>
      <c r="T34" s="65"/>
      <c r="U34" s="65"/>
      <c r="V34" s="65"/>
      <c r="W34" s="65"/>
      <c r="X34" s="66">
        <f t="shared" si="1"/>
        <v>0</v>
      </c>
      <c r="Y34" s="66">
        <f t="shared" si="3"/>
        <v>0</v>
      </c>
      <c r="Z34" s="1"/>
      <c r="AD34" s="3"/>
      <c r="AE34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6.13"/>
    <col customWidth="1" min="4" max="4" width="33.0"/>
    <col customWidth="1" min="5" max="5" width="17.25"/>
    <col customWidth="1" min="6" max="6" width="4.38"/>
    <col customWidth="1" min="7" max="7" width="11.13"/>
    <col customWidth="1" min="8" max="8" width="9.38"/>
    <col customWidth="1" min="9" max="9" width="6.63"/>
    <col customWidth="1" min="10" max="10" width="6.38"/>
    <col customWidth="1" min="11" max="11" width="6.25"/>
    <col customWidth="1" min="12" max="12" width="6.63"/>
    <col customWidth="1" min="13" max="13" width="5.5"/>
    <col customWidth="1" min="14" max="16" width="9.38"/>
    <col customWidth="1" min="17" max="17" width="7.5"/>
    <col customWidth="1" min="18" max="21" width="9.38"/>
    <col customWidth="1" min="22" max="22" width="7.25"/>
    <col customWidth="1" min="24" max="24" width="7.63"/>
    <col customWidth="1" min="25" max="25" width="7.25"/>
    <col customWidth="1" min="26" max="26" width="25.13"/>
    <col customWidth="1" min="27" max="27" width="12.25"/>
    <col customWidth="1" min="28" max="28" width="3.0"/>
    <col customWidth="1" min="29" max="29" width="15.25"/>
    <col customWidth="1" min="30" max="30" width="11.25"/>
  </cols>
  <sheetData>
    <row r="1" ht="27.0" customHeight="1">
      <c r="B1" s="1"/>
      <c r="E1" s="1"/>
      <c r="F1" s="2"/>
      <c r="Y1" s="1"/>
      <c r="AC1" s="3"/>
      <c r="AD1" s="4"/>
    </row>
    <row r="2" ht="19.5" customHeight="1">
      <c r="A2" s="5"/>
      <c r="B2" s="6" t="s">
        <v>0</v>
      </c>
      <c r="C2" s="6" t="s">
        <v>37</v>
      </c>
      <c r="D2" s="6" t="s">
        <v>38</v>
      </c>
      <c r="E2" s="6" t="s">
        <v>3</v>
      </c>
      <c r="F2" s="7" t="s">
        <v>4</v>
      </c>
      <c r="G2" s="9" t="s">
        <v>39</v>
      </c>
      <c r="H2" s="9" t="s">
        <v>40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9" t="s">
        <v>14</v>
      </c>
      <c r="P2" s="9" t="s">
        <v>15</v>
      </c>
      <c r="Q2" s="8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7" t="s">
        <v>22</v>
      </c>
      <c r="X2" s="7" t="s">
        <v>23</v>
      </c>
      <c r="Y2" s="10"/>
      <c r="Z2" s="11"/>
      <c r="AA2" s="11"/>
      <c r="AB2" s="11"/>
      <c r="AC2" s="12"/>
      <c r="AD2" s="13"/>
      <c r="AE2" s="11"/>
      <c r="AF2" s="11"/>
      <c r="AG2" s="11"/>
      <c r="AH2" s="11"/>
      <c r="AI2" s="11"/>
      <c r="AJ2" s="11"/>
    </row>
    <row r="3">
      <c r="B3" s="14"/>
      <c r="C3" s="15"/>
      <c r="D3" s="15"/>
      <c r="E3" s="16"/>
      <c r="F3" s="17">
        <v>26.0</v>
      </c>
      <c r="G3" s="68"/>
      <c r="H3" s="68"/>
      <c r="I3" s="69"/>
      <c r="J3" s="68"/>
      <c r="K3" s="68"/>
      <c r="L3" s="68"/>
      <c r="M3" s="68"/>
      <c r="N3" s="68"/>
      <c r="O3" s="68"/>
      <c r="P3" s="68"/>
      <c r="Q3" s="69"/>
      <c r="R3" s="68"/>
      <c r="S3" s="68"/>
      <c r="T3" s="68"/>
      <c r="U3" s="68"/>
      <c r="V3" s="68"/>
      <c r="W3" s="70">
        <f>SUM(G3:V3)</f>
        <v>0</v>
      </c>
      <c r="X3" s="71">
        <f t="shared" ref="X3:X21" si="1">SUM(G3*0.08)+(H3*0.14)+(I3*27)+(J3*40)+(L3*50)+(N3*350)+(O3*550)+(P3*160)+(Q3*200)+(R3*260)+(S3*330)+(T3*110)+(U3*120)+(V3*0.7)</f>
        <v>0</v>
      </c>
      <c r="Y3" s="22"/>
      <c r="Z3" s="23" t="s">
        <v>24</v>
      </c>
      <c r="AA3" s="24">
        <f>SUM(X3:X33)</f>
        <v>34092</v>
      </c>
      <c r="AC3" s="3"/>
      <c r="AD3" s="4"/>
    </row>
    <row r="4">
      <c r="B4" s="25"/>
      <c r="C4" s="15">
        <v>222.0</v>
      </c>
      <c r="D4" s="72" t="s">
        <v>41</v>
      </c>
      <c r="E4" s="16" t="s">
        <v>42</v>
      </c>
      <c r="F4" s="17">
        <v>27.0</v>
      </c>
      <c r="G4" s="42"/>
      <c r="H4" s="43">
        <v>4000.0</v>
      </c>
      <c r="I4" s="44">
        <v>9.0</v>
      </c>
      <c r="J4" s="42"/>
      <c r="K4" s="42"/>
      <c r="L4" s="42"/>
      <c r="M4" s="42"/>
      <c r="N4" s="42"/>
      <c r="O4" s="42"/>
      <c r="P4" s="42"/>
      <c r="Q4" s="44">
        <v>1.0</v>
      </c>
      <c r="R4" s="42"/>
      <c r="S4" s="42"/>
      <c r="T4" s="42"/>
      <c r="U4" s="43">
        <v>39.0</v>
      </c>
      <c r="V4" s="42"/>
      <c r="W4" s="46"/>
      <c r="X4" s="47">
        <f t="shared" si="1"/>
        <v>5683</v>
      </c>
      <c r="Y4" s="22">
        <v>1.0</v>
      </c>
      <c r="AC4" s="3"/>
      <c r="AD4" s="4"/>
    </row>
    <row r="5">
      <c r="B5" s="25"/>
      <c r="C5" s="15">
        <v>222.0</v>
      </c>
      <c r="D5" s="72" t="s">
        <v>43</v>
      </c>
      <c r="E5" s="16" t="s">
        <v>44</v>
      </c>
      <c r="F5" s="17">
        <v>28.0</v>
      </c>
      <c r="G5" s="42"/>
      <c r="H5" s="43">
        <v>4800.0</v>
      </c>
      <c r="I5" s="44">
        <v>51.0</v>
      </c>
      <c r="J5" s="42"/>
      <c r="K5" s="42"/>
      <c r="L5" s="42"/>
      <c r="M5" s="42"/>
      <c r="N5" s="42"/>
      <c r="O5" s="42"/>
      <c r="P5" s="42"/>
      <c r="Q5" s="45"/>
      <c r="R5" s="42"/>
      <c r="S5" s="42"/>
      <c r="T5" s="42"/>
      <c r="U5" s="43">
        <v>10.0</v>
      </c>
      <c r="V5" s="42"/>
      <c r="W5" s="46"/>
      <c r="X5" s="47">
        <f t="shared" si="1"/>
        <v>3249</v>
      </c>
      <c r="Y5" s="22">
        <v>1.0</v>
      </c>
      <c r="Z5" s="73" t="s">
        <v>45</v>
      </c>
      <c r="AA5" s="24">
        <f>SUM(X4+X5+X6+X7+X8+X11+X12+X13+X9+X10+X14+X15+X16+X17+X18+X19+X20+X21+X22+X23+X24+X25+X26+X27+X28+X29+X30+X31+X32+X33+X3)/(Y4+Y5+Y6+Y7+Y8+Y9+Y10+Y11+Y12+Y13+Y14+Y15+Y16+Y17+Y18+Y19+Y20+Y21+Y22+Y23+Y24+Y25+Y26+Y27+Y28+Y29+Y30+Y31+Y32+Y33)</f>
        <v>1549.636364</v>
      </c>
      <c r="AC5" s="3"/>
      <c r="AD5" s="4"/>
    </row>
    <row r="6">
      <c r="B6" s="25"/>
      <c r="C6" s="15">
        <v>222.0</v>
      </c>
      <c r="D6" s="72" t="s">
        <v>43</v>
      </c>
      <c r="E6" s="16" t="s">
        <v>46</v>
      </c>
      <c r="F6" s="17">
        <v>29.0</v>
      </c>
      <c r="G6" s="42"/>
      <c r="H6" s="43">
        <v>7000.0</v>
      </c>
      <c r="I6" s="44">
        <v>49.0</v>
      </c>
      <c r="J6" s="47"/>
      <c r="K6" s="42"/>
      <c r="L6" s="42"/>
      <c r="M6" s="42"/>
      <c r="N6" s="42"/>
      <c r="O6" s="42"/>
      <c r="P6" s="42"/>
      <c r="Q6" s="45"/>
      <c r="R6" s="42"/>
      <c r="S6" s="42"/>
      <c r="T6" s="42"/>
      <c r="U6" s="43">
        <v>8.0</v>
      </c>
      <c r="V6" s="42"/>
      <c r="W6" s="46"/>
      <c r="X6" s="47">
        <f t="shared" si="1"/>
        <v>3263</v>
      </c>
      <c r="Y6" s="22">
        <v>1.0</v>
      </c>
      <c r="AC6" s="3"/>
      <c r="AD6" s="4"/>
    </row>
    <row r="7">
      <c r="B7" s="25"/>
      <c r="C7" s="15">
        <v>222.0</v>
      </c>
      <c r="D7" s="72" t="s">
        <v>33</v>
      </c>
      <c r="E7" s="16" t="s">
        <v>47</v>
      </c>
      <c r="F7" s="17">
        <v>30.0</v>
      </c>
      <c r="G7" s="42"/>
      <c r="H7" s="43">
        <v>5000.0</v>
      </c>
      <c r="I7" s="44">
        <v>2.0</v>
      </c>
      <c r="J7" s="42"/>
      <c r="K7" s="42"/>
      <c r="L7" s="42"/>
      <c r="M7" s="42"/>
      <c r="N7" s="42"/>
      <c r="O7" s="42"/>
      <c r="P7" s="42"/>
      <c r="Q7" s="44"/>
      <c r="R7" s="43"/>
      <c r="S7" s="42"/>
      <c r="T7" s="42"/>
      <c r="U7" s="43">
        <v>38.0</v>
      </c>
      <c r="V7" s="42"/>
      <c r="W7" s="46"/>
      <c r="X7" s="47">
        <f t="shared" si="1"/>
        <v>5314</v>
      </c>
      <c r="Y7" s="22">
        <v>1.0</v>
      </c>
      <c r="AC7" s="3"/>
      <c r="AD7" s="4"/>
    </row>
    <row r="8">
      <c r="B8" s="25"/>
      <c r="C8" s="15">
        <v>222.0</v>
      </c>
      <c r="D8" s="72" t="s">
        <v>33</v>
      </c>
      <c r="E8" s="16" t="s">
        <v>48</v>
      </c>
      <c r="F8" s="17">
        <v>31.0</v>
      </c>
      <c r="G8" s="42"/>
      <c r="H8" s="43">
        <v>8500.0</v>
      </c>
      <c r="I8" s="44">
        <v>3.0</v>
      </c>
      <c r="J8" s="47"/>
      <c r="K8" s="42"/>
      <c r="L8" s="42"/>
      <c r="M8" s="42"/>
      <c r="N8" s="42"/>
      <c r="O8" s="42"/>
      <c r="P8" s="42"/>
      <c r="Q8" s="44">
        <v>4.0</v>
      </c>
      <c r="R8" s="42"/>
      <c r="S8" s="42"/>
      <c r="T8" s="42"/>
      <c r="U8" s="43">
        <v>11.0</v>
      </c>
      <c r="V8" s="42"/>
      <c r="W8" s="46"/>
      <c r="X8" s="47">
        <f t="shared" si="1"/>
        <v>3391</v>
      </c>
      <c r="Y8" s="22">
        <v>1.0</v>
      </c>
      <c r="AC8" s="3"/>
      <c r="AD8" s="4"/>
    </row>
    <row r="9">
      <c r="B9" s="25"/>
      <c r="C9" s="15"/>
      <c r="D9" s="27"/>
      <c r="E9" s="25"/>
      <c r="F9" s="17">
        <v>1.0</v>
      </c>
      <c r="G9" s="68"/>
      <c r="H9" s="68"/>
      <c r="I9" s="69"/>
      <c r="J9" s="68"/>
      <c r="K9" s="68"/>
      <c r="L9" s="68"/>
      <c r="M9" s="68"/>
      <c r="N9" s="68"/>
      <c r="O9" s="68"/>
      <c r="P9" s="68"/>
      <c r="Q9" s="69"/>
      <c r="R9" s="68"/>
      <c r="S9" s="68"/>
      <c r="T9" s="68"/>
      <c r="U9" s="68"/>
      <c r="V9" s="68"/>
      <c r="W9" s="70">
        <f t="shared" ref="W9:W10" si="2">SUM(G9:V9)</f>
        <v>0</v>
      </c>
      <c r="X9" s="71">
        <f t="shared" si="1"/>
        <v>0</v>
      </c>
      <c r="Y9" s="22"/>
      <c r="Z9" s="29"/>
      <c r="AC9" s="3"/>
      <c r="AD9" s="4"/>
    </row>
    <row r="10">
      <c r="B10" s="25"/>
      <c r="C10" s="15"/>
      <c r="D10" s="27"/>
      <c r="E10" s="25"/>
      <c r="F10" s="17">
        <v>2.0</v>
      </c>
      <c r="G10" s="68"/>
      <c r="H10" s="68"/>
      <c r="I10" s="69"/>
      <c r="J10" s="68"/>
      <c r="K10" s="68"/>
      <c r="L10" s="68"/>
      <c r="M10" s="68"/>
      <c r="N10" s="68"/>
      <c r="O10" s="68"/>
      <c r="P10" s="68"/>
      <c r="Q10" s="74"/>
      <c r="R10" s="68"/>
      <c r="S10" s="68"/>
      <c r="T10" s="68"/>
      <c r="U10" s="68"/>
      <c r="V10" s="68"/>
      <c r="W10" s="70">
        <f t="shared" si="2"/>
        <v>0</v>
      </c>
      <c r="X10" s="71">
        <f t="shared" si="1"/>
        <v>0</v>
      </c>
      <c r="Y10" s="22"/>
      <c r="AC10" s="3"/>
      <c r="AD10" s="4"/>
    </row>
    <row r="11">
      <c r="B11" s="25"/>
      <c r="C11" s="15">
        <v>222.0</v>
      </c>
      <c r="D11" s="72" t="s">
        <v>49</v>
      </c>
      <c r="E11" s="25"/>
      <c r="F11" s="17">
        <v>3.0</v>
      </c>
      <c r="G11" s="42">
        <f>SUM(6950*0.2)</f>
        <v>1390</v>
      </c>
      <c r="H11" s="42">
        <f>SUM(6950*0.8)</f>
        <v>5560</v>
      </c>
      <c r="I11" s="47"/>
      <c r="J11" s="42"/>
      <c r="K11" s="42"/>
      <c r="L11" s="42"/>
      <c r="M11" s="42"/>
      <c r="N11" s="42"/>
      <c r="O11" s="42"/>
      <c r="P11" s="42"/>
      <c r="Q11" s="45"/>
      <c r="R11" s="42"/>
      <c r="S11" s="42"/>
      <c r="T11" s="42"/>
      <c r="U11" s="42"/>
      <c r="V11" s="42"/>
      <c r="W11" s="46"/>
      <c r="X11" s="47">
        <f t="shared" si="1"/>
        <v>889.6</v>
      </c>
      <c r="Y11" s="22">
        <v>1.0</v>
      </c>
      <c r="AC11" s="3"/>
      <c r="AD11" s="4"/>
    </row>
    <row r="12">
      <c r="B12" s="25"/>
      <c r="C12" s="15">
        <v>222.0</v>
      </c>
      <c r="D12" s="75"/>
      <c r="E12" s="33"/>
      <c r="F12" s="17">
        <v>4.0</v>
      </c>
      <c r="G12" s="42">
        <f>SUM(7250*0.2)</f>
        <v>1450</v>
      </c>
      <c r="H12" s="42">
        <f>SUM(7250*0.8)</f>
        <v>5800</v>
      </c>
      <c r="I12" s="47"/>
      <c r="J12" s="47"/>
      <c r="K12" s="42"/>
      <c r="L12" s="42"/>
      <c r="M12" s="42"/>
      <c r="N12" s="42"/>
      <c r="O12" s="42"/>
      <c r="P12" s="42"/>
      <c r="Q12" s="45"/>
      <c r="R12" s="42"/>
      <c r="S12" s="42"/>
      <c r="T12" s="42"/>
      <c r="U12" s="42"/>
      <c r="V12" s="42"/>
      <c r="W12" s="46"/>
      <c r="X12" s="47">
        <f t="shared" si="1"/>
        <v>928</v>
      </c>
      <c r="Y12" s="22">
        <v>1.0</v>
      </c>
      <c r="AC12" s="3"/>
      <c r="AD12" s="4"/>
    </row>
    <row r="13">
      <c r="B13" s="25"/>
      <c r="C13" s="15">
        <v>222.0</v>
      </c>
      <c r="D13" s="75"/>
      <c r="E13" s="33"/>
      <c r="F13" s="17">
        <v>5.0</v>
      </c>
      <c r="G13" s="42">
        <f t="shared" ref="G13:G14" si="3">SUM(7700*0.2)</f>
        <v>1540</v>
      </c>
      <c r="H13" s="42">
        <f t="shared" ref="H13:H14" si="4">SUM(7700*0.8)</f>
        <v>6160</v>
      </c>
      <c r="I13" s="47"/>
      <c r="J13" s="47"/>
      <c r="K13" s="42"/>
      <c r="L13" s="42"/>
      <c r="M13" s="42"/>
      <c r="N13" s="42"/>
      <c r="O13" s="42"/>
      <c r="P13" s="42"/>
      <c r="Q13" s="45"/>
      <c r="R13" s="42"/>
      <c r="S13" s="42"/>
      <c r="T13" s="42"/>
      <c r="U13" s="42"/>
      <c r="V13" s="42"/>
      <c r="W13" s="46"/>
      <c r="X13" s="47">
        <f t="shared" si="1"/>
        <v>985.6</v>
      </c>
      <c r="Y13" s="22">
        <v>1.0</v>
      </c>
      <c r="AC13" s="3"/>
      <c r="AD13" s="4"/>
    </row>
    <row r="14">
      <c r="B14" s="25"/>
      <c r="C14" s="15">
        <v>222.0</v>
      </c>
      <c r="D14" s="34"/>
      <c r="E14" s="36"/>
      <c r="F14" s="17">
        <v>6.0</v>
      </c>
      <c r="G14" s="42">
        <f t="shared" si="3"/>
        <v>1540</v>
      </c>
      <c r="H14" s="42">
        <f t="shared" si="4"/>
        <v>6160</v>
      </c>
      <c r="I14" s="45"/>
      <c r="J14" s="42"/>
      <c r="K14" s="42"/>
      <c r="L14" s="42"/>
      <c r="M14" s="42"/>
      <c r="N14" s="42"/>
      <c r="O14" s="42"/>
      <c r="P14" s="42"/>
      <c r="Q14" s="45"/>
      <c r="R14" s="42"/>
      <c r="S14" s="42"/>
      <c r="T14" s="42"/>
      <c r="U14" s="42"/>
      <c r="V14" s="42"/>
      <c r="W14" s="46"/>
      <c r="X14" s="47">
        <f t="shared" si="1"/>
        <v>985.6</v>
      </c>
      <c r="Y14" s="22">
        <v>1.0</v>
      </c>
      <c r="AC14" s="3"/>
      <c r="AD14" s="4"/>
    </row>
    <row r="15">
      <c r="B15" s="25"/>
      <c r="C15" s="15">
        <v>222.0</v>
      </c>
      <c r="D15" s="27"/>
      <c r="E15" s="25"/>
      <c r="F15" s="17">
        <v>7.0</v>
      </c>
      <c r="G15" s="42">
        <f>SUM(6600*0.2)</f>
        <v>1320</v>
      </c>
      <c r="H15" s="42">
        <f>SUM(6600*0.8)</f>
        <v>5280</v>
      </c>
      <c r="I15" s="45"/>
      <c r="J15" s="42"/>
      <c r="K15" s="42"/>
      <c r="L15" s="42"/>
      <c r="M15" s="42"/>
      <c r="N15" s="42"/>
      <c r="O15" s="42"/>
      <c r="P15" s="42"/>
      <c r="Q15" s="45"/>
      <c r="R15" s="42"/>
      <c r="S15" s="42"/>
      <c r="T15" s="42"/>
      <c r="U15" s="42"/>
      <c r="V15" s="42"/>
      <c r="W15" s="46"/>
      <c r="X15" s="47">
        <f t="shared" si="1"/>
        <v>844.8</v>
      </c>
      <c r="Y15" s="22">
        <v>1.0</v>
      </c>
      <c r="AC15" s="3"/>
      <c r="AD15" s="4"/>
    </row>
    <row r="16">
      <c r="B16" s="25"/>
      <c r="C16" s="15"/>
      <c r="D16" s="27"/>
      <c r="E16" s="25"/>
      <c r="F16" s="17">
        <v>8.0</v>
      </c>
      <c r="G16" s="68"/>
      <c r="H16" s="68"/>
      <c r="I16" s="71"/>
      <c r="J16" s="68"/>
      <c r="K16" s="68"/>
      <c r="L16" s="68"/>
      <c r="M16" s="68"/>
      <c r="N16" s="68"/>
      <c r="O16" s="68"/>
      <c r="P16" s="68"/>
      <c r="Q16" s="69"/>
      <c r="R16" s="68"/>
      <c r="S16" s="68"/>
      <c r="T16" s="68"/>
      <c r="U16" s="68"/>
      <c r="V16" s="68"/>
      <c r="W16" s="70"/>
      <c r="X16" s="71">
        <f t="shared" si="1"/>
        <v>0</v>
      </c>
      <c r="Y16" s="22"/>
      <c r="AC16" s="3"/>
      <c r="AD16" s="4"/>
    </row>
    <row r="17">
      <c r="B17" s="25"/>
      <c r="C17" s="15"/>
      <c r="D17" s="38"/>
      <c r="E17" s="16"/>
      <c r="F17" s="17">
        <v>9.0</v>
      </c>
      <c r="G17" s="68"/>
      <c r="H17" s="68"/>
      <c r="I17" s="71"/>
      <c r="J17" s="71"/>
      <c r="K17" s="68"/>
      <c r="L17" s="68"/>
      <c r="M17" s="68"/>
      <c r="N17" s="68"/>
      <c r="O17" s="68"/>
      <c r="P17" s="68"/>
      <c r="Q17" s="74"/>
      <c r="R17" s="68"/>
      <c r="S17" s="68"/>
      <c r="T17" s="68"/>
      <c r="U17" s="68"/>
      <c r="V17" s="68"/>
      <c r="W17" s="70"/>
      <c r="X17" s="71">
        <f t="shared" si="1"/>
        <v>0</v>
      </c>
      <c r="Y17" s="22"/>
      <c r="AC17" s="3"/>
      <c r="AD17" s="4"/>
    </row>
    <row r="18">
      <c r="B18" s="25"/>
      <c r="C18" s="15">
        <v>222.0</v>
      </c>
      <c r="D18" s="15"/>
      <c r="E18" s="16"/>
      <c r="F18" s="17">
        <v>10.0</v>
      </c>
      <c r="G18" s="42">
        <f>SUM(1500*0.2)</f>
        <v>300</v>
      </c>
      <c r="H18" s="42">
        <f>SUM(1500*0.8)</f>
        <v>1200</v>
      </c>
      <c r="I18" s="47"/>
      <c r="J18" s="42"/>
      <c r="K18" s="42"/>
      <c r="L18" s="42"/>
      <c r="M18" s="42"/>
      <c r="N18" s="42"/>
      <c r="O18" s="42"/>
      <c r="P18" s="42"/>
      <c r="Q18" s="47"/>
      <c r="R18" s="43"/>
      <c r="S18" s="42"/>
      <c r="T18" s="42"/>
      <c r="U18" s="42"/>
      <c r="V18" s="42"/>
      <c r="W18" s="46"/>
      <c r="X18" s="47">
        <f t="shared" si="1"/>
        <v>192</v>
      </c>
      <c r="Y18" s="22">
        <v>1.0</v>
      </c>
      <c r="AC18" s="3"/>
      <c r="AD18" s="4"/>
    </row>
    <row r="19">
      <c r="B19" s="25"/>
      <c r="C19" s="15">
        <v>222.0</v>
      </c>
      <c r="D19" s="15"/>
      <c r="E19" s="76"/>
      <c r="F19" s="17">
        <v>11.0</v>
      </c>
      <c r="G19" s="42">
        <f>SUM(5800*0.2)</f>
        <v>1160</v>
      </c>
      <c r="H19" s="42">
        <f>SUM(5800*0.8)</f>
        <v>4640</v>
      </c>
      <c r="I19" s="45"/>
      <c r="J19" s="42"/>
      <c r="K19" s="42"/>
      <c r="L19" s="42"/>
      <c r="M19" s="42"/>
      <c r="N19" s="42"/>
      <c r="O19" s="42"/>
      <c r="P19" s="42"/>
      <c r="Q19" s="45"/>
      <c r="R19" s="42"/>
      <c r="S19" s="42"/>
      <c r="T19" s="42"/>
      <c r="U19" s="42"/>
      <c r="V19" s="42"/>
      <c r="W19" s="46"/>
      <c r="X19" s="47">
        <f t="shared" si="1"/>
        <v>742.4</v>
      </c>
      <c r="Y19" s="22">
        <v>1.0</v>
      </c>
      <c r="AC19" s="3"/>
      <c r="AD19" s="4"/>
    </row>
    <row r="20">
      <c r="B20" s="25"/>
      <c r="C20" s="15">
        <v>222.0</v>
      </c>
      <c r="D20" s="38"/>
      <c r="E20" s="16"/>
      <c r="F20" s="17">
        <v>12.0</v>
      </c>
      <c r="G20" s="42">
        <f>SUM(6500*0.2)</f>
        <v>1300</v>
      </c>
      <c r="H20" s="42">
        <f>SUM(6500*0.8)</f>
        <v>5200</v>
      </c>
      <c r="I20" s="45"/>
      <c r="J20" s="42"/>
      <c r="K20" s="42"/>
      <c r="L20" s="42"/>
      <c r="M20" s="42"/>
      <c r="N20" s="42"/>
      <c r="O20" s="42"/>
      <c r="P20" s="42"/>
      <c r="Q20" s="45"/>
      <c r="R20" s="42"/>
      <c r="S20" s="42"/>
      <c r="T20" s="42"/>
      <c r="U20" s="42"/>
      <c r="V20" s="42"/>
      <c r="W20" s="46"/>
      <c r="X20" s="47">
        <f t="shared" si="1"/>
        <v>832</v>
      </c>
      <c r="Y20" s="22">
        <v>1.0</v>
      </c>
      <c r="AC20" s="3"/>
      <c r="AD20" s="4"/>
    </row>
    <row r="21">
      <c r="B21" s="25"/>
      <c r="C21" s="15"/>
      <c r="D21" s="38"/>
      <c r="E21" s="16"/>
      <c r="F21" s="17">
        <v>13.0</v>
      </c>
      <c r="G21" s="42">
        <f>SUM(8150*0.2)</f>
        <v>1630</v>
      </c>
      <c r="H21" s="42">
        <f>SUM(8150*0.8)</f>
        <v>6520</v>
      </c>
      <c r="I21" s="47"/>
      <c r="J21" s="42"/>
      <c r="K21" s="42"/>
      <c r="L21" s="42"/>
      <c r="M21" s="42"/>
      <c r="N21" s="42"/>
      <c r="O21" s="42"/>
      <c r="P21" s="42"/>
      <c r="Q21" s="45"/>
      <c r="R21" s="42"/>
      <c r="S21" s="42"/>
      <c r="T21" s="42"/>
      <c r="U21" s="42"/>
      <c r="V21" s="42"/>
      <c r="W21" s="46">
        <f t="shared" ref="W21:W33" si="5">SUM(G21:V21)</f>
        <v>8150</v>
      </c>
      <c r="X21" s="47">
        <f t="shared" si="1"/>
        <v>1043.2</v>
      </c>
      <c r="Y21" s="22">
        <v>1.0</v>
      </c>
      <c r="AC21" s="3"/>
      <c r="AD21" s="4"/>
    </row>
    <row r="22">
      <c r="B22" s="25"/>
      <c r="C22" s="27"/>
      <c r="D22" s="27"/>
      <c r="E22" s="25"/>
      <c r="F22" s="17">
        <v>14.0</v>
      </c>
      <c r="G22" s="42">
        <f>SUM(6750*0.2)</f>
        <v>1350</v>
      </c>
      <c r="H22" s="42">
        <f>SUM(6750*0.8)</f>
        <v>5400</v>
      </c>
      <c r="I22" s="44"/>
      <c r="J22" s="47"/>
      <c r="K22" s="42"/>
      <c r="L22" s="42"/>
      <c r="M22" s="42"/>
      <c r="N22" s="42"/>
      <c r="O22" s="42"/>
      <c r="P22" s="42"/>
      <c r="Q22" s="44"/>
      <c r="R22" s="42"/>
      <c r="S22" s="42"/>
      <c r="T22" s="42"/>
      <c r="U22" s="43"/>
      <c r="V22" s="42"/>
      <c r="W22" s="46">
        <f t="shared" si="5"/>
        <v>6750</v>
      </c>
      <c r="X22" s="47">
        <f>SUM(G22*0.08)+(H22*0.14)+(I22*27)+(J22*40)+(L22*50)+(N22*350)+(O22*550)+(P22*160)+(Q22*200)+(R22*260)+(S22*330)+(T22*110)+(U22*120)+(V22*0.7)</f>
        <v>864</v>
      </c>
      <c r="Y22" s="22">
        <v>1.0</v>
      </c>
      <c r="AC22" s="3"/>
      <c r="AD22" s="4"/>
    </row>
    <row r="23">
      <c r="B23" s="25"/>
      <c r="C23" s="27"/>
      <c r="D23" s="27"/>
      <c r="E23" s="25"/>
      <c r="F23" s="17">
        <v>15.0</v>
      </c>
      <c r="G23" s="68">
        <f t="shared" ref="G23:G24" si="6">SUM(0*0.2)</f>
        <v>0</v>
      </c>
      <c r="H23" s="68">
        <f t="shared" ref="H23:H24" si="7">SUM(0*0.8)</f>
        <v>0</v>
      </c>
      <c r="I23" s="71"/>
      <c r="J23" s="68"/>
      <c r="K23" s="68"/>
      <c r="L23" s="68"/>
      <c r="M23" s="68"/>
      <c r="N23" s="68"/>
      <c r="O23" s="68"/>
      <c r="P23" s="68"/>
      <c r="Q23" s="69"/>
      <c r="R23" s="68"/>
      <c r="S23" s="68"/>
      <c r="T23" s="68"/>
      <c r="U23" s="68"/>
      <c r="V23" s="68"/>
      <c r="W23" s="70">
        <f t="shared" si="5"/>
        <v>0</v>
      </c>
      <c r="X23" s="71">
        <f t="shared" ref="X23:X24" si="8">SUM(G23*0.08)+(H23*0.14)+(I23*27)+(J23*40)+(L23*50)+(N23*350)+(O23*550)+(P23*160)+(Q23*200)+(R23*260)+(S23*330)+(T23*110)+(U23*120)+(V23*0.7)</f>
        <v>0</v>
      </c>
      <c r="Y23" s="22">
        <v>0.0</v>
      </c>
      <c r="AC23" s="3"/>
      <c r="AD23" s="4"/>
    </row>
    <row r="24">
      <c r="B24" s="25"/>
      <c r="C24" s="15"/>
      <c r="D24" s="15"/>
      <c r="E24" s="16"/>
      <c r="F24" s="17">
        <v>16.0</v>
      </c>
      <c r="G24" s="68">
        <f t="shared" si="6"/>
        <v>0</v>
      </c>
      <c r="H24" s="68">
        <f t="shared" si="7"/>
        <v>0</v>
      </c>
      <c r="I24" s="71"/>
      <c r="J24" s="71"/>
      <c r="K24" s="68"/>
      <c r="L24" s="68"/>
      <c r="M24" s="68"/>
      <c r="N24" s="68"/>
      <c r="O24" s="68"/>
      <c r="P24" s="68"/>
      <c r="Q24" s="69"/>
      <c r="R24" s="68"/>
      <c r="S24" s="68"/>
      <c r="T24" s="68"/>
      <c r="U24" s="68"/>
      <c r="V24" s="68"/>
      <c r="W24" s="70">
        <f t="shared" si="5"/>
        <v>0</v>
      </c>
      <c r="X24" s="71">
        <f t="shared" si="8"/>
        <v>0</v>
      </c>
      <c r="Y24" s="22">
        <v>0.0</v>
      </c>
      <c r="AC24" s="3"/>
      <c r="AD24" s="4"/>
    </row>
    <row r="25">
      <c r="B25" s="25"/>
      <c r="C25" s="15"/>
      <c r="D25" s="15"/>
      <c r="E25" s="54"/>
      <c r="F25" s="17">
        <v>17.0</v>
      </c>
      <c r="G25" s="42">
        <f>SUM(9025*0.2)</f>
        <v>1805</v>
      </c>
      <c r="H25" s="42">
        <f>SUM(9025*0.8)</f>
        <v>7220</v>
      </c>
      <c r="I25" s="44">
        <v>0.0</v>
      </c>
      <c r="J25" s="42"/>
      <c r="K25" s="42"/>
      <c r="L25" s="42"/>
      <c r="M25" s="42"/>
      <c r="N25" s="42"/>
      <c r="O25" s="42"/>
      <c r="P25" s="42"/>
      <c r="Q25" s="44">
        <v>0.0</v>
      </c>
      <c r="R25" s="42"/>
      <c r="S25" s="42"/>
      <c r="T25" s="42"/>
      <c r="U25" s="43"/>
      <c r="V25" s="42"/>
      <c r="W25" s="46">
        <f t="shared" si="5"/>
        <v>9025</v>
      </c>
      <c r="X25" s="47">
        <f>SUM(G25*0.08)+(H25*0.14)+(I25*27)+(J25*40)+(L25*50)+(N25*350)+(O25*550)+(P25*160)+(Q25*200)+(R25*260)+(S25*330)+(T25*110)+(U25*120)+(V25*0.7)</f>
        <v>1155.2</v>
      </c>
      <c r="Y25" s="22">
        <v>1.0</v>
      </c>
      <c r="AC25" s="3"/>
      <c r="AD25" s="4"/>
    </row>
    <row r="26">
      <c r="B26" s="25"/>
      <c r="C26" s="15"/>
      <c r="D26" s="15"/>
      <c r="E26" s="54"/>
      <c r="F26" s="17">
        <v>18.0</v>
      </c>
      <c r="G26" s="42">
        <f>SUM(9550*0.2)</f>
        <v>1910</v>
      </c>
      <c r="H26" s="42">
        <f>SUM(9550*0.8)</f>
        <v>7640</v>
      </c>
      <c r="I26" s="44">
        <v>0.0</v>
      </c>
      <c r="J26" s="42"/>
      <c r="K26" s="42"/>
      <c r="L26" s="42"/>
      <c r="M26" s="42"/>
      <c r="N26" s="42"/>
      <c r="O26" s="42"/>
      <c r="P26" s="42"/>
      <c r="Q26" s="44">
        <v>0.0</v>
      </c>
      <c r="R26" s="42"/>
      <c r="S26" s="42"/>
      <c r="T26" s="42"/>
      <c r="U26" s="43"/>
      <c r="V26" s="42"/>
      <c r="W26" s="46">
        <f t="shared" si="5"/>
        <v>9550</v>
      </c>
      <c r="X26" s="47">
        <f t="shared" ref="X26:X29" si="9">SUM(G26*0.08)+(H26*0.1)+(I26*27)+(J26*40)+(L26*50)+(N26*350)+(O26*550)+(P26*160)+(Q26*200)+(R26*260)+(S26*330)+(T26*110)+(U26*120)+(V26*0.7)</f>
        <v>916.8</v>
      </c>
      <c r="Y26" s="22">
        <v>1.0</v>
      </c>
      <c r="AC26" s="3"/>
      <c r="AD26" s="4"/>
    </row>
    <row r="27">
      <c r="B27" s="25"/>
      <c r="C27" s="15"/>
      <c r="D27" s="15"/>
      <c r="E27" s="54"/>
      <c r="F27" s="17">
        <v>19.0</v>
      </c>
      <c r="G27" s="42">
        <f t="shared" ref="G27:G28" si="10">SUM(9000*0.2)</f>
        <v>1800</v>
      </c>
      <c r="H27" s="42">
        <f t="shared" ref="H27:H28" si="11">SUM(9000*0.8)</f>
        <v>7200</v>
      </c>
      <c r="I27" s="44">
        <v>0.0</v>
      </c>
      <c r="J27" s="42"/>
      <c r="K27" s="42"/>
      <c r="L27" s="42"/>
      <c r="M27" s="42"/>
      <c r="N27" s="42"/>
      <c r="O27" s="42"/>
      <c r="P27" s="42"/>
      <c r="Q27" s="44">
        <v>0.0</v>
      </c>
      <c r="R27" s="42"/>
      <c r="S27" s="42"/>
      <c r="T27" s="42"/>
      <c r="U27" s="43"/>
      <c r="V27" s="42"/>
      <c r="W27" s="46">
        <f t="shared" si="5"/>
        <v>9000</v>
      </c>
      <c r="X27" s="47">
        <f t="shared" si="9"/>
        <v>864</v>
      </c>
      <c r="Y27" s="22">
        <v>1.0</v>
      </c>
      <c r="AC27" s="3"/>
      <c r="AD27" s="4"/>
    </row>
    <row r="28">
      <c r="B28" s="25"/>
      <c r="C28" s="27"/>
      <c r="D28" s="27"/>
      <c r="E28" s="25"/>
      <c r="F28" s="17">
        <v>20.0</v>
      </c>
      <c r="G28" s="42">
        <f t="shared" si="10"/>
        <v>1800</v>
      </c>
      <c r="H28" s="42">
        <f t="shared" si="11"/>
        <v>7200</v>
      </c>
      <c r="I28" s="44">
        <v>0.0</v>
      </c>
      <c r="J28" s="42"/>
      <c r="K28" s="42"/>
      <c r="L28" s="42"/>
      <c r="M28" s="42"/>
      <c r="N28" s="42"/>
      <c r="O28" s="42"/>
      <c r="P28" s="42"/>
      <c r="Q28" s="44">
        <v>0.0</v>
      </c>
      <c r="R28" s="42"/>
      <c r="S28" s="42"/>
      <c r="T28" s="42"/>
      <c r="U28" s="43"/>
      <c r="V28" s="42"/>
      <c r="W28" s="46">
        <f t="shared" si="5"/>
        <v>9000</v>
      </c>
      <c r="X28" s="47">
        <f t="shared" si="9"/>
        <v>864</v>
      </c>
      <c r="Y28" s="22">
        <v>1.0</v>
      </c>
      <c r="AC28" s="3"/>
      <c r="AD28" s="4"/>
    </row>
    <row r="29">
      <c r="B29" s="25"/>
      <c r="C29" s="27"/>
      <c r="D29" s="27"/>
      <c r="E29" s="25"/>
      <c r="F29" s="17">
        <v>21.0</v>
      </c>
      <c r="G29" s="42">
        <f>SUM(9800*0.2)</f>
        <v>1960</v>
      </c>
      <c r="H29" s="42">
        <f>SUM(9800*0.8)</f>
        <v>7840</v>
      </c>
      <c r="I29" s="44">
        <v>0.0</v>
      </c>
      <c r="J29" s="42"/>
      <c r="K29" s="42"/>
      <c r="L29" s="42"/>
      <c r="M29" s="42"/>
      <c r="N29" s="42"/>
      <c r="O29" s="42"/>
      <c r="P29" s="42"/>
      <c r="Q29" s="44">
        <v>0.0</v>
      </c>
      <c r="R29" s="42"/>
      <c r="S29" s="42"/>
      <c r="T29" s="42"/>
      <c r="U29" s="43"/>
      <c r="V29" s="42"/>
      <c r="W29" s="46">
        <f t="shared" si="5"/>
        <v>9800</v>
      </c>
      <c r="X29" s="47">
        <f t="shared" si="9"/>
        <v>940.8</v>
      </c>
      <c r="Y29" s="22">
        <v>1.0</v>
      </c>
      <c r="AC29" s="3"/>
      <c r="AD29" s="4"/>
    </row>
    <row r="30">
      <c r="B30" s="25"/>
      <c r="C30" s="27"/>
      <c r="D30" s="27"/>
      <c r="E30" s="25"/>
      <c r="F30" s="17">
        <v>22.0</v>
      </c>
      <c r="G30" s="68">
        <f t="shared" ref="G30:G32" si="12">SUM(0*0.2)</f>
        <v>0</v>
      </c>
      <c r="H30" s="68">
        <f t="shared" ref="H30:H32" si="13">SUM(0*0.8)</f>
        <v>0</v>
      </c>
      <c r="I30" s="71"/>
      <c r="J30" s="68"/>
      <c r="K30" s="68"/>
      <c r="L30" s="68"/>
      <c r="M30" s="68"/>
      <c r="N30" s="68"/>
      <c r="O30" s="68"/>
      <c r="P30" s="68"/>
      <c r="Q30" s="69"/>
      <c r="R30" s="68"/>
      <c r="S30" s="68"/>
      <c r="T30" s="68"/>
      <c r="U30" s="68"/>
      <c r="V30" s="68"/>
      <c r="W30" s="70">
        <f t="shared" si="5"/>
        <v>0</v>
      </c>
      <c r="X30" s="71">
        <f t="shared" ref="X30:X31" si="14">SUM(G30*0.08)+(H30*0.14)+(I30*27)+(J30*40)+(L30*50)+(N30*350)+(O30*550)+(P30*160)+(Q30*200)+(R30*260)+(S30*330)+(T30*110)+(U30*120)+(V30*0.7)</f>
        <v>0</v>
      </c>
      <c r="Y30" s="22">
        <v>0.0</v>
      </c>
      <c r="AC30" s="3"/>
      <c r="AD30" s="4"/>
    </row>
    <row r="31">
      <c r="B31" s="25"/>
      <c r="C31" s="27"/>
      <c r="D31" s="27"/>
      <c r="E31" s="25"/>
      <c r="F31" s="17">
        <v>23.0</v>
      </c>
      <c r="G31" s="68">
        <f t="shared" si="12"/>
        <v>0</v>
      </c>
      <c r="H31" s="68">
        <f t="shared" si="13"/>
        <v>0</v>
      </c>
      <c r="I31" s="71"/>
      <c r="J31" s="71"/>
      <c r="K31" s="68"/>
      <c r="L31" s="68"/>
      <c r="M31" s="68"/>
      <c r="N31" s="68"/>
      <c r="O31" s="68"/>
      <c r="P31" s="68"/>
      <c r="Q31" s="69"/>
      <c r="R31" s="68"/>
      <c r="S31" s="68"/>
      <c r="T31" s="68"/>
      <c r="U31" s="68"/>
      <c r="V31" s="68"/>
      <c r="W31" s="70">
        <f t="shared" si="5"/>
        <v>0</v>
      </c>
      <c r="X31" s="71">
        <f t="shared" si="14"/>
        <v>0</v>
      </c>
      <c r="Y31" s="22">
        <v>0.0</v>
      </c>
      <c r="AC31" s="3"/>
      <c r="AD31" s="4"/>
    </row>
    <row r="32">
      <c r="B32" s="25"/>
      <c r="C32" s="27"/>
      <c r="D32" s="27"/>
      <c r="E32" s="25"/>
      <c r="F32" s="17">
        <v>24.0</v>
      </c>
      <c r="G32" s="55">
        <f t="shared" si="12"/>
        <v>0</v>
      </c>
      <c r="H32" s="55">
        <f t="shared" si="13"/>
        <v>0</v>
      </c>
      <c r="I32" s="77">
        <v>0.0</v>
      </c>
      <c r="J32" s="55"/>
      <c r="K32" s="55"/>
      <c r="L32" s="55"/>
      <c r="M32" s="55"/>
      <c r="N32" s="55"/>
      <c r="O32" s="55"/>
      <c r="P32" s="55"/>
      <c r="Q32" s="77">
        <v>0.0</v>
      </c>
      <c r="R32" s="55"/>
      <c r="S32" s="55"/>
      <c r="T32" s="55"/>
      <c r="U32" s="78"/>
      <c r="V32" s="55"/>
      <c r="W32" s="58">
        <f t="shared" si="5"/>
        <v>0</v>
      </c>
      <c r="X32" s="56">
        <f t="shared" ref="X32:X33" si="15">SUM(G32*0.08)+(H32*0.1)+(I32*27)+(J32*40)+(L32*50)+(N32*350)+(O32*550)+(P32*160)+(Q32*200)+(R32*260)+(S32*330)+(T32*110)+(U32*120)+(V32*0.7)</f>
        <v>0</v>
      </c>
      <c r="Y32" s="22">
        <v>1.0</v>
      </c>
      <c r="Z32" s="52" t="s">
        <v>50</v>
      </c>
      <c r="AC32" s="3"/>
      <c r="AD32" s="4"/>
    </row>
    <row r="33">
      <c r="B33" s="59"/>
      <c r="C33" s="60"/>
      <c r="D33" s="60"/>
      <c r="E33" s="59"/>
      <c r="F33" s="17">
        <v>25.0</v>
      </c>
      <c r="G33" s="42">
        <f>SUM(1500*0.2)</f>
        <v>300</v>
      </c>
      <c r="H33" s="42">
        <f>SUM(1500*0.8)</f>
        <v>1200</v>
      </c>
      <c r="I33" s="44">
        <v>0.0</v>
      </c>
      <c r="J33" s="42"/>
      <c r="K33" s="42"/>
      <c r="L33" s="42"/>
      <c r="M33" s="42"/>
      <c r="N33" s="42"/>
      <c r="O33" s="42"/>
      <c r="P33" s="42"/>
      <c r="Q33" s="44">
        <v>0.0</v>
      </c>
      <c r="R33" s="42"/>
      <c r="S33" s="42"/>
      <c r="T33" s="42"/>
      <c r="U33" s="43"/>
      <c r="V33" s="42"/>
      <c r="W33" s="46">
        <f t="shared" si="5"/>
        <v>1500</v>
      </c>
      <c r="X33" s="47">
        <f t="shared" si="15"/>
        <v>144</v>
      </c>
      <c r="Y33" s="22">
        <v>1.0</v>
      </c>
      <c r="Z33" s="52" t="s">
        <v>51</v>
      </c>
      <c r="AC33" s="3"/>
      <c r="AD33" s="4"/>
    </row>
    <row r="34">
      <c r="B34" s="1"/>
      <c r="E34" s="1"/>
      <c r="F34" s="2"/>
      <c r="Y34" s="1"/>
      <c r="AC34" s="3"/>
      <c r="AD34" s="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6.13"/>
    <col customWidth="1" min="4" max="4" width="33.0"/>
    <col customWidth="1" min="5" max="5" width="17.25"/>
    <col customWidth="1" min="6" max="6" width="4.38"/>
    <col customWidth="1" min="7" max="7" width="11.13"/>
    <col customWidth="1" min="8" max="9" width="9.38"/>
    <col customWidth="1" min="10" max="10" width="6.63"/>
    <col customWidth="1" min="11" max="11" width="6.38"/>
    <col customWidth="1" min="12" max="12" width="6.25"/>
    <col customWidth="1" min="13" max="13" width="6.63"/>
    <col customWidth="1" min="14" max="14" width="5.5"/>
    <col customWidth="1" min="15" max="17" width="9.38"/>
    <col customWidth="1" min="18" max="18" width="7.5"/>
    <col customWidth="1" min="19" max="22" width="9.38"/>
    <col customWidth="1" min="23" max="24" width="7.25"/>
    <col customWidth="1" min="26" max="26" width="7.63"/>
    <col customWidth="1" min="27" max="27" width="7.25"/>
    <col customWidth="1" min="28" max="28" width="14.88"/>
    <col customWidth="1" min="29" max="29" width="25.13"/>
    <col customWidth="1" min="30" max="30" width="12.25"/>
    <col customWidth="1" min="31" max="31" width="3.0"/>
    <col customWidth="1" min="32" max="32" width="15.25"/>
    <col customWidth="1" min="33" max="33" width="11.25"/>
  </cols>
  <sheetData>
    <row r="1" ht="27.0" customHeight="1">
      <c r="B1" s="1"/>
      <c r="E1" s="1"/>
      <c r="F1" s="2"/>
      <c r="AA1" s="1"/>
      <c r="AB1" s="1"/>
      <c r="AF1" s="3"/>
      <c r="AG1" s="4"/>
    </row>
    <row r="2" ht="19.5" customHeight="1">
      <c r="A2" s="5"/>
      <c r="B2" s="6" t="s">
        <v>0</v>
      </c>
      <c r="C2" s="6" t="s">
        <v>37</v>
      </c>
      <c r="D2" s="6" t="s">
        <v>38</v>
      </c>
      <c r="E2" s="6" t="s">
        <v>3</v>
      </c>
      <c r="F2" s="7" t="s">
        <v>4</v>
      </c>
      <c r="G2" s="8" t="s">
        <v>5</v>
      </c>
      <c r="H2" s="8" t="s">
        <v>6</v>
      </c>
      <c r="I2" s="8" t="s">
        <v>52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9" t="s">
        <v>15</v>
      </c>
      <c r="R2" s="8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79" t="s">
        <v>53</v>
      </c>
      <c r="Y2" s="7" t="s">
        <v>22</v>
      </c>
      <c r="Z2" s="7" t="s">
        <v>23</v>
      </c>
      <c r="AA2" s="10"/>
      <c r="AB2" s="10"/>
      <c r="AC2" s="11"/>
      <c r="AD2" s="11"/>
      <c r="AE2" s="11"/>
      <c r="AF2" s="12"/>
      <c r="AG2" s="13"/>
      <c r="AH2" s="11"/>
      <c r="AI2" s="11"/>
      <c r="AJ2" s="11"/>
      <c r="AK2" s="11"/>
      <c r="AL2" s="11"/>
      <c r="AM2" s="11"/>
    </row>
    <row r="3">
      <c r="B3" s="14"/>
      <c r="C3" s="15"/>
      <c r="D3" s="15"/>
      <c r="E3" s="16"/>
      <c r="F3" s="17">
        <v>26.0</v>
      </c>
      <c r="G3" s="42">
        <f>SUM(0*0.2)</f>
        <v>0</v>
      </c>
      <c r="H3" s="42">
        <f>SUM(0*0.8)</f>
        <v>0</v>
      </c>
      <c r="I3" s="42"/>
      <c r="J3" s="45"/>
      <c r="K3" s="42"/>
      <c r="L3" s="42"/>
      <c r="M3" s="42"/>
      <c r="N3" s="42"/>
      <c r="O3" s="42"/>
      <c r="P3" s="42"/>
      <c r="Q3" s="42"/>
      <c r="R3" s="45"/>
      <c r="S3" s="42"/>
      <c r="T3" s="42"/>
      <c r="U3" s="42"/>
      <c r="V3" s="42"/>
      <c r="W3" s="42"/>
      <c r="X3" s="80"/>
      <c r="Y3" s="46">
        <f t="shared" ref="Y3:Y28" si="1">SUM(G3:W3)</f>
        <v>0</v>
      </c>
      <c r="Z3" s="47">
        <f t="shared" ref="Z3:Z5" si="2">SUM(G3*0.08)+(H3*0.14)+(J3*27)+(K3*40)+(M3*50)+(O3*350)+(P3*550)+(Q3*160)+(R3*200)+(S3*260)+(T3*330)+(U3*110)+(V3*120)+(W3*0.7)+X3</f>
        <v>0</v>
      </c>
      <c r="AA3" s="22">
        <v>1.0</v>
      </c>
      <c r="AB3" s="22" t="s">
        <v>54</v>
      </c>
      <c r="AC3" s="23" t="s">
        <v>24</v>
      </c>
      <c r="AD3" s="24">
        <f>SUM(Z3:Z30)</f>
        <v>21102.56</v>
      </c>
      <c r="AF3" s="3"/>
      <c r="AG3" s="4"/>
    </row>
    <row r="4">
      <c r="B4" s="25"/>
      <c r="C4" s="15"/>
      <c r="D4" s="15"/>
      <c r="E4" s="16"/>
      <c r="F4" s="17">
        <v>27.0</v>
      </c>
      <c r="G4" s="42">
        <f>SUM(15000*0.2)</f>
        <v>3000</v>
      </c>
      <c r="H4" s="42">
        <f>SUM(15000*0.8)</f>
        <v>12000</v>
      </c>
      <c r="I4" s="43">
        <v>15000.0</v>
      </c>
      <c r="J4" s="45"/>
      <c r="K4" s="42"/>
      <c r="L4" s="42"/>
      <c r="M4" s="42"/>
      <c r="N4" s="42"/>
      <c r="O4" s="42"/>
      <c r="P4" s="42"/>
      <c r="Q4" s="42"/>
      <c r="R4" s="45"/>
      <c r="S4" s="42"/>
      <c r="T4" s="42"/>
      <c r="U4" s="42"/>
      <c r="V4" s="42"/>
      <c r="W4" s="42"/>
      <c r="X4" s="80"/>
      <c r="Y4" s="46">
        <f t="shared" si="1"/>
        <v>30000</v>
      </c>
      <c r="Z4" s="47">
        <f t="shared" si="2"/>
        <v>1920</v>
      </c>
      <c r="AA4" s="22">
        <v>1.0</v>
      </c>
      <c r="AB4" s="22"/>
      <c r="AF4" s="3"/>
      <c r="AG4" s="4"/>
    </row>
    <row r="5">
      <c r="B5" s="25"/>
      <c r="C5" s="15"/>
      <c r="D5" s="15"/>
      <c r="E5" s="16"/>
      <c r="F5" s="17">
        <v>28.0</v>
      </c>
      <c r="G5" s="42">
        <f>SUM(13000*0.2)</f>
        <v>2600</v>
      </c>
      <c r="H5" s="42">
        <f>SUM(13000*0.8)</f>
        <v>10400</v>
      </c>
      <c r="I5" s="43">
        <v>13000.0</v>
      </c>
      <c r="J5" s="47"/>
      <c r="K5" s="42"/>
      <c r="L5" s="42"/>
      <c r="M5" s="42"/>
      <c r="N5" s="42"/>
      <c r="O5" s="42"/>
      <c r="P5" s="42"/>
      <c r="Q5" s="42"/>
      <c r="R5" s="45"/>
      <c r="S5" s="42"/>
      <c r="T5" s="42"/>
      <c r="U5" s="42"/>
      <c r="V5" s="42"/>
      <c r="W5" s="42"/>
      <c r="X5" s="80"/>
      <c r="Y5" s="46">
        <f t="shared" si="1"/>
        <v>26000</v>
      </c>
      <c r="Z5" s="47">
        <f t="shared" si="2"/>
        <v>1664</v>
      </c>
      <c r="AA5" s="22">
        <v>1.0</v>
      </c>
      <c r="AB5" s="22"/>
      <c r="AF5" s="3"/>
      <c r="AG5" s="4"/>
    </row>
    <row r="6">
      <c r="B6" s="25"/>
      <c r="C6" s="27"/>
      <c r="D6" s="27"/>
      <c r="E6" s="25"/>
      <c r="F6" s="17">
        <v>1.0</v>
      </c>
      <c r="G6" s="55">
        <f t="shared" ref="G6:G7" si="3">SUM(0*0.2)</f>
        <v>0</v>
      </c>
      <c r="H6" s="55">
        <f t="shared" ref="H6:H7" si="4">SUM(0*0.8)</f>
        <v>0</v>
      </c>
      <c r="I6" s="55"/>
      <c r="J6" s="57"/>
      <c r="K6" s="55"/>
      <c r="L6" s="55"/>
      <c r="M6" s="55"/>
      <c r="N6" s="55"/>
      <c r="O6" s="55"/>
      <c r="P6" s="55"/>
      <c r="Q6" s="55"/>
      <c r="R6" s="57"/>
      <c r="S6" s="55"/>
      <c r="T6" s="55"/>
      <c r="U6" s="55"/>
      <c r="V6" s="55"/>
      <c r="W6" s="55"/>
      <c r="X6" s="81"/>
      <c r="Y6" s="58">
        <f t="shared" si="1"/>
        <v>0</v>
      </c>
      <c r="Z6" s="58">
        <f t="shared" ref="Z6:Z7" si="5">SUM(H6:X6)</f>
        <v>0</v>
      </c>
      <c r="AA6" s="22"/>
      <c r="AB6" s="22"/>
      <c r="AC6" s="29"/>
      <c r="AF6" s="3"/>
      <c r="AG6" s="4"/>
    </row>
    <row r="7">
      <c r="B7" s="25"/>
      <c r="C7" s="27"/>
      <c r="D7" s="27"/>
      <c r="E7" s="25"/>
      <c r="F7" s="17">
        <v>2.0</v>
      </c>
      <c r="G7" s="55">
        <f t="shared" si="3"/>
        <v>0</v>
      </c>
      <c r="H7" s="55">
        <f t="shared" si="4"/>
        <v>0</v>
      </c>
      <c r="I7" s="55"/>
      <c r="J7" s="57"/>
      <c r="K7" s="55"/>
      <c r="L7" s="55"/>
      <c r="M7" s="55"/>
      <c r="N7" s="55"/>
      <c r="O7" s="55"/>
      <c r="P7" s="55"/>
      <c r="Q7" s="55"/>
      <c r="R7" s="77"/>
      <c r="S7" s="55"/>
      <c r="T7" s="55"/>
      <c r="U7" s="55"/>
      <c r="V7" s="55"/>
      <c r="W7" s="55"/>
      <c r="X7" s="81"/>
      <c r="Y7" s="58">
        <f t="shared" si="1"/>
        <v>0</v>
      </c>
      <c r="Z7" s="58">
        <f t="shared" si="5"/>
        <v>0</v>
      </c>
      <c r="AA7" s="22"/>
      <c r="AB7" s="22"/>
      <c r="AF7" s="3"/>
      <c r="AG7" s="4"/>
    </row>
    <row r="8">
      <c r="B8" s="25"/>
      <c r="C8" s="27"/>
      <c r="D8" s="27"/>
      <c r="E8" s="25"/>
      <c r="F8" s="17">
        <v>3.0</v>
      </c>
      <c r="G8" s="42">
        <f>SUM(9650*0.2)</f>
        <v>1930</v>
      </c>
      <c r="H8" s="42">
        <f>SUM(9650*0.8)</f>
        <v>7720</v>
      </c>
      <c r="I8" s="43">
        <v>9650.0</v>
      </c>
      <c r="J8" s="47"/>
      <c r="K8" s="42"/>
      <c r="L8" s="42"/>
      <c r="M8" s="42"/>
      <c r="N8" s="42"/>
      <c r="O8" s="42"/>
      <c r="P8" s="42"/>
      <c r="Q8" s="42"/>
      <c r="R8" s="45"/>
      <c r="S8" s="42"/>
      <c r="T8" s="42"/>
      <c r="U8" s="42"/>
      <c r="V8" s="42"/>
      <c r="W8" s="42"/>
      <c r="X8" s="80"/>
      <c r="Y8" s="46">
        <f t="shared" si="1"/>
        <v>19300</v>
      </c>
      <c r="Z8" s="47">
        <f t="shared" ref="Z8:Z11" si="6">SUM(G8*0.08)+(H8*0.14)+(J8*27)+(K8*40)+(M8*50)+(O8*350)+(P8*550)+(Q8*160)+(R8*200)+(S8*260)+(T8*330)+(U8*110)+(V8*120)+(W8*0.7)+X8</f>
        <v>1235.2</v>
      </c>
      <c r="AA8" s="22">
        <v>1.0</v>
      </c>
      <c r="AB8" s="22"/>
      <c r="AF8" s="3"/>
      <c r="AG8" s="4"/>
    </row>
    <row r="9">
      <c r="B9" s="25"/>
      <c r="C9" s="15"/>
      <c r="D9" s="75"/>
      <c r="E9" s="33"/>
      <c r="F9" s="17">
        <v>4.0</v>
      </c>
      <c r="G9" s="42">
        <f>SUM(10000*0.2)</f>
        <v>2000</v>
      </c>
      <c r="H9" s="42">
        <f>SUM(10000*0.8)</f>
        <v>8000</v>
      </c>
      <c r="I9" s="43">
        <v>10000.0</v>
      </c>
      <c r="J9" s="47"/>
      <c r="K9" s="47"/>
      <c r="L9" s="42"/>
      <c r="M9" s="42"/>
      <c r="N9" s="42"/>
      <c r="O9" s="42"/>
      <c r="P9" s="42"/>
      <c r="Q9" s="42"/>
      <c r="R9" s="45"/>
      <c r="S9" s="42"/>
      <c r="T9" s="42"/>
      <c r="U9" s="42"/>
      <c r="V9" s="42"/>
      <c r="W9" s="42"/>
      <c r="X9" s="80"/>
      <c r="Y9" s="46">
        <f t="shared" si="1"/>
        <v>20000</v>
      </c>
      <c r="Z9" s="47">
        <f t="shared" si="6"/>
        <v>1280</v>
      </c>
      <c r="AA9" s="22">
        <v>1.0</v>
      </c>
      <c r="AB9" s="22"/>
      <c r="AF9" s="3"/>
      <c r="AG9" s="4"/>
    </row>
    <row r="10">
      <c r="B10" s="25"/>
      <c r="C10" s="15"/>
      <c r="D10" s="75"/>
      <c r="E10" s="33"/>
      <c r="F10" s="17">
        <v>5.0</v>
      </c>
      <c r="G10" s="42">
        <f>SUM(10900*0.2)</f>
        <v>2180</v>
      </c>
      <c r="H10" s="42">
        <f>SUM(10900*0.8)</f>
        <v>8720</v>
      </c>
      <c r="I10" s="43">
        <v>10900.0</v>
      </c>
      <c r="J10" s="47"/>
      <c r="K10" s="42"/>
      <c r="L10" s="42"/>
      <c r="M10" s="42"/>
      <c r="N10" s="42"/>
      <c r="O10" s="42"/>
      <c r="P10" s="42"/>
      <c r="Q10" s="42"/>
      <c r="R10" s="47"/>
      <c r="S10" s="42"/>
      <c r="T10" s="42"/>
      <c r="U10" s="42"/>
      <c r="V10" s="42"/>
      <c r="W10" s="42"/>
      <c r="X10" s="80"/>
      <c r="Y10" s="46">
        <f t="shared" si="1"/>
        <v>21800</v>
      </c>
      <c r="Z10" s="47">
        <f t="shared" si="6"/>
        <v>1395.2</v>
      </c>
      <c r="AA10" s="22">
        <v>1.0</v>
      </c>
      <c r="AB10" s="22"/>
      <c r="AF10" s="3"/>
      <c r="AG10" s="4"/>
    </row>
    <row r="11">
      <c r="B11" s="25"/>
      <c r="C11" s="27"/>
      <c r="D11" s="34"/>
      <c r="E11" s="36"/>
      <c r="F11" s="17">
        <v>6.0</v>
      </c>
      <c r="G11" s="42">
        <f>SUM(12750*0.2)</f>
        <v>2550</v>
      </c>
      <c r="H11" s="42">
        <f>SUM(12750*0.8)</f>
        <v>10200</v>
      </c>
      <c r="I11" s="43">
        <v>12750.0</v>
      </c>
      <c r="J11" s="45"/>
      <c r="K11" s="42"/>
      <c r="L11" s="42"/>
      <c r="M11" s="42"/>
      <c r="N11" s="42"/>
      <c r="O11" s="42"/>
      <c r="P11" s="42"/>
      <c r="Q11" s="42"/>
      <c r="R11" s="45"/>
      <c r="S11" s="42"/>
      <c r="T11" s="42"/>
      <c r="U11" s="42"/>
      <c r="V11" s="42"/>
      <c r="W11" s="42"/>
      <c r="X11" s="80"/>
      <c r="Y11" s="46">
        <f t="shared" si="1"/>
        <v>25500</v>
      </c>
      <c r="Z11" s="47">
        <f t="shared" si="6"/>
        <v>1632</v>
      </c>
      <c r="AA11" s="22">
        <v>1.0</v>
      </c>
      <c r="AB11" s="22"/>
      <c r="AF11" s="3"/>
      <c r="AG11" s="4"/>
    </row>
    <row r="12">
      <c r="B12" s="25"/>
      <c r="C12" s="27"/>
      <c r="D12" s="27"/>
      <c r="E12" s="25"/>
      <c r="F12" s="17">
        <v>7.0</v>
      </c>
      <c r="G12" s="82">
        <f t="shared" ref="G12:G14" si="7">SUM(0*0.2)</f>
        <v>0</v>
      </c>
      <c r="H12" s="82">
        <f t="shared" ref="H12:H14" si="8">SUM(0*0.8)</f>
        <v>0</v>
      </c>
      <c r="I12" s="82"/>
      <c r="J12" s="83"/>
      <c r="K12" s="82"/>
      <c r="L12" s="82"/>
      <c r="M12" s="82"/>
      <c r="N12" s="82"/>
      <c r="O12" s="82"/>
      <c r="P12" s="82"/>
      <c r="Q12" s="82"/>
      <c r="R12" s="83"/>
      <c r="S12" s="82"/>
      <c r="T12" s="82"/>
      <c r="U12" s="82"/>
      <c r="V12" s="82"/>
      <c r="W12" s="82"/>
      <c r="X12" s="84"/>
      <c r="Y12" s="85">
        <f t="shared" si="1"/>
        <v>0</v>
      </c>
      <c r="Z12" s="85">
        <f t="shared" ref="Z12:Z14" si="9">SUM(H12:X12)</f>
        <v>0</v>
      </c>
      <c r="AA12" s="22"/>
      <c r="AB12" s="22" t="s">
        <v>55</v>
      </c>
      <c r="AF12" s="3"/>
      <c r="AG12" s="4"/>
    </row>
    <row r="13">
      <c r="B13" s="25"/>
      <c r="C13" s="27"/>
      <c r="D13" s="27"/>
      <c r="E13" s="25"/>
      <c r="F13" s="17">
        <v>8.0</v>
      </c>
      <c r="G13" s="55">
        <f t="shared" si="7"/>
        <v>0</v>
      </c>
      <c r="H13" s="55">
        <f t="shared" si="8"/>
        <v>0</v>
      </c>
      <c r="I13" s="55"/>
      <c r="J13" s="57"/>
      <c r="K13" s="55"/>
      <c r="L13" s="55"/>
      <c r="M13" s="55"/>
      <c r="N13" s="55"/>
      <c r="O13" s="55"/>
      <c r="P13" s="55"/>
      <c r="Q13" s="55"/>
      <c r="R13" s="57"/>
      <c r="S13" s="55"/>
      <c r="T13" s="55"/>
      <c r="U13" s="55"/>
      <c r="V13" s="55"/>
      <c r="W13" s="55"/>
      <c r="X13" s="81"/>
      <c r="Y13" s="58">
        <f t="shared" si="1"/>
        <v>0</v>
      </c>
      <c r="Z13" s="58">
        <f t="shared" si="9"/>
        <v>0</v>
      </c>
      <c r="AA13" s="22"/>
      <c r="AB13" s="1"/>
      <c r="AF13" s="3"/>
      <c r="AG13" s="4"/>
    </row>
    <row r="14">
      <c r="B14" s="25"/>
      <c r="C14" s="15"/>
      <c r="D14" s="38"/>
      <c r="E14" s="16"/>
      <c r="F14" s="17">
        <v>9.0</v>
      </c>
      <c r="G14" s="55">
        <f t="shared" si="7"/>
        <v>0</v>
      </c>
      <c r="H14" s="55">
        <f t="shared" si="8"/>
        <v>0</v>
      </c>
      <c r="I14" s="55"/>
      <c r="J14" s="57"/>
      <c r="K14" s="55"/>
      <c r="L14" s="55"/>
      <c r="M14" s="55"/>
      <c r="N14" s="55"/>
      <c r="O14" s="55"/>
      <c r="P14" s="55"/>
      <c r="Q14" s="55"/>
      <c r="R14" s="77"/>
      <c r="S14" s="55"/>
      <c r="T14" s="55"/>
      <c r="U14" s="55"/>
      <c r="V14" s="55"/>
      <c r="W14" s="55"/>
      <c r="X14" s="81"/>
      <c r="Y14" s="58">
        <f t="shared" si="1"/>
        <v>0</v>
      </c>
      <c r="Z14" s="58">
        <f t="shared" si="9"/>
        <v>0</v>
      </c>
      <c r="AA14" s="22"/>
      <c r="AB14" s="1"/>
      <c r="AF14" s="3"/>
      <c r="AG14" s="4"/>
    </row>
    <row r="15">
      <c r="B15" s="25"/>
      <c r="C15" s="15"/>
      <c r="D15" s="15"/>
      <c r="E15" s="16"/>
      <c r="F15" s="17">
        <v>10.0</v>
      </c>
      <c r="G15" s="42">
        <f>SUM(9500*0.2)</f>
        <v>1900</v>
      </c>
      <c r="H15" s="42">
        <f>SUM(9500*0.8)</f>
        <v>7600</v>
      </c>
      <c r="I15" s="43">
        <v>9500.0</v>
      </c>
      <c r="J15" s="47"/>
      <c r="K15" s="42"/>
      <c r="L15" s="42"/>
      <c r="M15" s="42"/>
      <c r="N15" s="42"/>
      <c r="O15" s="42"/>
      <c r="P15" s="42"/>
      <c r="Q15" s="42"/>
      <c r="R15" s="47"/>
      <c r="S15" s="43"/>
      <c r="T15" s="42"/>
      <c r="U15" s="42"/>
      <c r="V15" s="42"/>
      <c r="W15" s="42"/>
      <c r="X15" s="80"/>
      <c r="Y15" s="46">
        <f t="shared" si="1"/>
        <v>19000</v>
      </c>
      <c r="Z15" s="47">
        <f t="shared" ref="Z15:Z17" si="10">SUM(G15*0.08)+(H15*0.14)+(J15*27)+(K15*40)+(M15*50)+(O15*350)+(P15*550)+(Q15*160)+(R15*200)+(S15*260)+(T15*330)+(U15*110)+(V15*120)+(W15*0.7)+X15</f>
        <v>1216</v>
      </c>
      <c r="AA15" s="22">
        <v>1.0</v>
      </c>
      <c r="AB15" s="1"/>
      <c r="AF15" s="3"/>
      <c r="AG15" s="4"/>
    </row>
    <row r="16">
      <c r="B16" s="25"/>
      <c r="C16" s="15"/>
      <c r="D16" s="15"/>
      <c r="E16" s="76"/>
      <c r="F16" s="17">
        <v>11.0</v>
      </c>
      <c r="G16" s="42">
        <f>SUM(8550*0.2)</f>
        <v>1710</v>
      </c>
      <c r="H16" s="42">
        <f>SUM(8550*0.8)</f>
        <v>6840</v>
      </c>
      <c r="I16" s="43">
        <v>8550.0</v>
      </c>
      <c r="J16" s="45"/>
      <c r="K16" s="42"/>
      <c r="L16" s="42"/>
      <c r="M16" s="42"/>
      <c r="N16" s="42"/>
      <c r="O16" s="42"/>
      <c r="P16" s="42"/>
      <c r="Q16" s="42"/>
      <c r="R16" s="45"/>
      <c r="S16" s="42"/>
      <c r="T16" s="42"/>
      <c r="U16" s="42"/>
      <c r="V16" s="42"/>
      <c r="W16" s="42"/>
      <c r="X16" s="80"/>
      <c r="Y16" s="46">
        <f t="shared" si="1"/>
        <v>17100</v>
      </c>
      <c r="Z16" s="47">
        <f t="shared" si="10"/>
        <v>1094.4</v>
      </c>
      <c r="AA16" s="22">
        <v>1.0</v>
      </c>
      <c r="AB16" s="1"/>
      <c r="AF16" s="3"/>
      <c r="AG16" s="4"/>
    </row>
    <row r="17">
      <c r="B17" s="25"/>
      <c r="C17" s="15"/>
      <c r="D17" s="38"/>
      <c r="E17" s="16"/>
      <c r="F17" s="17">
        <v>12.0</v>
      </c>
      <c r="G17" s="42">
        <f>SUM(5400*0.2)</f>
        <v>1080</v>
      </c>
      <c r="H17" s="42">
        <f>SUM(5400*0.8)</f>
        <v>4320</v>
      </c>
      <c r="I17" s="43">
        <v>5400.0</v>
      </c>
      <c r="J17" s="45"/>
      <c r="K17" s="42"/>
      <c r="L17" s="42"/>
      <c r="M17" s="42"/>
      <c r="N17" s="42"/>
      <c r="O17" s="42"/>
      <c r="P17" s="42"/>
      <c r="Q17" s="42"/>
      <c r="R17" s="45"/>
      <c r="S17" s="42"/>
      <c r="T17" s="42"/>
      <c r="U17" s="42"/>
      <c r="V17" s="42"/>
      <c r="W17" s="42"/>
      <c r="X17" s="80"/>
      <c r="Y17" s="46">
        <f t="shared" si="1"/>
        <v>10800</v>
      </c>
      <c r="Z17" s="47">
        <f t="shared" si="10"/>
        <v>691.2</v>
      </c>
      <c r="AA17" s="22">
        <v>1.0</v>
      </c>
      <c r="AB17" s="1"/>
      <c r="AF17" s="3"/>
      <c r="AG17" s="4"/>
    </row>
    <row r="18">
      <c r="B18" s="25"/>
      <c r="C18" s="15"/>
      <c r="D18" s="38"/>
      <c r="E18" s="16"/>
      <c r="F18" s="17">
        <v>13.0</v>
      </c>
      <c r="G18" s="82">
        <f>SUM(0*0.2)</f>
        <v>0</v>
      </c>
      <c r="H18" s="82">
        <f>SUM(0*0.8)</f>
        <v>0</v>
      </c>
      <c r="I18" s="86">
        <v>0.0</v>
      </c>
      <c r="J18" s="83"/>
      <c r="K18" s="82"/>
      <c r="L18" s="82"/>
      <c r="M18" s="82"/>
      <c r="N18" s="82"/>
      <c r="O18" s="82"/>
      <c r="P18" s="82"/>
      <c r="Q18" s="82"/>
      <c r="R18" s="83"/>
      <c r="S18" s="82"/>
      <c r="T18" s="82"/>
      <c r="U18" s="82"/>
      <c r="V18" s="82"/>
      <c r="W18" s="82"/>
      <c r="X18" s="84"/>
      <c r="Y18" s="85">
        <f t="shared" si="1"/>
        <v>0</v>
      </c>
      <c r="Z18" s="85">
        <f>SUM(H18:X18)</f>
        <v>0</v>
      </c>
      <c r="AA18" s="22"/>
      <c r="AB18" s="22" t="s">
        <v>55</v>
      </c>
      <c r="AF18" s="3"/>
      <c r="AG18" s="4"/>
    </row>
    <row r="19">
      <c r="B19" s="25"/>
      <c r="C19" s="27"/>
      <c r="D19" s="27"/>
      <c r="E19" s="25"/>
      <c r="F19" s="17">
        <v>14.0</v>
      </c>
      <c r="G19" s="42">
        <f>SUM(9000*0.2)</f>
        <v>1800</v>
      </c>
      <c r="H19" s="42">
        <f>SUM(9000*0.8)</f>
        <v>7200</v>
      </c>
      <c r="I19" s="43">
        <v>9000.0</v>
      </c>
      <c r="J19" s="47"/>
      <c r="K19" s="47"/>
      <c r="L19" s="42"/>
      <c r="M19" s="42"/>
      <c r="N19" s="42"/>
      <c r="O19" s="42"/>
      <c r="P19" s="42"/>
      <c r="Q19" s="42"/>
      <c r="R19" s="45"/>
      <c r="S19" s="42"/>
      <c r="T19" s="42"/>
      <c r="U19" s="42"/>
      <c r="V19" s="42"/>
      <c r="W19" s="42"/>
      <c r="X19" s="80"/>
      <c r="Y19" s="46">
        <f t="shared" si="1"/>
        <v>18000</v>
      </c>
      <c r="Z19" s="47">
        <f>SUM(G19*0.08)+(H19*0.14)+(J19*27)+(K19*40)+(M19*50)+(O19*350)+(P19*550)+(Q19*160)+(R19*200)+(S19*260)+(T19*330)+(U19*110)+(V19*120)+(W19*0.7)+X19</f>
        <v>1152</v>
      </c>
      <c r="AA19" s="22">
        <v>1.0</v>
      </c>
      <c r="AB19" s="1"/>
      <c r="AF19" s="3"/>
      <c r="AG19" s="4"/>
    </row>
    <row r="20">
      <c r="B20" s="25"/>
      <c r="C20" s="27"/>
      <c r="D20" s="27"/>
      <c r="E20" s="25"/>
      <c r="F20" s="17">
        <v>15.0</v>
      </c>
      <c r="G20" s="55">
        <f t="shared" ref="G20:G21" si="11">SUM(0*0.2)</f>
        <v>0</v>
      </c>
      <c r="H20" s="55">
        <f t="shared" ref="H20:H21" si="12">SUM(0*0.8)</f>
        <v>0</v>
      </c>
      <c r="I20" s="55"/>
      <c r="J20" s="57"/>
      <c r="K20" s="55"/>
      <c r="L20" s="55"/>
      <c r="M20" s="55"/>
      <c r="N20" s="55"/>
      <c r="O20" s="55"/>
      <c r="P20" s="55"/>
      <c r="Q20" s="55"/>
      <c r="R20" s="57"/>
      <c r="S20" s="55"/>
      <c r="T20" s="55"/>
      <c r="U20" s="55"/>
      <c r="V20" s="55"/>
      <c r="W20" s="55"/>
      <c r="X20" s="81"/>
      <c r="Y20" s="58">
        <f t="shared" si="1"/>
        <v>0</v>
      </c>
      <c r="Z20" s="58">
        <f t="shared" ref="Z20:Z21" si="13">SUM(H20:X20)</f>
        <v>0</v>
      </c>
      <c r="AA20" s="22"/>
      <c r="AB20" s="22"/>
      <c r="AF20" s="3"/>
      <c r="AG20" s="4"/>
    </row>
    <row r="21">
      <c r="B21" s="25"/>
      <c r="C21" s="15"/>
      <c r="D21" s="15"/>
      <c r="E21" s="16"/>
      <c r="F21" s="17">
        <v>16.0</v>
      </c>
      <c r="G21" s="55">
        <f t="shared" si="11"/>
        <v>0</v>
      </c>
      <c r="H21" s="55">
        <f t="shared" si="12"/>
        <v>0</v>
      </c>
      <c r="I21" s="55"/>
      <c r="J21" s="57"/>
      <c r="K21" s="55"/>
      <c r="L21" s="55"/>
      <c r="M21" s="55"/>
      <c r="N21" s="55"/>
      <c r="O21" s="55"/>
      <c r="P21" s="55"/>
      <c r="Q21" s="55"/>
      <c r="R21" s="77"/>
      <c r="S21" s="55"/>
      <c r="T21" s="55"/>
      <c r="U21" s="55"/>
      <c r="V21" s="55"/>
      <c r="W21" s="55"/>
      <c r="X21" s="81"/>
      <c r="Y21" s="58">
        <f t="shared" si="1"/>
        <v>0</v>
      </c>
      <c r="Z21" s="58">
        <f t="shared" si="13"/>
        <v>0</v>
      </c>
      <c r="AA21" s="22"/>
      <c r="AB21" s="22"/>
      <c r="AF21" s="3"/>
      <c r="AG21" s="4"/>
    </row>
    <row r="22">
      <c r="B22" s="25"/>
      <c r="C22" s="15"/>
      <c r="D22" s="15"/>
      <c r="E22" s="54"/>
      <c r="F22" s="17">
        <v>17.0</v>
      </c>
      <c r="G22" s="42">
        <f>SUM(12600*0.2)</f>
        <v>2520</v>
      </c>
      <c r="H22" s="42">
        <f>SUM(12600*0.8)</f>
        <v>10080</v>
      </c>
      <c r="I22" s="43">
        <v>12600.0</v>
      </c>
      <c r="J22" s="45"/>
      <c r="K22" s="42"/>
      <c r="L22" s="42"/>
      <c r="M22" s="42"/>
      <c r="N22" s="42"/>
      <c r="O22" s="42"/>
      <c r="P22" s="42"/>
      <c r="Q22" s="42"/>
      <c r="R22" s="45"/>
      <c r="S22" s="42"/>
      <c r="T22" s="42"/>
      <c r="U22" s="42"/>
      <c r="V22" s="42"/>
      <c r="W22" s="42"/>
      <c r="X22" s="80"/>
      <c r="Y22" s="46">
        <f t="shared" si="1"/>
        <v>25200</v>
      </c>
      <c r="Z22" s="47">
        <f t="shared" ref="Z22:Z26" si="14">SUM(G22*0.08)+(H22*0.14)+(J22*27)+(K22*40)+(M22*50)+(O22*350)+(P22*550)+(Q22*160)+(R22*200)+(S22*260)+(T22*330)+(U22*110)+(V22*120)+(W22*0.7)+X22</f>
        <v>1612.8</v>
      </c>
      <c r="AA22" s="22">
        <v>1.0</v>
      </c>
      <c r="AB22" s="22"/>
      <c r="AF22" s="3"/>
      <c r="AG22" s="4"/>
    </row>
    <row r="23">
      <c r="B23" s="25"/>
      <c r="C23" s="15"/>
      <c r="D23" s="15"/>
      <c r="E23" s="54"/>
      <c r="F23" s="17">
        <v>18.0</v>
      </c>
      <c r="G23" s="42">
        <f>SUM(9250*0.2)</f>
        <v>1850</v>
      </c>
      <c r="H23" s="42">
        <f>SUM(9250*0.8)</f>
        <v>7400</v>
      </c>
      <c r="I23" s="43">
        <v>9250.0</v>
      </c>
      <c r="J23" s="47"/>
      <c r="K23" s="42"/>
      <c r="L23" s="42"/>
      <c r="M23" s="42"/>
      <c r="N23" s="42"/>
      <c r="O23" s="42"/>
      <c r="P23" s="42"/>
      <c r="Q23" s="42"/>
      <c r="R23" s="45"/>
      <c r="S23" s="42"/>
      <c r="T23" s="42"/>
      <c r="U23" s="42"/>
      <c r="V23" s="42"/>
      <c r="W23" s="42"/>
      <c r="X23" s="80"/>
      <c r="Y23" s="46">
        <f t="shared" si="1"/>
        <v>18500</v>
      </c>
      <c r="Z23" s="47">
        <f t="shared" si="14"/>
        <v>1184</v>
      </c>
      <c r="AA23" s="22">
        <v>1.0</v>
      </c>
      <c r="AB23" s="22"/>
      <c r="AF23" s="3"/>
      <c r="AG23" s="4"/>
    </row>
    <row r="24">
      <c r="B24" s="25"/>
      <c r="C24" s="15"/>
      <c r="D24" s="15"/>
      <c r="E24" s="54"/>
      <c r="F24" s="17">
        <v>19.0</v>
      </c>
      <c r="G24" s="42">
        <f>SUM(2450*0.2)</f>
        <v>490</v>
      </c>
      <c r="H24" s="42">
        <f>SUM(2450*0.8)</f>
        <v>1960</v>
      </c>
      <c r="I24" s="43">
        <v>2450.0</v>
      </c>
      <c r="J24" s="47"/>
      <c r="K24" s="47"/>
      <c r="L24" s="42"/>
      <c r="M24" s="42"/>
      <c r="N24" s="42"/>
      <c r="O24" s="42"/>
      <c r="P24" s="42"/>
      <c r="Q24" s="42"/>
      <c r="R24" s="45"/>
      <c r="S24" s="42"/>
      <c r="T24" s="42"/>
      <c r="U24" s="42"/>
      <c r="V24" s="42"/>
      <c r="W24" s="42"/>
      <c r="X24" s="80"/>
      <c r="Y24" s="46">
        <f t="shared" si="1"/>
        <v>4900</v>
      </c>
      <c r="Z24" s="47">
        <f t="shared" si="14"/>
        <v>313.6</v>
      </c>
      <c r="AA24" s="22">
        <v>1.0</v>
      </c>
      <c r="AB24" s="22"/>
      <c r="AF24" s="3"/>
      <c r="AG24" s="4"/>
    </row>
    <row r="25">
      <c r="B25" s="25"/>
      <c r="C25" s="27"/>
      <c r="D25" s="27"/>
      <c r="E25" s="25"/>
      <c r="F25" s="17">
        <v>20.0</v>
      </c>
      <c r="G25" s="42">
        <f>SUM(6670*0.2)</f>
        <v>1334</v>
      </c>
      <c r="H25" s="42">
        <f>SUM(6670*0.8)</f>
        <v>5336</v>
      </c>
      <c r="I25" s="43">
        <v>6670.0</v>
      </c>
      <c r="J25" s="47"/>
      <c r="K25" s="42"/>
      <c r="L25" s="42"/>
      <c r="M25" s="42"/>
      <c r="N25" s="42"/>
      <c r="O25" s="42"/>
      <c r="P25" s="42"/>
      <c r="Q25" s="42"/>
      <c r="R25" s="47"/>
      <c r="S25" s="42"/>
      <c r="T25" s="42"/>
      <c r="U25" s="42"/>
      <c r="V25" s="42"/>
      <c r="W25" s="42"/>
      <c r="X25" s="80"/>
      <c r="Y25" s="46">
        <f t="shared" si="1"/>
        <v>13340</v>
      </c>
      <c r="Z25" s="47">
        <f t="shared" si="14"/>
        <v>853.76</v>
      </c>
      <c r="AA25" s="22">
        <v>1.0</v>
      </c>
      <c r="AB25" s="22"/>
      <c r="AF25" s="3"/>
      <c r="AG25" s="4"/>
    </row>
    <row r="26">
      <c r="B26" s="25"/>
      <c r="C26" s="27"/>
      <c r="D26" s="27"/>
      <c r="E26" s="25"/>
      <c r="F26" s="17">
        <v>21.0</v>
      </c>
      <c r="G26" s="42">
        <f>SUM(8100*0.2)</f>
        <v>1620</v>
      </c>
      <c r="H26" s="42">
        <f>SUM(8100*0.8)</f>
        <v>6480</v>
      </c>
      <c r="I26" s="43">
        <v>8100.0</v>
      </c>
      <c r="J26" s="45"/>
      <c r="K26" s="42"/>
      <c r="L26" s="42"/>
      <c r="M26" s="42"/>
      <c r="N26" s="42"/>
      <c r="O26" s="42"/>
      <c r="P26" s="42"/>
      <c r="Q26" s="42"/>
      <c r="R26" s="45"/>
      <c r="S26" s="42"/>
      <c r="T26" s="42"/>
      <c r="U26" s="42"/>
      <c r="V26" s="42"/>
      <c r="W26" s="42"/>
      <c r="X26" s="80"/>
      <c r="Y26" s="46">
        <f t="shared" si="1"/>
        <v>16200</v>
      </c>
      <c r="Z26" s="47">
        <f t="shared" si="14"/>
        <v>1036.8</v>
      </c>
      <c r="AA26" s="22">
        <v>1.0</v>
      </c>
      <c r="AB26" s="22"/>
      <c r="AF26" s="3"/>
      <c r="AG26" s="4"/>
    </row>
    <row r="27">
      <c r="B27" s="25"/>
      <c r="C27" s="27"/>
      <c r="D27" s="27"/>
      <c r="E27" s="25"/>
      <c r="F27" s="17">
        <v>22.0</v>
      </c>
      <c r="G27" s="55">
        <f t="shared" ref="G27:G28" si="15">SUM(0*0.2)</f>
        <v>0</v>
      </c>
      <c r="H27" s="55">
        <f t="shared" ref="H27:H28" si="16">SUM(0*0.8)</f>
        <v>0</v>
      </c>
      <c r="I27" s="55"/>
      <c r="J27" s="57"/>
      <c r="K27" s="55"/>
      <c r="L27" s="55"/>
      <c r="M27" s="55"/>
      <c r="N27" s="55"/>
      <c r="O27" s="55"/>
      <c r="P27" s="55"/>
      <c r="Q27" s="55"/>
      <c r="R27" s="57"/>
      <c r="S27" s="55"/>
      <c r="T27" s="55"/>
      <c r="U27" s="55"/>
      <c r="V27" s="55"/>
      <c r="W27" s="55"/>
      <c r="X27" s="81"/>
      <c r="Y27" s="58">
        <f t="shared" si="1"/>
        <v>0</v>
      </c>
      <c r="Z27" s="58">
        <f t="shared" ref="Z27:Z28" si="17">SUM(H27:X27)</f>
        <v>0</v>
      </c>
      <c r="AA27" s="22"/>
      <c r="AB27" s="22"/>
      <c r="AF27" s="3"/>
      <c r="AG27" s="4"/>
    </row>
    <row r="28">
      <c r="B28" s="25"/>
      <c r="C28" s="27"/>
      <c r="D28" s="27"/>
      <c r="E28" s="25"/>
      <c r="F28" s="17">
        <v>23.0</v>
      </c>
      <c r="G28" s="55">
        <f t="shared" si="15"/>
        <v>0</v>
      </c>
      <c r="H28" s="55">
        <f t="shared" si="16"/>
        <v>0</v>
      </c>
      <c r="I28" s="55"/>
      <c r="J28" s="57"/>
      <c r="K28" s="55"/>
      <c r="L28" s="55"/>
      <c r="M28" s="55"/>
      <c r="N28" s="55"/>
      <c r="O28" s="55"/>
      <c r="P28" s="55"/>
      <c r="Q28" s="55"/>
      <c r="R28" s="77"/>
      <c r="S28" s="55"/>
      <c r="T28" s="55"/>
      <c r="U28" s="55"/>
      <c r="V28" s="55"/>
      <c r="W28" s="55"/>
      <c r="X28" s="81"/>
      <c r="Y28" s="58">
        <f t="shared" si="1"/>
        <v>0</v>
      </c>
      <c r="Z28" s="58">
        <f t="shared" si="17"/>
        <v>0</v>
      </c>
      <c r="AA28" s="22"/>
      <c r="AB28" s="22"/>
      <c r="AF28" s="3"/>
      <c r="AG28" s="4"/>
    </row>
    <row r="29">
      <c r="B29" s="25"/>
      <c r="C29" s="27"/>
      <c r="D29" s="27"/>
      <c r="E29" s="25"/>
      <c r="F29" s="17">
        <v>24.0</v>
      </c>
      <c r="G29" s="42">
        <f>SUM(7875*0.2)</f>
        <v>1575</v>
      </c>
      <c r="H29" s="42">
        <f>SUM(7875*0.8)</f>
        <v>6300</v>
      </c>
      <c r="I29" s="43">
        <v>8225.0</v>
      </c>
      <c r="J29" s="47"/>
      <c r="K29" s="47"/>
      <c r="L29" s="42"/>
      <c r="M29" s="42"/>
      <c r="N29" s="42"/>
      <c r="O29" s="42"/>
      <c r="P29" s="42"/>
      <c r="Q29" s="42"/>
      <c r="R29" s="45"/>
      <c r="S29" s="42"/>
      <c r="T29" s="42"/>
      <c r="U29" s="42"/>
      <c r="V29" s="42"/>
      <c r="W29" s="42"/>
      <c r="X29" s="87">
        <v>350.0</v>
      </c>
      <c r="Y29" s="46">
        <f>SUM(G29:X29)</f>
        <v>16450</v>
      </c>
      <c r="Z29" s="47">
        <f t="shared" ref="Z29:Z30" si="18">SUM(G29*0.08)+(H29*0.14)+(J29*27)+(K29*40)+(M29*50)+(O29*350)+(P29*550)+(Q29*160)+(R29*200)+(S29*260)+(T29*330)+(U29*110)+(V29*120)+(W29*0.7)+X29</f>
        <v>1358</v>
      </c>
      <c r="AA29" s="22">
        <v>1.0</v>
      </c>
      <c r="AB29" s="22"/>
      <c r="AF29" s="3"/>
      <c r="AG29" s="4"/>
    </row>
    <row r="30">
      <c r="B30" s="59"/>
      <c r="C30" s="60"/>
      <c r="D30" s="60"/>
      <c r="E30" s="59"/>
      <c r="F30" s="17">
        <v>25.0</v>
      </c>
      <c r="G30" s="42">
        <f>SUM(8700*0.2)</f>
        <v>1740</v>
      </c>
      <c r="H30" s="42">
        <f>SUM(8700*0.8)</f>
        <v>6960</v>
      </c>
      <c r="I30" s="43">
        <v>8700.0</v>
      </c>
      <c r="J30" s="47"/>
      <c r="K30" s="42"/>
      <c r="L30" s="42"/>
      <c r="M30" s="42"/>
      <c r="N30" s="42"/>
      <c r="O30" s="42"/>
      <c r="P30" s="42"/>
      <c r="Q30" s="42"/>
      <c r="R30" s="47"/>
      <c r="S30" s="42"/>
      <c r="T30" s="42"/>
      <c r="U30" s="42"/>
      <c r="V30" s="42"/>
      <c r="W30" s="42"/>
      <c r="X30" s="87">
        <v>350.0</v>
      </c>
      <c r="Y30" s="46">
        <f>SUM(G30:W30)</f>
        <v>17400</v>
      </c>
      <c r="Z30" s="47">
        <f t="shared" si="18"/>
        <v>1463.6</v>
      </c>
      <c r="AA30" s="22">
        <v>1.0</v>
      </c>
      <c r="AB30" s="22"/>
      <c r="AF30" s="3"/>
      <c r="AG30" s="4"/>
    </row>
    <row r="31">
      <c r="B31" s="1"/>
      <c r="E31" s="1"/>
      <c r="F31" s="2"/>
      <c r="AA31" s="1"/>
      <c r="AB31" s="1"/>
      <c r="AF31" s="3"/>
      <c r="AG31" s="4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6.13"/>
    <col customWidth="1" min="4" max="4" width="33.0"/>
    <col customWidth="1" min="5" max="5" width="17.25"/>
    <col customWidth="1" min="6" max="6" width="4.38"/>
    <col customWidth="1" min="7" max="7" width="11.13"/>
    <col customWidth="1" min="8" max="9" width="9.38"/>
    <col customWidth="1" min="10" max="10" width="6.63"/>
    <col customWidth="1" min="11" max="11" width="6.38"/>
    <col customWidth="1" min="12" max="12" width="6.25"/>
    <col customWidth="1" min="13" max="13" width="6.63"/>
    <col customWidth="1" min="14" max="14" width="5.5"/>
    <col customWidth="1" min="15" max="17" width="9.38"/>
    <col customWidth="1" min="18" max="18" width="7.5"/>
    <col customWidth="1" min="19" max="22" width="9.38"/>
    <col customWidth="1" min="23" max="23" width="7.25"/>
    <col customWidth="1" min="25" max="25" width="7.63"/>
    <col customWidth="1" min="26" max="26" width="25.63"/>
    <col customWidth="1" min="27" max="27" width="25.13"/>
    <col customWidth="1" min="28" max="28" width="12.25"/>
    <col customWidth="1" min="29" max="29" width="3.0"/>
    <col customWidth="1" min="30" max="30" width="15.25"/>
    <col customWidth="1" min="31" max="31" width="11.25"/>
  </cols>
  <sheetData>
    <row r="1" ht="27.0" customHeight="1">
      <c r="B1" s="1"/>
      <c r="E1" s="1"/>
      <c r="F1" s="2"/>
      <c r="Z1" s="1"/>
      <c r="AD1" s="3"/>
      <c r="AE1" s="4"/>
    </row>
    <row r="2" ht="19.5" customHeight="1">
      <c r="A2" s="5"/>
      <c r="B2" s="6" t="s">
        <v>0</v>
      </c>
      <c r="C2" s="6" t="s">
        <v>37</v>
      </c>
      <c r="D2" s="6" t="s">
        <v>38</v>
      </c>
      <c r="E2" s="6" t="s">
        <v>3</v>
      </c>
      <c r="F2" s="7" t="s">
        <v>4</v>
      </c>
      <c r="G2" s="8" t="s">
        <v>5</v>
      </c>
      <c r="H2" s="8" t="s">
        <v>56</v>
      </c>
      <c r="I2" s="8" t="s">
        <v>52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9" t="s">
        <v>15</v>
      </c>
      <c r="R2" s="8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7" t="s">
        <v>22</v>
      </c>
      <c r="Y2" s="7" t="s">
        <v>23</v>
      </c>
      <c r="Z2" s="10"/>
      <c r="AA2" s="11"/>
      <c r="AB2" s="11"/>
      <c r="AC2" s="11"/>
      <c r="AD2" s="12"/>
      <c r="AE2" s="13"/>
      <c r="AF2" s="11"/>
      <c r="AG2" s="11"/>
      <c r="AH2" s="11"/>
      <c r="AI2" s="11"/>
      <c r="AJ2" s="11"/>
      <c r="AK2" s="11"/>
    </row>
    <row r="3">
      <c r="B3" s="14"/>
      <c r="C3" s="15"/>
      <c r="D3" s="15"/>
      <c r="E3" s="16"/>
      <c r="F3" s="17">
        <v>26.0</v>
      </c>
      <c r="G3" s="42">
        <f>SUM(17350*0.2)</f>
        <v>3470</v>
      </c>
      <c r="H3" s="42">
        <f>SUM(17350*0.8)</f>
        <v>13880</v>
      </c>
      <c r="I3" s="42">
        <f t="shared" ref="I3:I33" si="1">SUM(G3+H3)</f>
        <v>17350</v>
      </c>
      <c r="J3" s="45"/>
      <c r="K3" s="42"/>
      <c r="L3" s="42"/>
      <c r="M3" s="42"/>
      <c r="N3" s="42"/>
      <c r="O3" s="42"/>
      <c r="P3" s="42"/>
      <c r="Q3" s="42"/>
      <c r="R3" s="45"/>
      <c r="S3" s="42"/>
      <c r="T3" s="42"/>
      <c r="U3" s="42"/>
      <c r="V3" s="42"/>
      <c r="W3" s="42"/>
      <c r="X3" s="46">
        <f t="shared" ref="X3:X33" si="2">SUM(G3:W3)</f>
        <v>34700</v>
      </c>
      <c r="Y3" s="47">
        <f t="shared" ref="Y3:Y33" si="3">SUM(G3*0.08)+(H3*0.14)+(J3*27)+(K3*40)+(M3*50)+(O3*350)+(P3*550)+(Q3*160)+(R3*200)+(S3*260)+(T3*330)+(U3*110)+(V3*120)+(W3*0.7)+(I3*0.04)</f>
        <v>2914.8</v>
      </c>
      <c r="Z3" s="22">
        <v>1.0</v>
      </c>
      <c r="AA3" s="23" t="s">
        <v>24</v>
      </c>
      <c r="AB3" s="24">
        <f>SUM(Y3:Y33)</f>
        <v>26670.168</v>
      </c>
      <c r="AD3" s="3"/>
      <c r="AE3" s="4"/>
    </row>
    <row r="4">
      <c r="B4" s="25"/>
      <c r="C4" s="15"/>
      <c r="D4" s="15"/>
      <c r="E4" s="16"/>
      <c r="F4" s="17">
        <v>27.0</v>
      </c>
      <c r="G4" s="88">
        <f>SUM(0*0.2)</f>
        <v>0</v>
      </c>
      <c r="H4" s="88">
        <f>SUM(0*0.8)</f>
        <v>0</v>
      </c>
      <c r="I4" s="88">
        <f t="shared" si="1"/>
        <v>0</v>
      </c>
      <c r="J4" s="89"/>
      <c r="K4" s="88"/>
      <c r="L4" s="88"/>
      <c r="M4" s="88"/>
      <c r="N4" s="88"/>
      <c r="O4" s="88"/>
      <c r="P4" s="88"/>
      <c r="Q4" s="88"/>
      <c r="R4" s="89"/>
      <c r="S4" s="88"/>
      <c r="T4" s="88"/>
      <c r="U4" s="88"/>
      <c r="V4" s="88"/>
      <c r="W4" s="88"/>
      <c r="X4" s="90">
        <f t="shared" si="2"/>
        <v>0</v>
      </c>
      <c r="Y4" s="91">
        <f t="shared" si="3"/>
        <v>0</v>
      </c>
      <c r="Z4" s="22" t="s">
        <v>57</v>
      </c>
      <c r="AD4" s="3"/>
      <c r="AE4" s="4"/>
    </row>
    <row r="5">
      <c r="B5" s="25"/>
      <c r="C5" s="15"/>
      <c r="D5" s="15"/>
      <c r="E5" s="16"/>
      <c r="F5" s="17">
        <v>28.0</v>
      </c>
      <c r="G5" s="42">
        <f>SUM(12450*0.2)</f>
        <v>2490</v>
      </c>
      <c r="H5" s="42">
        <f>SUM(12450*0.8)</f>
        <v>9960</v>
      </c>
      <c r="I5" s="42">
        <f t="shared" si="1"/>
        <v>12450</v>
      </c>
      <c r="J5" s="47"/>
      <c r="K5" s="42"/>
      <c r="L5" s="42"/>
      <c r="M5" s="42"/>
      <c r="N5" s="42"/>
      <c r="O5" s="42"/>
      <c r="P5" s="42"/>
      <c r="Q5" s="42"/>
      <c r="R5" s="45"/>
      <c r="S5" s="42"/>
      <c r="T5" s="42"/>
      <c r="U5" s="42"/>
      <c r="V5" s="42"/>
      <c r="W5" s="42"/>
      <c r="X5" s="46">
        <f t="shared" si="2"/>
        <v>24900</v>
      </c>
      <c r="Y5" s="47">
        <f t="shared" si="3"/>
        <v>2091.6</v>
      </c>
      <c r="Z5" s="22"/>
      <c r="AD5" s="3"/>
      <c r="AE5" s="4"/>
    </row>
    <row r="6">
      <c r="B6" s="25"/>
      <c r="C6" s="15"/>
      <c r="D6" s="15"/>
      <c r="E6" s="16"/>
      <c r="F6" s="17">
        <v>29.0</v>
      </c>
      <c r="G6" s="68">
        <f t="shared" ref="G6:G7" si="4">SUM(0*0.2)</f>
        <v>0</v>
      </c>
      <c r="H6" s="68">
        <f t="shared" ref="H6:H7" si="5">SUM(0*0.8)</f>
        <v>0</v>
      </c>
      <c r="I6" s="68">
        <f t="shared" si="1"/>
        <v>0</v>
      </c>
      <c r="J6" s="71"/>
      <c r="K6" s="71"/>
      <c r="L6" s="68"/>
      <c r="M6" s="68"/>
      <c r="N6" s="68"/>
      <c r="O6" s="68"/>
      <c r="P6" s="68"/>
      <c r="Q6" s="68"/>
      <c r="R6" s="69"/>
      <c r="S6" s="68"/>
      <c r="T6" s="68"/>
      <c r="U6" s="68"/>
      <c r="V6" s="68"/>
      <c r="W6" s="68"/>
      <c r="X6" s="70">
        <f t="shared" si="2"/>
        <v>0</v>
      </c>
      <c r="Y6" s="71">
        <f t="shared" si="3"/>
        <v>0</v>
      </c>
      <c r="Z6" s="22"/>
      <c r="AD6" s="3"/>
      <c r="AE6" s="4"/>
    </row>
    <row r="7">
      <c r="B7" s="25"/>
      <c r="C7" s="27"/>
      <c r="D7" s="27"/>
      <c r="E7" s="25"/>
      <c r="F7" s="17">
        <v>30.0</v>
      </c>
      <c r="G7" s="68">
        <f t="shared" si="4"/>
        <v>0</v>
      </c>
      <c r="H7" s="68">
        <f t="shared" si="5"/>
        <v>0</v>
      </c>
      <c r="I7" s="68">
        <f t="shared" si="1"/>
        <v>0</v>
      </c>
      <c r="J7" s="71"/>
      <c r="K7" s="68"/>
      <c r="L7" s="68"/>
      <c r="M7" s="68"/>
      <c r="N7" s="68"/>
      <c r="O7" s="68"/>
      <c r="P7" s="68"/>
      <c r="Q7" s="68"/>
      <c r="R7" s="71"/>
      <c r="S7" s="92"/>
      <c r="T7" s="68"/>
      <c r="U7" s="68"/>
      <c r="V7" s="68"/>
      <c r="W7" s="68"/>
      <c r="X7" s="70">
        <f t="shared" si="2"/>
        <v>0</v>
      </c>
      <c r="Y7" s="71">
        <f t="shared" si="3"/>
        <v>0</v>
      </c>
      <c r="Z7" s="22"/>
      <c r="AD7" s="3"/>
      <c r="AE7" s="4"/>
    </row>
    <row r="8">
      <c r="B8" s="25"/>
      <c r="C8" s="27"/>
      <c r="D8" s="27"/>
      <c r="E8" s="25"/>
      <c r="F8" s="17">
        <v>31.0</v>
      </c>
      <c r="G8" s="42">
        <f>SUM(7650*0.2)</f>
        <v>1530</v>
      </c>
      <c r="H8" s="42">
        <f>SUM(7650*0.8)</f>
        <v>6120</v>
      </c>
      <c r="I8" s="42">
        <f t="shared" si="1"/>
        <v>7650</v>
      </c>
      <c r="J8" s="47"/>
      <c r="K8" s="47"/>
      <c r="L8" s="42"/>
      <c r="M8" s="42"/>
      <c r="N8" s="42"/>
      <c r="O8" s="42"/>
      <c r="P8" s="42"/>
      <c r="Q8" s="42"/>
      <c r="R8" s="45"/>
      <c r="S8" s="42"/>
      <c r="T8" s="42"/>
      <c r="U8" s="42"/>
      <c r="V8" s="42"/>
      <c r="W8" s="42"/>
      <c r="X8" s="46">
        <f t="shared" si="2"/>
        <v>15300</v>
      </c>
      <c r="Y8" s="47">
        <f t="shared" si="3"/>
        <v>1285.2</v>
      </c>
      <c r="Z8" s="22"/>
      <c r="AD8" s="3"/>
      <c r="AE8" s="4"/>
    </row>
    <row r="9">
      <c r="B9" s="25"/>
      <c r="C9" s="27"/>
      <c r="D9" s="27"/>
      <c r="E9" s="25"/>
      <c r="F9" s="17">
        <v>1.0</v>
      </c>
      <c r="G9" s="42">
        <f>SUM(9750*0.2)</f>
        <v>1950</v>
      </c>
      <c r="H9" s="42">
        <f>SUM(9750*0.8)</f>
        <v>7800</v>
      </c>
      <c r="I9" s="42">
        <f t="shared" si="1"/>
        <v>9750</v>
      </c>
      <c r="J9" s="45"/>
      <c r="K9" s="42"/>
      <c r="L9" s="42"/>
      <c r="M9" s="42"/>
      <c r="N9" s="42"/>
      <c r="O9" s="42"/>
      <c r="P9" s="42"/>
      <c r="Q9" s="42"/>
      <c r="R9" s="45"/>
      <c r="S9" s="42"/>
      <c r="T9" s="42"/>
      <c r="U9" s="42"/>
      <c r="V9" s="42"/>
      <c r="W9" s="42"/>
      <c r="X9" s="46">
        <f t="shared" si="2"/>
        <v>19500</v>
      </c>
      <c r="Y9" s="47">
        <f t="shared" si="3"/>
        <v>1638</v>
      </c>
      <c r="Z9" s="22"/>
      <c r="AA9" s="29"/>
      <c r="AD9" s="3"/>
      <c r="AE9" s="4"/>
    </row>
    <row r="10">
      <c r="B10" s="25"/>
      <c r="C10" s="27"/>
      <c r="D10" s="27"/>
      <c r="E10" s="25"/>
      <c r="F10" s="17">
        <v>2.0</v>
      </c>
      <c r="G10" s="42">
        <f>SUM(4721*0.2)</f>
        <v>944.2</v>
      </c>
      <c r="H10" s="42">
        <f>SUM(4721*0.8)</f>
        <v>3776.8</v>
      </c>
      <c r="I10" s="42">
        <f t="shared" si="1"/>
        <v>4721</v>
      </c>
      <c r="J10" s="45"/>
      <c r="K10" s="42"/>
      <c r="L10" s="42"/>
      <c r="M10" s="42"/>
      <c r="N10" s="42"/>
      <c r="O10" s="42"/>
      <c r="P10" s="42"/>
      <c r="Q10" s="42"/>
      <c r="R10" s="44"/>
      <c r="S10" s="42"/>
      <c r="T10" s="42"/>
      <c r="U10" s="42"/>
      <c r="V10" s="42"/>
      <c r="W10" s="42"/>
      <c r="X10" s="46">
        <f t="shared" si="2"/>
        <v>9442</v>
      </c>
      <c r="Y10" s="47">
        <f t="shared" si="3"/>
        <v>793.128</v>
      </c>
      <c r="Z10" s="22"/>
      <c r="AD10" s="3"/>
      <c r="AE10" s="4"/>
    </row>
    <row r="11">
      <c r="B11" s="25"/>
      <c r="C11" s="27"/>
      <c r="D11" s="27"/>
      <c r="E11" s="25"/>
      <c r="F11" s="17">
        <v>3.0</v>
      </c>
      <c r="G11" s="42">
        <f>SUM(7785*0.2)</f>
        <v>1557</v>
      </c>
      <c r="H11" s="42">
        <f>SUM(7785*0.8)</f>
        <v>6228</v>
      </c>
      <c r="I11" s="42">
        <f t="shared" si="1"/>
        <v>7785</v>
      </c>
      <c r="J11" s="47"/>
      <c r="K11" s="42"/>
      <c r="L11" s="42"/>
      <c r="M11" s="42"/>
      <c r="N11" s="42"/>
      <c r="O11" s="42"/>
      <c r="P11" s="42"/>
      <c r="Q11" s="42"/>
      <c r="R11" s="45"/>
      <c r="S11" s="42"/>
      <c r="T11" s="42"/>
      <c r="U11" s="42"/>
      <c r="V11" s="42"/>
      <c r="W11" s="42"/>
      <c r="X11" s="46">
        <f t="shared" si="2"/>
        <v>15570</v>
      </c>
      <c r="Y11" s="47">
        <f t="shared" si="3"/>
        <v>1307.88</v>
      </c>
      <c r="Z11" s="22"/>
      <c r="AD11" s="3"/>
      <c r="AE11" s="4"/>
    </row>
    <row r="12">
      <c r="B12" s="25"/>
      <c r="C12" s="15"/>
      <c r="D12" s="75"/>
      <c r="E12" s="33"/>
      <c r="F12" s="17">
        <v>4.0</v>
      </c>
      <c r="G12" s="42">
        <f>SUM(6190*0.2)</f>
        <v>1238</v>
      </c>
      <c r="H12" s="42">
        <f>SUM(6190*0.8)</f>
        <v>4952</v>
      </c>
      <c r="I12" s="42">
        <f t="shared" si="1"/>
        <v>6190</v>
      </c>
      <c r="J12" s="47"/>
      <c r="K12" s="47"/>
      <c r="L12" s="42"/>
      <c r="M12" s="42"/>
      <c r="N12" s="42"/>
      <c r="O12" s="42"/>
      <c r="P12" s="42"/>
      <c r="Q12" s="42"/>
      <c r="R12" s="45"/>
      <c r="S12" s="42"/>
      <c r="T12" s="42"/>
      <c r="U12" s="42"/>
      <c r="V12" s="42"/>
      <c r="W12" s="42"/>
      <c r="X12" s="46">
        <f t="shared" si="2"/>
        <v>12380</v>
      </c>
      <c r="Y12" s="47">
        <f t="shared" si="3"/>
        <v>1039.92</v>
      </c>
      <c r="Z12" s="22"/>
      <c r="AD12" s="3"/>
      <c r="AE12" s="4"/>
    </row>
    <row r="13">
      <c r="B13" s="25"/>
      <c r="C13" s="15"/>
      <c r="D13" s="75"/>
      <c r="E13" s="33"/>
      <c r="F13" s="17">
        <v>5.0</v>
      </c>
      <c r="G13" s="68">
        <f t="shared" ref="G13:G14" si="6">SUM(0*0.2)</f>
        <v>0</v>
      </c>
      <c r="H13" s="68">
        <f t="shared" ref="H13:H14" si="7">SUM(0*0.8)</f>
        <v>0</v>
      </c>
      <c r="I13" s="68">
        <f t="shared" si="1"/>
        <v>0</v>
      </c>
      <c r="J13" s="71"/>
      <c r="K13" s="68"/>
      <c r="L13" s="68"/>
      <c r="M13" s="68"/>
      <c r="N13" s="68"/>
      <c r="O13" s="68"/>
      <c r="P13" s="68"/>
      <c r="Q13" s="68"/>
      <c r="R13" s="71"/>
      <c r="S13" s="68"/>
      <c r="T13" s="68"/>
      <c r="U13" s="68"/>
      <c r="V13" s="68"/>
      <c r="W13" s="68"/>
      <c r="X13" s="70">
        <f t="shared" si="2"/>
        <v>0</v>
      </c>
      <c r="Y13" s="71">
        <f t="shared" si="3"/>
        <v>0</v>
      </c>
      <c r="Z13" s="22"/>
      <c r="AD13" s="3"/>
      <c r="AE13" s="4"/>
    </row>
    <row r="14">
      <c r="B14" s="25"/>
      <c r="C14" s="27"/>
      <c r="D14" s="34"/>
      <c r="E14" s="36"/>
      <c r="F14" s="17">
        <v>6.0</v>
      </c>
      <c r="G14" s="68">
        <f t="shared" si="6"/>
        <v>0</v>
      </c>
      <c r="H14" s="68">
        <f t="shared" si="7"/>
        <v>0</v>
      </c>
      <c r="I14" s="68">
        <f t="shared" si="1"/>
        <v>0</v>
      </c>
      <c r="J14" s="69"/>
      <c r="K14" s="68"/>
      <c r="L14" s="68"/>
      <c r="M14" s="68"/>
      <c r="N14" s="68"/>
      <c r="O14" s="68"/>
      <c r="P14" s="68"/>
      <c r="Q14" s="68"/>
      <c r="R14" s="69"/>
      <c r="S14" s="68"/>
      <c r="T14" s="68"/>
      <c r="U14" s="68"/>
      <c r="V14" s="68"/>
      <c r="W14" s="68"/>
      <c r="X14" s="70">
        <f t="shared" si="2"/>
        <v>0</v>
      </c>
      <c r="Y14" s="71">
        <f t="shared" si="3"/>
        <v>0</v>
      </c>
      <c r="Z14" s="22"/>
      <c r="AD14" s="3"/>
      <c r="AE14" s="4"/>
    </row>
    <row r="15">
      <c r="B15" s="25"/>
      <c r="C15" s="27"/>
      <c r="D15" s="27"/>
      <c r="E15" s="25"/>
      <c r="F15" s="17">
        <v>7.0</v>
      </c>
      <c r="G15" s="42">
        <f>SUM(5570*0.2)</f>
        <v>1114</v>
      </c>
      <c r="H15" s="42">
        <f>SUM(5570*0.8)</f>
        <v>4456</v>
      </c>
      <c r="I15" s="42">
        <f t="shared" si="1"/>
        <v>5570</v>
      </c>
      <c r="J15" s="45"/>
      <c r="K15" s="42"/>
      <c r="L15" s="42"/>
      <c r="M15" s="42"/>
      <c r="N15" s="42"/>
      <c r="O15" s="42"/>
      <c r="P15" s="42"/>
      <c r="Q15" s="42"/>
      <c r="R15" s="45"/>
      <c r="S15" s="42"/>
      <c r="T15" s="42"/>
      <c r="U15" s="42"/>
      <c r="V15" s="42"/>
      <c r="W15" s="42"/>
      <c r="X15" s="46">
        <f t="shared" si="2"/>
        <v>11140</v>
      </c>
      <c r="Y15" s="47">
        <f t="shared" si="3"/>
        <v>935.76</v>
      </c>
      <c r="Z15" s="22"/>
      <c r="AD15" s="3"/>
      <c r="AE15" s="4"/>
    </row>
    <row r="16">
      <c r="B16" s="25"/>
      <c r="C16" s="27"/>
      <c r="D16" s="27"/>
      <c r="E16" s="25"/>
      <c r="F16" s="17">
        <v>8.0</v>
      </c>
      <c r="G16" s="42">
        <f>SUM(7565*0.2)</f>
        <v>1513</v>
      </c>
      <c r="H16" s="42">
        <f>SUM(7565*0.8)</f>
        <v>6052</v>
      </c>
      <c r="I16" s="42">
        <f t="shared" si="1"/>
        <v>7565</v>
      </c>
      <c r="J16" s="47"/>
      <c r="K16" s="42"/>
      <c r="L16" s="42"/>
      <c r="M16" s="42"/>
      <c r="N16" s="42"/>
      <c r="O16" s="42"/>
      <c r="P16" s="42"/>
      <c r="Q16" s="42"/>
      <c r="R16" s="45"/>
      <c r="S16" s="42"/>
      <c r="T16" s="42"/>
      <c r="U16" s="42"/>
      <c r="V16" s="42"/>
      <c r="W16" s="42"/>
      <c r="X16" s="46">
        <f t="shared" si="2"/>
        <v>15130</v>
      </c>
      <c r="Y16" s="47">
        <f t="shared" si="3"/>
        <v>1270.92</v>
      </c>
      <c r="Z16" s="22"/>
      <c r="AD16" s="3"/>
      <c r="AE16" s="4"/>
    </row>
    <row r="17">
      <c r="B17" s="25"/>
      <c r="C17" s="15"/>
      <c r="D17" s="38"/>
      <c r="E17" s="16"/>
      <c r="F17" s="17">
        <v>9.0</v>
      </c>
      <c r="G17" s="42">
        <f>SUM(8235*0.2)</f>
        <v>1647</v>
      </c>
      <c r="H17" s="42">
        <f>SUM(8235*0.8)</f>
        <v>6588</v>
      </c>
      <c r="I17" s="42">
        <f t="shared" si="1"/>
        <v>8235</v>
      </c>
      <c r="J17" s="47"/>
      <c r="K17" s="47"/>
      <c r="L17" s="42"/>
      <c r="M17" s="42"/>
      <c r="N17" s="42"/>
      <c r="O17" s="42"/>
      <c r="P17" s="42"/>
      <c r="Q17" s="42"/>
      <c r="R17" s="44"/>
      <c r="S17" s="42"/>
      <c r="T17" s="42"/>
      <c r="U17" s="42"/>
      <c r="V17" s="42"/>
      <c r="W17" s="42"/>
      <c r="X17" s="46">
        <f t="shared" si="2"/>
        <v>16470</v>
      </c>
      <c r="Y17" s="47">
        <f t="shared" si="3"/>
        <v>1383.48</v>
      </c>
      <c r="Z17" s="22"/>
      <c r="AD17" s="3"/>
      <c r="AE17" s="4"/>
    </row>
    <row r="18">
      <c r="B18" s="25"/>
      <c r="C18" s="15"/>
      <c r="D18" s="15"/>
      <c r="E18" s="16"/>
      <c r="F18" s="17">
        <v>10.0</v>
      </c>
      <c r="G18" s="42">
        <f>SUM(4950*0.2)</f>
        <v>990</v>
      </c>
      <c r="H18" s="42">
        <f>SUM(4950*0.8)</f>
        <v>3960</v>
      </c>
      <c r="I18" s="42">
        <f t="shared" si="1"/>
        <v>4950</v>
      </c>
      <c r="J18" s="47"/>
      <c r="K18" s="42"/>
      <c r="L18" s="42"/>
      <c r="M18" s="42"/>
      <c r="N18" s="42"/>
      <c r="O18" s="42"/>
      <c r="P18" s="42"/>
      <c r="Q18" s="42"/>
      <c r="R18" s="47"/>
      <c r="S18" s="43"/>
      <c r="T18" s="42"/>
      <c r="U18" s="42"/>
      <c r="V18" s="42"/>
      <c r="W18" s="42"/>
      <c r="X18" s="46">
        <f t="shared" si="2"/>
        <v>9900</v>
      </c>
      <c r="Y18" s="47">
        <f t="shared" si="3"/>
        <v>831.6</v>
      </c>
      <c r="Z18" s="22"/>
      <c r="AD18" s="3"/>
      <c r="AE18" s="4"/>
    </row>
    <row r="19">
      <c r="B19" s="25"/>
      <c r="C19" s="15"/>
      <c r="D19" s="15"/>
      <c r="E19" s="76"/>
      <c r="F19" s="17">
        <v>11.0</v>
      </c>
      <c r="G19" s="42">
        <f>SUM(5800*0.2)</f>
        <v>1160</v>
      </c>
      <c r="H19" s="42">
        <f>SUM(5800*0.8)</f>
        <v>4640</v>
      </c>
      <c r="I19" s="42">
        <f t="shared" si="1"/>
        <v>5800</v>
      </c>
      <c r="J19" s="45"/>
      <c r="K19" s="42"/>
      <c r="L19" s="42"/>
      <c r="M19" s="42"/>
      <c r="N19" s="42"/>
      <c r="O19" s="42"/>
      <c r="P19" s="42"/>
      <c r="Q19" s="42"/>
      <c r="R19" s="45"/>
      <c r="S19" s="42"/>
      <c r="T19" s="42"/>
      <c r="U19" s="42"/>
      <c r="V19" s="42"/>
      <c r="W19" s="42"/>
      <c r="X19" s="46">
        <f t="shared" si="2"/>
        <v>11600</v>
      </c>
      <c r="Y19" s="47">
        <f t="shared" si="3"/>
        <v>974.4</v>
      </c>
      <c r="Z19" s="22"/>
      <c r="AD19" s="3"/>
      <c r="AE19" s="4"/>
    </row>
    <row r="20">
      <c r="B20" s="25"/>
      <c r="C20" s="15"/>
      <c r="D20" s="38"/>
      <c r="E20" s="16"/>
      <c r="F20" s="17">
        <v>12.0</v>
      </c>
      <c r="G20" s="55">
        <f t="shared" ref="G20:G21" si="8">SUM(0*0.2)</f>
        <v>0</v>
      </c>
      <c r="H20" s="55">
        <f t="shared" ref="H20:H21" si="9">SUM(0*0.8)</f>
        <v>0</v>
      </c>
      <c r="I20" s="55">
        <f t="shared" si="1"/>
        <v>0</v>
      </c>
      <c r="J20" s="57"/>
      <c r="K20" s="55"/>
      <c r="L20" s="55"/>
      <c r="M20" s="55"/>
      <c r="N20" s="55"/>
      <c r="O20" s="55"/>
      <c r="P20" s="55"/>
      <c r="Q20" s="55"/>
      <c r="R20" s="57"/>
      <c r="S20" s="55"/>
      <c r="T20" s="55"/>
      <c r="U20" s="55"/>
      <c r="V20" s="55"/>
      <c r="W20" s="55"/>
      <c r="X20" s="58">
        <f t="shared" si="2"/>
        <v>0</v>
      </c>
      <c r="Y20" s="56">
        <f t="shared" si="3"/>
        <v>0</v>
      </c>
      <c r="Z20" s="22"/>
      <c r="AD20" s="3"/>
      <c r="AE20" s="4"/>
    </row>
    <row r="21">
      <c r="B21" s="25"/>
      <c r="C21" s="15"/>
      <c r="D21" s="38"/>
      <c r="E21" s="16"/>
      <c r="F21" s="17">
        <v>13.0</v>
      </c>
      <c r="G21" s="55">
        <f t="shared" si="8"/>
        <v>0</v>
      </c>
      <c r="H21" s="55">
        <f t="shared" si="9"/>
        <v>0</v>
      </c>
      <c r="I21" s="55">
        <f t="shared" si="1"/>
        <v>0</v>
      </c>
      <c r="J21" s="56"/>
      <c r="K21" s="55"/>
      <c r="L21" s="55"/>
      <c r="M21" s="55"/>
      <c r="N21" s="55"/>
      <c r="O21" s="55"/>
      <c r="P21" s="55"/>
      <c r="Q21" s="55"/>
      <c r="R21" s="57"/>
      <c r="S21" s="55"/>
      <c r="T21" s="55"/>
      <c r="U21" s="55"/>
      <c r="V21" s="55"/>
      <c r="W21" s="55"/>
      <c r="X21" s="58">
        <f t="shared" si="2"/>
        <v>0</v>
      </c>
      <c r="Y21" s="56">
        <f t="shared" si="3"/>
        <v>0</v>
      </c>
      <c r="Z21" s="22"/>
      <c r="AD21" s="3"/>
      <c r="AE21" s="4"/>
    </row>
    <row r="22">
      <c r="B22" s="25"/>
      <c r="C22" s="27"/>
      <c r="D22" s="27"/>
      <c r="E22" s="25"/>
      <c r="F22" s="17">
        <v>14.0</v>
      </c>
      <c r="G22" s="42">
        <f>SUM(8640*0.2)</f>
        <v>1728</v>
      </c>
      <c r="H22" s="42">
        <f>SUM(8640*0.8)</f>
        <v>6912</v>
      </c>
      <c r="I22" s="42">
        <f t="shared" si="1"/>
        <v>8640</v>
      </c>
      <c r="J22" s="47"/>
      <c r="K22" s="47"/>
      <c r="L22" s="42"/>
      <c r="M22" s="42"/>
      <c r="N22" s="42"/>
      <c r="O22" s="42"/>
      <c r="P22" s="42"/>
      <c r="Q22" s="42"/>
      <c r="R22" s="45"/>
      <c r="S22" s="42"/>
      <c r="T22" s="42"/>
      <c r="U22" s="42"/>
      <c r="V22" s="42"/>
      <c r="W22" s="42"/>
      <c r="X22" s="46">
        <f t="shared" si="2"/>
        <v>17280</v>
      </c>
      <c r="Y22" s="47">
        <f t="shared" si="3"/>
        <v>1451.52</v>
      </c>
      <c r="Z22" s="22"/>
      <c r="AD22" s="3"/>
      <c r="AE22" s="4"/>
    </row>
    <row r="23">
      <c r="B23" s="25"/>
      <c r="C23" s="27"/>
      <c r="D23" s="27"/>
      <c r="E23" s="25"/>
      <c r="F23" s="17">
        <v>15.0</v>
      </c>
      <c r="G23" s="42">
        <f>SUM(9200*0.2)</f>
        <v>1840</v>
      </c>
      <c r="H23" s="42">
        <f>SUM(9200*0.8)</f>
        <v>7360</v>
      </c>
      <c r="I23" s="42">
        <f t="shared" si="1"/>
        <v>9200</v>
      </c>
      <c r="J23" s="47"/>
      <c r="K23" s="42"/>
      <c r="L23" s="42"/>
      <c r="M23" s="42"/>
      <c r="N23" s="42"/>
      <c r="O23" s="42"/>
      <c r="P23" s="42"/>
      <c r="Q23" s="42"/>
      <c r="R23" s="47"/>
      <c r="S23" s="42"/>
      <c r="T23" s="42"/>
      <c r="U23" s="42"/>
      <c r="V23" s="42"/>
      <c r="W23" s="42"/>
      <c r="X23" s="46">
        <f t="shared" si="2"/>
        <v>18400</v>
      </c>
      <c r="Y23" s="47">
        <f t="shared" si="3"/>
        <v>1545.6</v>
      </c>
      <c r="Z23" s="22"/>
      <c r="AD23" s="3"/>
      <c r="AE23" s="4"/>
    </row>
    <row r="24">
      <c r="B24" s="25"/>
      <c r="C24" s="15"/>
      <c r="D24" s="15"/>
      <c r="E24" s="16"/>
      <c r="F24" s="17">
        <v>16.0</v>
      </c>
      <c r="G24" s="42">
        <f>SUM(9780*0.2)</f>
        <v>1956</v>
      </c>
      <c r="H24" s="42">
        <f>SUM(9780*0.8)</f>
        <v>7824</v>
      </c>
      <c r="I24" s="42">
        <f t="shared" si="1"/>
        <v>9780</v>
      </c>
      <c r="J24" s="45"/>
      <c r="K24" s="42"/>
      <c r="L24" s="42"/>
      <c r="M24" s="42"/>
      <c r="N24" s="42"/>
      <c r="O24" s="42"/>
      <c r="P24" s="42"/>
      <c r="Q24" s="42"/>
      <c r="R24" s="45"/>
      <c r="S24" s="42"/>
      <c r="T24" s="42"/>
      <c r="U24" s="42"/>
      <c r="V24" s="42"/>
      <c r="W24" s="42"/>
      <c r="X24" s="46">
        <f t="shared" si="2"/>
        <v>19560</v>
      </c>
      <c r="Y24" s="47">
        <f t="shared" si="3"/>
        <v>1643.04</v>
      </c>
      <c r="Z24" s="22"/>
      <c r="AD24" s="3"/>
      <c r="AE24" s="4"/>
    </row>
    <row r="25">
      <c r="B25" s="25"/>
      <c r="C25" s="15"/>
      <c r="D25" s="15"/>
      <c r="E25" s="54"/>
      <c r="F25" s="17">
        <v>17.0</v>
      </c>
      <c r="G25" s="55">
        <f t="shared" ref="G25:G29" si="10">SUM(0*0.2)</f>
        <v>0</v>
      </c>
      <c r="H25" s="55">
        <f t="shared" ref="H25:H29" si="11">SUM(0*0.8)</f>
        <v>0</v>
      </c>
      <c r="I25" s="55">
        <f t="shared" si="1"/>
        <v>0</v>
      </c>
      <c r="J25" s="57"/>
      <c r="K25" s="55"/>
      <c r="L25" s="55"/>
      <c r="M25" s="55"/>
      <c r="N25" s="55"/>
      <c r="O25" s="55"/>
      <c r="P25" s="55"/>
      <c r="Q25" s="55"/>
      <c r="R25" s="57"/>
      <c r="S25" s="55"/>
      <c r="T25" s="55"/>
      <c r="U25" s="55"/>
      <c r="V25" s="55"/>
      <c r="W25" s="55"/>
      <c r="X25" s="58">
        <f t="shared" si="2"/>
        <v>0</v>
      </c>
      <c r="Y25" s="56">
        <f t="shared" si="3"/>
        <v>0</v>
      </c>
      <c r="Z25" s="22"/>
      <c r="AD25" s="3"/>
      <c r="AE25" s="4"/>
    </row>
    <row r="26">
      <c r="B26" s="25"/>
      <c r="C26" s="15"/>
      <c r="D26" s="15"/>
      <c r="E26" s="54"/>
      <c r="F26" s="17">
        <v>18.0</v>
      </c>
      <c r="G26" s="55">
        <f t="shared" si="10"/>
        <v>0</v>
      </c>
      <c r="H26" s="55">
        <f t="shared" si="11"/>
        <v>0</v>
      </c>
      <c r="I26" s="55">
        <f t="shared" si="1"/>
        <v>0</v>
      </c>
      <c r="J26" s="56"/>
      <c r="K26" s="55"/>
      <c r="L26" s="55"/>
      <c r="M26" s="55"/>
      <c r="N26" s="55"/>
      <c r="O26" s="55"/>
      <c r="P26" s="55"/>
      <c r="Q26" s="55"/>
      <c r="R26" s="57"/>
      <c r="S26" s="55"/>
      <c r="T26" s="55"/>
      <c r="U26" s="55"/>
      <c r="V26" s="55"/>
      <c r="W26" s="55"/>
      <c r="X26" s="58">
        <f t="shared" si="2"/>
        <v>0</v>
      </c>
      <c r="Y26" s="56">
        <f t="shared" si="3"/>
        <v>0</v>
      </c>
      <c r="Z26" s="22"/>
      <c r="AD26" s="3"/>
      <c r="AE26" s="4"/>
    </row>
    <row r="27">
      <c r="B27" s="25"/>
      <c r="C27" s="15"/>
      <c r="D27" s="15"/>
      <c r="E27" s="54"/>
      <c r="F27" s="17">
        <v>19.0</v>
      </c>
      <c r="G27" s="55">
        <f t="shared" si="10"/>
        <v>0</v>
      </c>
      <c r="H27" s="55">
        <f t="shared" si="11"/>
        <v>0</v>
      </c>
      <c r="I27" s="55">
        <f t="shared" si="1"/>
        <v>0</v>
      </c>
      <c r="J27" s="56"/>
      <c r="K27" s="56"/>
      <c r="L27" s="55"/>
      <c r="M27" s="55"/>
      <c r="N27" s="55"/>
      <c r="O27" s="55"/>
      <c r="P27" s="55"/>
      <c r="Q27" s="55"/>
      <c r="R27" s="57"/>
      <c r="S27" s="55"/>
      <c r="T27" s="55"/>
      <c r="U27" s="55"/>
      <c r="V27" s="55"/>
      <c r="W27" s="55"/>
      <c r="X27" s="58">
        <f t="shared" si="2"/>
        <v>0</v>
      </c>
      <c r="Y27" s="56">
        <f t="shared" si="3"/>
        <v>0</v>
      </c>
      <c r="Z27" s="22"/>
      <c r="AD27" s="3"/>
      <c r="AE27" s="4"/>
    </row>
    <row r="28">
      <c r="B28" s="25"/>
      <c r="C28" s="27"/>
      <c r="D28" s="27"/>
      <c r="E28" s="25"/>
      <c r="F28" s="17">
        <v>20.0</v>
      </c>
      <c r="G28" s="55">
        <f t="shared" si="10"/>
        <v>0</v>
      </c>
      <c r="H28" s="55">
        <f t="shared" si="11"/>
        <v>0</v>
      </c>
      <c r="I28" s="55">
        <f t="shared" si="1"/>
        <v>0</v>
      </c>
      <c r="J28" s="56"/>
      <c r="K28" s="55"/>
      <c r="L28" s="55"/>
      <c r="M28" s="55"/>
      <c r="N28" s="55"/>
      <c r="O28" s="55"/>
      <c r="P28" s="55"/>
      <c r="Q28" s="55"/>
      <c r="R28" s="56"/>
      <c r="S28" s="55"/>
      <c r="T28" s="55"/>
      <c r="U28" s="55"/>
      <c r="V28" s="55"/>
      <c r="W28" s="55"/>
      <c r="X28" s="58">
        <f t="shared" si="2"/>
        <v>0</v>
      </c>
      <c r="Y28" s="56">
        <f t="shared" si="3"/>
        <v>0</v>
      </c>
      <c r="Z28" s="22"/>
      <c r="AD28" s="3"/>
      <c r="AE28" s="4"/>
    </row>
    <row r="29">
      <c r="B29" s="25"/>
      <c r="C29" s="27"/>
      <c r="D29" s="27"/>
      <c r="E29" s="25"/>
      <c r="F29" s="17">
        <v>21.0</v>
      </c>
      <c r="G29" s="55">
        <f t="shared" si="10"/>
        <v>0</v>
      </c>
      <c r="H29" s="55">
        <f t="shared" si="11"/>
        <v>0</v>
      </c>
      <c r="I29" s="55">
        <f t="shared" si="1"/>
        <v>0</v>
      </c>
      <c r="J29" s="57"/>
      <c r="K29" s="55"/>
      <c r="L29" s="55"/>
      <c r="M29" s="55"/>
      <c r="N29" s="55"/>
      <c r="O29" s="55"/>
      <c r="P29" s="55"/>
      <c r="Q29" s="55"/>
      <c r="R29" s="57"/>
      <c r="S29" s="55"/>
      <c r="T29" s="55"/>
      <c r="U29" s="55"/>
      <c r="V29" s="55"/>
      <c r="W29" s="55"/>
      <c r="X29" s="58">
        <f t="shared" si="2"/>
        <v>0</v>
      </c>
      <c r="Y29" s="56">
        <f t="shared" si="3"/>
        <v>0</v>
      </c>
      <c r="Z29" s="22"/>
      <c r="AD29" s="3"/>
      <c r="AE29" s="4"/>
    </row>
    <row r="30">
      <c r="B30" s="25"/>
      <c r="C30" s="27"/>
      <c r="D30" s="27"/>
      <c r="E30" s="25"/>
      <c r="F30" s="17">
        <v>22.0</v>
      </c>
      <c r="G30" s="42">
        <f>SUM(6260*0.2)</f>
        <v>1252</v>
      </c>
      <c r="H30" s="42">
        <f>SUM(6260*0.8)</f>
        <v>5008</v>
      </c>
      <c r="I30" s="42">
        <f t="shared" si="1"/>
        <v>6260</v>
      </c>
      <c r="J30" s="45"/>
      <c r="K30" s="42"/>
      <c r="L30" s="42"/>
      <c r="M30" s="42"/>
      <c r="N30" s="42"/>
      <c r="O30" s="42"/>
      <c r="P30" s="42"/>
      <c r="Q30" s="42"/>
      <c r="R30" s="45"/>
      <c r="S30" s="42"/>
      <c r="T30" s="42"/>
      <c r="U30" s="42"/>
      <c r="V30" s="42"/>
      <c r="W30" s="42"/>
      <c r="X30" s="46">
        <f t="shared" si="2"/>
        <v>12520</v>
      </c>
      <c r="Y30" s="47">
        <f t="shared" si="3"/>
        <v>1051.68</v>
      </c>
      <c r="Z30" s="22"/>
      <c r="AD30" s="3"/>
      <c r="AE30" s="4"/>
    </row>
    <row r="31">
      <c r="B31" s="25"/>
      <c r="C31" s="27"/>
      <c r="D31" s="27"/>
      <c r="E31" s="25"/>
      <c r="F31" s="17">
        <v>23.0</v>
      </c>
      <c r="G31" s="42">
        <f>SUM(9360*0.2)</f>
        <v>1872</v>
      </c>
      <c r="H31" s="42">
        <f>SUM(9360*0.8)</f>
        <v>7488</v>
      </c>
      <c r="I31" s="42">
        <f t="shared" si="1"/>
        <v>9360</v>
      </c>
      <c r="J31" s="47"/>
      <c r="K31" s="42"/>
      <c r="L31" s="42"/>
      <c r="M31" s="42"/>
      <c r="N31" s="42"/>
      <c r="O31" s="42"/>
      <c r="P31" s="42"/>
      <c r="Q31" s="42"/>
      <c r="R31" s="45"/>
      <c r="S31" s="42"/>
      <c r="T31" s="42"/>
      <c r="U31" s="42"/>
      <c r="V31" s="42"/>
      <c r="W31" s="42"/>
      <c r="X31" s="46">
        <f t="shared" si="2"/>
        <v>18720</v>
      </c>
      <c r="Y31" s="47">
        <f t="shared" si="3"/>
        <v>1572.48</v>
      </c>
      <c r="Z31" s="22"/>
      <c r="AD31" s="3"/>
      <c r="AE31" s="4"/>
    </row>
    <row r="32">
      <c r="B32" s="25"/>
      <c r="C32" s="27"/>
      <c r="D32" s="27"/>
      <c r="E32" s="25"/>
      <c r="F32" s="17">
        <v>24.0</v>
      </c>
      <c r="G32" s="42">
        <f>SUM(11000*0.2)</f>
        <v>2200</v>
      </c>
      <c r="H32" s="42">
        <f>SUM(11000*0.8)</f>
        <v>8800</v>
      </c>
      <c r="I32" s="42">
        <f t="shared" si="1"/>
        <v>11000</v>
      </c>
      <c r="J32" s="47"/>
      <c r="K32" s="47"/>
      <c r="L32" s="42"/>
      <c r="M32" s="42"/>
      <c r="N32" s="42"/>
      <c r="O32" s="42"/>
      <c r="P32" s="42"/>
      <c r="Q32" s="42"/>
      <c r="R32" s="45"/>
      <c r="S32" s="42"/>
      <c r="T32" s="42"/>
      <c r="U32" s="42"/>
      <c r="V32" s="42"/>
      <c r="W32" s="42"/>
      <c r="X32" s="46">
        <f t="shared" si="2"/>
        <v>22000</v>
      </c>
      <c r="Y32" s="47">
        <f t="shared" si="3"/>
        <v>1848</v>
      </c>
      <c r="Z32" s="22"/>
      <c r="AD32" s="3"/>
      <c r="AE32" s="4"/>
    </row>
    <row r="33">
      <c r="B33" s="59"/>
      <c r="C33" s="60"/>
      <c r="D33" s="60"/>
      <c r="E33" s="59"/>
      <c r="F33" s="17">
        <v>25.0</v>
      </c>
      <c r="G33" s="42">
        <f>SUM(6495*0.2)</f>
        <v>1299</v>
      </c>
      <c r="H33" s="42">
        <f>SUM(6495*0.8)</f>
        <v>5196</v>
      </c>
      <c r="I33" s="42">
        <f t="shared" si="1"/>
        <v>6495</v>
      </c>
      <c r="J33" s="47"/>
      <c r="K33" s="42"/>
      <c r="L33" s="42"/>
      <c r="M33" s="42"/>
      <c r="N33" s="42"/>
      <c r="O33" s="42"/>
      <c r="P33" s="42"/>
      <c r="Q33" s="42"/>
      <c r="R33" s="47"/>
      <c r="S33" s="42"/>
      <c r="T33" s="42"/>
      <c r="U33" s="42"/>
      <c r="V33" s="42"/>
      <c r="W33" s="42"/>
      <c r="X33" s="46">
        <f t="shared" si="2"/>
        <v>12990</v>
      </c>
      <c r="Y33" s="47">
        <f t="shared" si="3"/>
        <v>1091.16</v>
      </c>
      <c r="Z33" s="22"/>
      <c r="AD33" s="3"/>
      <c r="AE33" s="4"/>
    </row>
    <row r="34">
      <c r="B34" s="1"/>
      <c r="E34" s="1"/>
      <c r="F34" s="2"/>
      <c r="Z34" s="1"/>
      <c r="AD34" s="3"/>
      <c r="AE34" s="4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6.13"/>
    <col customWidth="1" min="4" max="4" width="33.0"/>
    <col customWidth="1" min="5" max="5" width="17.25"/>
    <col customWidth="1" min="6" max="6" width="4.38"/>
    <col customWidth="1" min="7" max="7" width="11.13"/>
    <col customWidth="1" min="8" max="9" width="9.38"/>
    <col customWidth="1" min="10" max="10" width="6.63"/>
    <col customWidth="1" min="11" max="11" width="6.38"/>
    <col customWidth="1" min="12" max="12" width="6.25"/>
    <col customWidth="1" min="13" max="13" width="6.63"/>
    <col customWidth="1" min="14" max="14" width="5.5"/>
    <col customWidth="1" min="15" max="17" width="9.38"/>
    <col customWidth="1" min="18" max="18" width="7.5"/>
    <col customWidth="1" min="19" max="22" width="9.38"/>
    <col customWidth="1" min="23" max="23" width="7.25"/>
    <col customWidth="1" min="25" max="25" width="7.63"/>
    <col customWidth="1" min="26" max="26" width="12.5"/>
    <col customWidth="1" min="27" max="27" width="25.63"/>
    <col customWidth="1" min="28" max="28" width="25.13"/>
    <col customWidth="1" min="29" max="29" width="12.25"/>
    <col customWidth="1" min="30" max="30" width="3.0"/>
    <col customWidth="1" min="31" max="31" width="15.25"/>
    <col customWidth="1" min="32" max="32" width="11.25"/>
  </cols>
  <sheetData>
    <row r="1" ht="27.0" customHeight="1">
      <c r="B1" s="1"/>
      <c r="E1" s="1"/>
      <c r="F1" s="2"/>
      <c r="Z1" s="1"/>
      <c r="AA1" s="1"/>
      <c r="AE1" s="3"/>
      <c r="AF1" s="4"/>
    </row>
    <row r="2" ht="19.5" customHeight="1">
      <c r="A2" s="5"/>
      <c r="B2" s="6" t="s">
        <v>0</v>
      </c>
      <c r="C2" s="6" t="s">
        <v>37</v>
      </c>
      <c r="D2" s="6" t="s">
        <v>38</v>
      </c>
      <c r="E2" s="6" t="s">
        <v>3</v>
      </c>
      <c r="F2" s="7" t="s">
        <v>4</v>
      </c>
      <c r="G2" s="8" t="s">
        <v>5</v>
      </c>
      <c r="H2" s="8" t="s">
        <v>56</v>
      </c>
      <c r="I2" s="8" t="s">
        <v>52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9" t="s">
        <v>15</v>
      </c>
      <c r="R2" s="8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7" t="s">
        <v>22</v>
      </c>
      <c r="Y2" s="7" t="s">
        <v>23</v>
      </c>
      <c r="Z2" s="10"/>
      <c r="AA2" s="10"/>
      <c r="AB2" s="11"/>
      <c r="AC2" s="11"/>
      <c r="AD2" s="11"/>
      <c r="AE2" s="12"/>
      <c r="AF2" s="13"/>
      <c r="AG2" s="11"/>
      <c r="AH2" s="11"/>
      <c r="AI2" s="11"/>
      <c r="AJ2" s="11"/>
      <c r="AK2" s="11"/>
      <c r="AL2" s="11"/>
    </row>
    <row r="3">
      <c r="B3" s="14"/>
      <c r="C3" s="15"/>
      <c r="D3" s="15"/>
      <c r="E3" s="16"/>
      <c r="F3" s="17">
        <v>26.0</v>
      </c>
      <c r="G3" s="55">
        <f t="shared" ref="G3:G4" si="1">SUM(0*0.2)</f>
        <v>0</v>
      </c>
      <c r="H3" s="55">
        <f t="shared" ref="H3:H4" si="2">SUM(0*0.8)</f>
        <v>0</v>
      </c>
      <c r="I3" s="55">
        <f t="shared" ref="I3:I32" si="3">SUM(G3:H3)*0.8</f>
        <v>0</v>
      </c>
      <c r="J3" s="56"/>
      <c r="K3" s="55"/>
      <c r="L3" s="55"/>
      <c r="M3" s="55"/>
      <c r="N3" s="55"/>
      <c r="O3" s="55"/>
      <c r="P3" s="55"/>
      <c r="Q3" s="55"/>
      <c r="R3" s="56"/>
      <c r="S3" s="78"/>
      <c r="T3" s="55"/>
      <c r="U3" s="55"/>
      <c r="V3" s="55"/>
      <c r="W3" s="55"/>
      <c r="X3" s="58">
        <f t="shared" ref="X3:X32" si="4">SUM(G3:W3)</f>
        <v>0</v>
      </c>
      <c r="Y3" s="56">
        <f t="shared" ref="Y3:Y4" si="5">SUM(G3*0.08)+(H3*0.14)+(J3*27)+(K3*40)+(M3*50)+(O3*350)+(P3*550)+(Q3*160)+(R3*200)+(S3*260)+(T3*330)+(U3*110)+(V3*120)+(W3*0.7)+(I3*0.04)</f>
        <v>0</v>
      </c>
      <c r="Z3" s="22"/>
      <c r="AA3" s="22">
        <v>1.0</v>
      </c>
      <c r="AB3" s="23" t="s">
        <v>24</v>
      </c>
      <c r="AC3" s="24">
        <f>SUM(Y3:Y32)</f>
        <v>18654.168</v>
      </c>
      <c r="AE3" s="3"/>
      <c r="AF3" s="4"/>
    </row>
    <row r="4">
      <c r="B4" s="25"/>
      <c r="C4" s="15"/>
      <c r="D4" s="15"/>
      <c r="E4" s="16"/>
      <c r="F4" s="17">
        <v>27.0</v>
      </c>
      <c r="G4" s="55">
        <f t="shared" si="1"/>
        <v>0</v>
      </c>
      <c r="H4" s="55">
        <f t="shared" si="2"/>
        <v>0</v>
      </c>
      <c r="I4" s="55">
        <f t="shared" si="3"/>
        <v>0</v>
      </c>
      <c r="J4" s="56"/>
      <c r="K4" s="56"/>
      <c r="L4" s="55"/>
      <c r="M4" s="55"/>
      <c r="N4" s="55"/>
      <c r="O4" s="55"/>
      <c r="P4" s="55"/>
      <c r="Q4" s="55"/>
      <c r="R4" s="57"/>
      <c r="S4" s="55"/>
      <c r="T4" s="55"/>
      <c r="U4" s="55"/>
      <c r="V4" s="55"/>
      <c r="W4" s="55"/>
      <c r="X4" s="58">
        <f t="shared" si="4"/>
        <v>0</v>
      </c>
      <c r="Y4" s="56">
        <f t="shared" si="5"/>
        <v>0</v>
      </c>
      <c r="Z4" s="22"/>
      <c r="AA4" s="22"/>
      <c r="AE4" s="3"/>
      <c r="AF4" s="4"/>
    </row>
    <row r="5">
      <c r="B5" s="25"/>
      <c r="C5" s="15"/>
      <c r="D5" s="15"/>
      <c r="E5" s="16"/>
      <c r="F5" s="17">
        <v>28.0</v>
      </c>
      <c r="G5" s="42">
        <f>SUM(7200*0.2)</f>
        <v>1440</v>
      </c>
      <c r="H5" s="42">
        <f>SUM(7200*0.8)</f>
        <v>5760</v>
      </c>
      <c r="I5" s="42">
        <f t="shared" si="3"/>
        <v>5760</v>
      </c>
      <c r="J5" s="47"/>
      <c r="K5" s="42"/>
      <c r="L5" s="42"/>
      <c r="M5" s="42"/>
      <c r="N5" s="42"/>
      <c r="O5" s="42"/>
      <c r="P5" s="42"/>
      <c r="Q5" s="42"/>
      <c r="R5" s="47"/>
      <c r="S5" s="43"/>
      <c r="T5" s="42"/>
      <c r="U5" s="42"/>
      <c r="V5" s="42"/>
      <c r="W5" s="42"/>
      <c r="X5" s="46">
        <f t="shared" si="4"/>
        <v>12960</v>
      </c>
      <c r="Y5" s="47">
        <f>SUM(G5*0.04)+(H5*0.1)+(I5*0.04)+(J5*27)+(K5*40)+(M5*50)+(O5*350)+(P5*550)+(Q5*160)+(R5*200)+(S5*260)+(T5*330)+(U5*110)+(V5*120)+(W5*0.7)+(I5*0.04)</f>
        <v>1094.4</v>
      </c>
      <c r="Z5" s="22">
        <v>864.0</v>
      </c>
      <c r="AA5" s="22">
        <f t="shared" ref="AA5:AA7" si="6">Y5-Z5</f>
        <v>230.4</v>
      </c>
      <c r="AE5" s="3"/>
      <c r="AF5" s="4"/>
    </row>
    <row r="6">
      <c r="B6" s="25"/>
      <c r="C6" s="15"/>
      <c r="D6" s="15"/>
      <c r="E6" s="16"/>
      <c r="F6" s="17">
        <v>29.0</v>
      </c>
      <c r="G6" s="42">
        <f t="shared" ref="G6:G7" si="7">SUM(9000*0.2)</f>
        <v>1800</v>
      </c>
      <c r="H6" s="42">
        <f t="shared" ref="H6:H7" si="8">SUM(9000*0.8)</f>
        <v>7200</v>
      </c>
      <c r="I6" s="42">
        <f t="shared" si="3"/>
        <v>7200</v>
      </c>
      <c r="J6" s="47"/>
      <c r="K6" s="47"/>
      <c r="L6" s="42"/>
      <c r="M6" s="42"/>
      <c r="N6" s="42"/>
      <c r="O6" s="42"/>
      <c r="P6" s="42"/>
      <c r="Q6" s="42"/>
      <c r="R6" s="45"/>
      <c r="S6" s="42"/>
      <c r="T6" s="42"/>
      <c r="U6" s="42"/>
      <c r="V6" s="42"/>
      <c r="W6" s="42"/>
      <c r="X6" s="46">
        <f t="shared" si="4"/>
        <v>16200</v>
      </c>
      <c r="Y6" s="47">
        <f>SUM(G6*0.04)+(H6*0.1)+(I8*0.04)+(J6*27)+(K6*40)+(M6*50)+(O6*350)+(P6*550)+(Q6*160)+(R6*200)+(S6*260)+(T6*330)+(U6*110)+(V6*120)+(W6*0.7)+(I6*0.04)</f>
        <v>1080</v>
      </c>
      <c r="Z6" s="22">
        <v>1080.0</v>
      </c>
      <c r="AA6" s="22">
        <f t="shared" si="6"/>
        <v>0</v>
      </c>
      <c r="AE6" s="3"/>
      <c r="AF6" s="4"/>
    </row>
    <row r="7">
      <c r="B7" s="25"/>
      <c r="C7" s="27"/>
      <c r="D7" s="27"/>
      <c r="E7" s="25"/>
      <c r="F7" s="17">
        <v>30.0</v>
      </c>
      <c r="G7" s="42">
        <f t="shared" si="7"/>
        <v>1800</v>
      </c>
      <c r="H7" s="42">
        <f t="shared" si="8"/>
        <v>7200</v>
      </c>
      <c r="I7" s="42">
        <f t="shared" si="3"/>
        <v>7200</v>
      </c>
      <c r="J7" s="47"/>
      <c r="K7" s="42"/>
      <c r="L7" s="42"/>
      <c r="M7" s="42"/>
      <c r="N7" s="42"/>
      <c r="O7" s="42"/>
      <c r="P7" s="42"/>
      <c r="Q7" s="42"/>
      <c r="R7" s="47"/>
      <c r="S7" s="43"/>
      <c r="T7" s="42"/>
      <c r="U7" s="42"/>
      <c r="V7" s="42"/>
      <c r="W7" s="42"/>
      <c r="X7" s="46">
        <f t="shared" si="4"/>
        <v>16200</v>
      </c>
      <c r="Y7" s="47">
        <f>SUM(G7*0.04)+(H7*0.1)+(I7*0.04)+(J7*27)+(K7*40)+(M7*50)+(O7*350)+(P7*550)+(Q7*160)+(R7*200)+(S7*260)+(T7*330)+(U7*110)+(V7*120)+(W7*0.7)</f>
        <v>1080</v>
      </c>
      <c r="Z7" s="22">
        <v>1080.0</v>
      </c>
      <c r="AA7" s="22">
        <f t="shared" si="6"/>
        <v>0</v>
      </c>
      <c r="AE7" s="3"/>
      <c r="AF7" s="4"/>
    </row>
    <row r="8">
      <c r="B8" s="25"/>
      <c r="C8" s="27"/>
      <c r="D8" s="27"/>
      <c r="E8" s="25"/>
      <c r="F8" s="17">
        <v>1.0</v>
      </c>
      <c r="G8" s="55">
        <f t="shared" ref="G8:G11" si="9">SUM(0*0.2)</f>
        <v>0</v>
      </c>
      <c r="H8" s="55">
        <f t="shared" ref="H8:H11" si="10">SUM(0*0.8)</f>
        <v>0</v>
      </c>
      <c r="I8" s="55">
        <f t="shared" si="3"/>
        <v>0</v>
      </c>
      <c r="J8" s="56"/>
      <c r="K8" s="56"/>
      <c r="L8" s="55"/>
      <c r="M8" s="55"/>
      <c r="N8" s="55"/>
      <c r="O8" s="55"/>
      <c r="P8" s="55"/>
      <c r="Q8" s="55"/>
      <c r="R8" s="57"/>
      <c r="S8" s="55"/>
      <c r="T8" s="55"/>
      <c r="U8" s="55"/>
      <c r="V8" s="55"/>
      <c r="W8" s="55"/>
      <c r="X8" s="58">
        <f t="shared" si="4"/>
        <v>0</v>
      </c>
      <c r="Y8" s="56">
        <f>SUM(G8*0.04)+(H8*0.1)+(J8*27)+(K8*40)+(M8*50)+(O8*350)+(P8*550)+(Q8*160)+(R8*200)+(S8*260)+(T8*330)+(U8*110)+(V8*120)+(W8*0.7)+(I8*0.04)</f>
        <v>0</v>
      </c>
      <c r="Z8" s="22"/>
      <c r="AA8" s="22"/>
      <c r="AB8" s="29"/>
      <c r="AE8" s="3"/>
      <c r="AF8" s="4"/>
    </row>
    <row r="9">
      <c r="B9" s="25"/>
      <c r="C9" s="27"/>
      <c r="D9" s="27"/>
      <c r="E9" s="25"/>
      <c r="F9" s="17">
        <v>2.0</v>
      </c>
      <c r="G9" s="55">
        <f t="shared" si="9"/>
        <v>0</v>
      </c>
      <c r="H9" s="55">
        <f t="shared" si="10"/>
        <v>0</v>
      </c>
      <c r="I9" s="55">
        <f t="shared" si="3"/>
        <v>0</v>
      </c>
      <c r="J9" s="56"/>
      <c r="K9" s="55"/>
      <c r="L9" s="55"/>
      <c r="M9" s="55"/>
      <c r="N9" s="55"/>
      <c r="O9" s="55"/>
      <c r="P9" s="55"/>
      <c r="Q9" s="55"/>
      <c r="R9" s="56"/>
      <c r="S9" s="78"/>
      <c r="T9" s="55"/>
      <c r="U9" s="55"/>
      <c r="V9" s="55"/>
      <c r="W9" s="55"/>
      <c r="X9" s="58">
        <f t="shared" si="4"/>
        <v>0</v>
      </c>
      <c r="Y9" s="56">
        <f t="shared" ref="Y9:Y10" si="11">SUM(G9*0.08)+(H9*0.14)+(J9*27)+(K9*40)+(M9*50)+(O9*350)+(P9*550)+(Q9*160)+(R9*200)+(S9*260)+(T9*330)+(U9*110)+(V9*120)+(W9*0.7)+(I9*0.04)</f>
        <v>0</v>
      </c>
      <c r="Z9" s="22"/>
      <c r="AA9" s="22"/>
      <c r="AE9" s="3"/>
      <c r="AF9" s="4"/>
    </row>
    <row r="10">
      <c r="B10" s="25"/>
      <c r="C10" s="27"/>
      <c r="D10" s="27"/>
      <c r="E10" s="25"/>
      <c r="F10" s="17">
        <v>3.0</v>
      </c>
      <c r="G10" s="55">
        <f t="shared" si="9"/>
        <v>0</v>
      </c>
      <c r="H10" s="55">
        <f t="shared" si="10"/>
        <v>0</v>
      </c>
      <c r="I10" s="55">
        <f t="shared" si="3"/>
        <v>0</v>
      </c>
      <c r="J10" s="56"/>
      <c r="K10" s="56"/>
      <c r="L10" s="55"/>
      <c r="M10" s="55"/>
      <c r="N10" s="55"/>
      <c r="O10" s="55"/>
      <c r="P10" s="55"/>
      <c r="Q10" s="55"/>
      <c r="R10" s="57"/>
      <c r="S10" s="55"/>
      <c r="T10" s="55"/>
      <c r="U10" s="55"/>
      <c r="V10" s="55"/>
      <c r="W10" s="55"/>
      <c r="X10" s="58">
        <f t="shared" si="4"/>
        <v>0</v>
      </c>
      <c r="Y10" s="56">
        <f t="shared" si="11"/>
        <v>0</v>
      </c>
      <c r="Z10" s="22"/>
      <c r="AA10" s="22"/>
      <c r="AE10" s="3"/>
      <c r="AF10" s="4"/>
    </row>
    <row r="11">
      <c r="B11" s="25"/>
      <c r="C11" s="15"/>
      <c r="D11" s="75"/>
      <c r="E11" s="33"/>
      <c r="F11" s="17">
        <v>4.0</v>
      </c>
      <c r="G11" s="55">
        <f t="shared" si="9"/>
        <v>0</v>
      </c>
      <c r="H11" s="55">
        <f t="shared" si="10"/>
        <v>0</v>
      </c>
      <c r="I11" s="55">
        <f t="shared" si="3"/>
        <v>0</v>
      </c>
      <c r="J11" s="56"/>
      <c r="K11" s="55"/>
      <c r="L11" s="55"/>
      <c r="M11" s="55"/>
      <c r="N11" s="55"/>
      <c r="O11" s="55"/>
      <c r="P11" s="55"/>
      <c r="Q11" s="55"/>
      <c r="R11" s="56"/>
      <c r="S11" s="78"/>
      <c r="T11" s="55"/>
      <c r="U11" s="55"/>
      <c r="V11" s="55"/>
      <c r="W11" s="55"/>
      <c r="X11" s="58">
        <f t="shared" si="4"/>
        <v>0</v>
      </c>
      <c r="Y11" s="56">
        <f>SUM(G11*0.04)+(H11*0.1)+(J11*27)+(K11*40)+(M11*50)+(O11*350)+(P11*550)+(Q11*160)+(R11*200)+(S11*260)+(T11*330)+(U11*110)+(V11*120)+(W11*0.7)+(I11*0.04)</f>
        <v>0</v>
      </c>
      <c r="Z11" s="22"/>
      <c r="AA11" s="22"/>
      <c r="AE11" s="3"/>
      <c r="AF11" s="4"/>
    </row>
    <row r="12">
      <c r="B12" s="25"/>
      <c r="C12" s="15"/>
      <c r="D12" s="75"/>
      <c r="E12" s="33"/>
      <c r="F12" s="17">
        <v>5.0</v>
      </c>
      <c r="G12" s="42">
        <f>SUM(7200*0.2)</f>
        <v>1440</v>
      </c>
      <c r="H12" s="42">
        <f>SUM(7200*0.8)</f>
        <v>5760</v>
      </c>
      <c r="I12" s="42">
        <f t="shared" si="3"/>
        <v>5760</v>
      </c>
      <c r="J12" s="47"/>
      <c r="K12" s="42"/>
      <c r="L12" s="42"/>
      <c r="M12" s="42"/>
      <c r="N12" s="42"/>
      <c r="O12" s="42"/>
      <c r="P12" s="42"/>
      <c r="Q12" s="42"/>
      <c r="R12" s="47"/>
      <c r="S12" s="43"/>
      <c r="T12" s="42"/>
      <c r="U12" s="42"/>
      <c r="V12" s="42"/>
      <c r="W12" s="42"/>
      <c r="X12" s="46">
        <f t="shared" si="4"/>
        <v>12960</v>
      </c>
      <c r="Y12" s="47">
        <f>SUM(G12*0.04)+(H12*0.1)+(I12*0.04)+(J12*27)+(K12*40)+(M12*50)+(O12*350)+(P12*550)+(Q12*160)+(R12*200)+(S12*260)+(T12*330)+(U12*110)+(V12*120)+(W12*0.7)+(I12*0.04)</f>
        <v>1094.4</v>
      </c>
      <c r="Z12" s="22">
        <v>864.0</v>
      </c>
      <c r="AA12" s="22">
        <f>Y12-Z12</f>
        <v>230.4</v>
      </c>
      <c r="AE12" s="3"/>
      <c r="AF12" s="4"/>
    </row>
    <row r="13">
      <c r="B13" s="25"/>
      <c r="C13" s="27"/>
      <c r="D13" s="34"/>
      <c r="E13" s="36"/>
      <c r="F13" s="17">
        <v>6.0</v>
      </c>
      <c r="G13" s="93">
        <f t="shared" ref="G13:G18" si="12">SUM(0*0.2)</f>
        <v>0</v>
      </c>
      <c r="H13" s="93">
        <f t="shared" ref="H13:H18" si="13">SUM(0*0.8)</f>
        <v>0</v>
      </c>
      <c r="I13" s="93">
        <f t="shared" si="3"/>
        <v>0</v>
      </c>
      <c r="J13" s="94"/>
      <c r="K13" s="94"/>
      <c r="L13" s="93"/>
      <c r="M13" s="93"/>
      <c r="N13" s="93"/>
      <c r="O13" s="93"/>
      <c r="P13" s="93"/>
      <c r="Q13" s="93"/>
      <c r="R13" s="95"/>
      <c r="S13" s="93"/>
      <c r="T13" s="93"/>
      <c r="U13" s="93"/>
      <c r="V13" s="93"/>
      <c r="W13" s="93"/>
      <c r="X13" s="96">
        <f t="shared" si="4"/>
        <v>0</v>
      </c>
      <c r="Y13" s="94">
        <f>SUM(G13*0.08)+(H13*0.14)+(J13*27)+(K13*40)+(M13*50)+(O13*350)+(P13*550)+(Q13*160)+(R13*200)+(S13*260)+(T13*330)+(U13*110)+(V13*120)+(W13*0.7)+(I13*0.04)</f>
        <v>0</v>
      </c>
      <c r="Z13" s="97"/>
      <c r="AA13" s="97" t="s">
        <v>58</v>
      </c>
      <c r="AE13" s="3"/>
      <c r="AF13" s="4"/>
    </row>
    <row r="14">
      <c r="B14" s="25"/>
      <c r="C14" s="27"/>
      <c r="D14" s="27"/>
      <c r="E14" s="25"/>
      <c r="F14" s="17">
        <v>7.0</v>
      </c>
      <c r="G14" s="93">
        <f t="shared" si="12"/>
        <v>0</v>
      </c>
      <c r="H14" s="93">
        <f t="shared" si="13"/>
        <v>0</v>
      </c>
      <c r="I14" s="93">
        <f t="shared" si="3"/>
        <v>0</v>
      </c>
      <c r="J14" s="94"/>
      <c r="K14" s="93"/>
      <c r="L14" s="93"/>
      <c r="M14" s="93"/>
      <c r="N14" s="93"/>
      <c r="O14" s="93"/>
      <c r="P14" s="93"/>
      <c r="Q14" s="93"/>
      <c r="R14" s="94"/>
      <c r="S14" s="98"/>
      <c r="T14" s="93"/>
      <c r="U14" s="93"/>
      <c r="V14" s="93"/>
      <c r="W14" s="93"/>
      <c r="X14" s="96">
        <f t="shared" si="4"/>
        <v>0</v>
      </c>
      <c r="Y14" s="94">
        <f>SUM(G14*0.04)+(H14*0.1)+(J14*27)+(K14*40)+(M14*50)+(O14*350)+(P14*550)+(Q14*160)+(R14*200)+(S14*260)+(T14*330)+(U14*110)+(V14*120)+(W14*0.7)+(I14*0.04)</f>
        <v>0</v>
      </c>
      <c r="Z14" s="97"/>
      <c r="AE14" s="3"/>
      <c r="AF14" s="4"/>
    </row>
    <row r="15">
      <c r="B15" s="25"/>
      <c r="C15" s="27"/>
      <c r="D15" s="27"/>
      <c r="E15" s="25"/>
      <c r="F15" s="17">
        <v>8.0</v>
      </c>
      <c r="G15" s="93">
        <f t="shared" si="12"/>
        <v>0</v>
      </c>
      <c r="H15" s="93">
        <f t="shared" si="13"/>
        <v>0</v>
      </c>
      <c r="I15" s="93">
        <f t="shared" si="3"/>
        <v>0</v>
      </c>
      <c r="J15" s="94"/>
      <c r="K15" s="94"/>
      <c r="L15" s="93"/>
      <c r="M15" s="93"/>
      <c r="N15" s="93"/>
      <c r="O15" s="93"/>
      <c r="P15" s="93"/>
      <c r="Q15" s="93"/>
      <c r="R15" s="95"/>
      <c r="S15" s="93"/>
      <c r="T15" s="93"/>
      <c r="U15" s="93"/>
      <c r="V15" s="93"/>
      <c r="W15" s="93"/>
      <c r="X15" s="96">
        <f t="shared" si="4"/>
        <v>0</v>
      </c>
      <c r="Y15" s="94">
        <f t="shared" ref="Y15:Y18" si="14">SUM(G15*0.08)+(H15*0.14)+(J15*27)+(K15*40)+(M15*50)+(O15*350)+(P15*550)+(Q15*160)+(R15*200)+(S15*260)+(T15*330)+(U15*110)+(V15*120)+(W15*0.7)+(I15*0.04)</f>
        <v>0</v>
      </c>
      <c r="Z15" s="97"/>
      <c r="AE15" s="3"/>
      <c r="AF15" s="4"/>
    </row>
    <row r="16">
      <c r="B16" s="25"/>
      <c r="C16" s="15"/>
      <c r="D16" s="38"/>
      <c r="E16" s="16"/>
      <c r="F16" s="17">
        <v>9.0</v>
      </c>
      <c r="G16" s="93">
        <f t="shared" si="12"/>
        <v>0</v>
      </c>
      <c r="H16" s="93">
        <f t="shared" si="13"/>
        <v>0</v>
      </c>
      <c r="I16" s="93">
        <f t="shared" si="3"/>
        <v>0</v>
      </c>
      <c r="J16" s="94"/>
      <c r="K16" s="93"/>
      <c r="L16" s="93"/>
      <c r="M16" s="93"/>
      <c r="N16" s="93"/>
      <c r="O16" s="93"/>
      <c r="P16" s="93"/>
      <c r="Q16" s="93"/>
      <c r="R16" s="94"/>
      <c r="S16" s="98"/>
      <c r="T16" s="93"/>
      <c r="U16" s="93"/>
      <c r="V16" s="93"/>
      <c r="W16" s="93"/>
      <c r="X16" s="96">
        <f t="shared" si="4"/>
        <v>0</v>
      </c>
      <c r="Y16" s="94">
        <f t="shared" si="14"/>
        <v>0</v>
      </c>
      <c r="Z16" s="97"/>
      <c r="AE16" s="3"/>
      <c r="AF16" s="4"/>
    </row>
    <row r="17">
      <c r="B17" s="25"/>
      <c r="C17" s="15"/>
      <c r="D17" s="15"/>
      <c r="E17" s="16"/>
      <c r="F17" s="17">
        <v>10.0</v>
      </c>
      <c r="G17" s="55">
        <f t="shared" si="12"/>
        <v>0</v>
      </c>
      <c r="H17" s="55">
        <f t="shared" si="13"/>
        <v>0</v>
      </c>
      <c r="I17" s="55">
        <f t="shared" si="3"/>
        <v>0</v>
      </c>
      <c r="J17" s="56"/>
      <c r="K17" s="55"/>
      <c r="L17" s="55"/>
      <c r="M17" s="55"/>
      <c r="N17" s="55"/>
      <c r="O17" s="55"/>
      <c r="P17" s="55"/>
      <c r="Q17" s="55"/>
      <c r="R17" s="56"/>
      <c r="S17" s="78"/>
      <c r="T17" s="55"/>
      <c r="U17" s="55"/>
      <c r="V17" s="55"/>
      <c r="W17" s="55"/>
      <c r="X17" s="58">
        <f t="shared" si="4"/>
        <v>0</v>
      </c>
      <c r="Y17" s="56">
        <f t="shared" si="14"/>
        <v>0</v>
      </c>
      <c r="Z17" s="22"/>
      <c r="AA17" s="22"/>
      <c r="AE17" s="3"/>
      <c r="AF17" s="4"/>
    </row>
    <row r="18">
      <c r="B18" s="25"/>
      <c r="C18" s="15"/>
      <c r="D18" s="15"/>
      <c r="E18" s="76"/>
      <c r="F18" s="17">
        <v>11.0</v>
      </c>
      <c r="G18" s="55">
        <f t="shared" si="12"/>
        <v>0</v>
      </c>
      <c r="H18" s="55">
        <f t="shared" si="13"/>
        <v>0</v>
      </c>
      <c r="I18" s="55">
        <f t="shared" si="3"/>
        <v>0</v>
      </c>
      <c r="J18" s="56"/>
      <c r="K18" s="56"/>
      <c r="L18" s="55"/>
      <c r="M18" s="55"/>
      <c r="N18" s="55"/>
      <c r="O18" s="55"/>
      <c r="P18" s="55"/>
      <c r="Q18" s="55"/>
      <c r="R18" s="57"/>
      <c r="S18" s="55"/>
      <c r="T18" s="55"/>
      <c r="U18" s="55"/>
      <c r="V18" s="55"/>
      <c r="W18" s="55"/>
      <c r="X18" s="58">
        <f t="shared" si="4"/>
        <v>0</v>
      </c>
      <c r="Y18" s="56">
        <f t="shared" si="14"/>
        <v>0</v>
      </c>
      <c r="Z18" s="22"/>
      <c r="AA18" s="22"/>
      <c r="AE18" s="3"/>
      <c r="AF18" s="4"/>
    </row>
    <row r="19">
      <c r="B19" s="25"/>
      <c r="C19" s="15" t="s">
        <v>59</v>
      </c>
      <c r="D19" s="38" t="s">
        <v>60</v>
      </c>
      <c r="E19" s="16"/>
      <c r="F19" s="17">
        <v>12.0</v>
      </c>
      <c r="G19" s="42">
        <f>SUM(8990*0.2)</f>
        <v>1798</v>
      </c>
      <c r="H19" s="42">
        <f>SUM(8990*0.8)</f>
        <v>7192</v>
      </c>
      <c r="I19" s="42">
        <f t="shared" si="3"/>
        <v>7192</v>
      </c>
      <c r="J19" s="47"/>
      <c r="K19" s="42"/>
      <c r="L19" s="42"/>
      <c r="M19" s="42"/>
      <c r="N19" s="42"/>
      <c r="O19" s="42"/>
      <c r="P19" s="42"/>
      <c r="Q19" s="42"/>
      <c r="R19" s="47"/>
      <c r="S19" s="43"/>
      <c r="T19" s="42"/>
      <c r="U19" s="42"/>
      <c r="V19" s="42"/>
      <c r="W19" s="42"/>
      <c r="X19" s="46">
        <f t="shared" si="4"/>
        <v>16182</v>
      </c>
      <c r="Y19" s="47">
        <f t="shared" ref="Y19:Y23" si="15">SUM(G19*0.04)+(H19*0.1)+(I19*0.04)+(J19*27)+(K19*40)+(M19*50)+(O19*350)+(P19*550)+(Q19*160)+(R19*200)+(S19*260)+(T19*330)+(U19*110)+(V19*120)+(W19*0.7)+(I19*0.04)</f>
        <v>1366.48</v>
      </c>
      <c r="Z19" s="22">
        <v>1078.8</v>
      </c>
      <c r="AA19" s="22">
        <f t="shared" ref="AA19:AA23" si="16">Y19-Z19</f>
        <v>287.68</v>
      </c>
      <c r="AE19" s="3"/>
      <c r="AF19" s="4"/>
    </row>
    <row r="20">
      <c r="B20" s="25"/>
      <c r="C20" s="15" t="s">
        <v>59</v>
      </c>
      <c r="D20" s="38" t="s">
        <v>60</v>
      </c>
      <c r="E20" s="16"/>
      <c r="F20" s="17">
        <v>13.0</v>
      </c>
      <c r="G20" s="42">
        <f>SUM(13150*0.2)</f>
        <v>2630</v>
      </c>
      <c r="H20" s="42">
        <f>SUM(13150*0.8)</f>
        <v>10520</v>
      </c>
      <c r="I20" s="42">
        <f t="shared" si="3"/>
        <v>10520</v>
      </c>
      <c r="J20" s="47"/>
      <c r="K20" s="47"/>
      <c r="L20" s="42"/>
      <c r="M20" s="42"/>
      <c r="N20" s="42"/>
      <c r="O20" s="42"/>
      <c r="P20" s="42"/>
      <c r="Q20" s="42"/>
      <c r="R20" s="45"/>
      <c r="S20" s="42"/>
      <c r="T20" s="42"/>
      <c r="U20" s="42"/>
      <c r="V20" s="42"/>
      <c r="W20" s="42"/>
      <c r="X20" s="46">
        <f t="shared" si="4"/>
        <v>23670</v>
      </c>
      <c r="Y20" s="47">
        <f t="shared" si="15"/>
        <v>1998.8</v>
      </c>
      <c r="Z20" s="22">
        <v>1578.0</v>
      </c>
      <c r="AA20" s="22">
        <f t="shared" si="16"/>
        <v>420.8</v>
      </c>
      <c r="AE20" s="3"/>
      <c r="AF20" s="4"/>
    </row>
    <row r="21">
      <c r="B21" s="25"/>
      <c r="C21" s="15" t="s">
        <v>59</v>
      </c>
      <c r="D21" s="38" t="s">
        <v>60</v>
      </c>
      <c r="E21" s="25"/>
      <c r="F21" s="17">
        <v>14.0</v>
      </c>
      <c r="G21" s="42">
        <f>SUM(7500*0.2)</f>
        <v>1500</v>
      </c>
      <c r="H21" s="42">
        <f>SUM(7500*0.8)</f>
        <v>6000</v>
      </c>
      <c r="I21" s="42">
        <f t="shared" si="3"/>
        <v>6000</v>
      </c>
      <c r="J21" s="47"/>
      <c r="K21" s="42"/>
      <c r="L21" s="42"/>
      <c r="M21" s="42"/>
      <c r="N21" s="42"/>
      <c r="O21" s="42"/>
      <c r="P21" s="42"/>
      <c r="Q21" s="42"/>
      <c r="R21" s="47"/>
      <c r="S21" s="43"/>
      <c r="T21" s="42"/>
      <c r="U21" s="42"/>
      <c r="V21" s="42"/>
      <c r="W21" s="42"/>
      <c r="X21" s="46">
        <f t="shared" si="4"/>
        <v>13500</v>
      </c>
      <c r="Y21" s="47">
        <f t="shared" si="15"/>
        <v>1140</v>
      </c>
      <c r="Z21" s="22">
        <v>900.0</v>
      </c>
      <c r="AA21" s="22">
        <f t="shared" si="16"/>
        <v>240</v>
      </c>
      <c r="AE21" s="3"/>
      <c r="AF21" s="4"/>
    </row>
    <row r="22">
      <c r="B22" s="25"/>
      <c r="C22" s="15" t="s">
        <v>59</v>
      </c>
      <c r="D22" s="38" t="s">
        <v>60</v>
      </c>
      <c r="E22" s="25"/>
      <c r="F22" s="17">
        <v>15.0</v>
      </c>
      <c r="G22" s="42">
        <f>SUM(6308*0.2)</f>
        <v>1261.6</v>
      </c>
      <c r="H22" s="42">
        <f>SUM(6308*0.8)</f>
        <v>5046.4</v>
      </c>
      <c r="I22" s="42">
        <f t="shared" si="3"/>
        <v>5046.4</v>
      </c>
      <c r="J22" s="47"/>
      <c r="K22" s="42"/>
      <c r="L22" s="42"/>
      <c r="M22" s="42"/>
      <c r="N22" s="42"/>
      <c r="O22" s="42"/>
      <c r="P22" s="42"/>
      <c r="Q22" s="42"/>
      <c r="R22" s="47"/>
      <c r="S22" s="43"/>
      <c r="T22" s="42"/>
      <c r="U22" s="42"/>
      <c r="V22" s="42"/>
      <c r="W22" s="42"/>
      <c r="X22" s="46">
        <f t="shared" si="4"/>
        <v>11354.4</v>
      </c>
      <c r="Y22" s="47">
        <f t="shared" si="15"/>
        <v>958.816</v>
      </c>
      <c r="Z22" s="22">
        <v>756.96</v>
      </c>
      <c r="AA22" s="22">
        <f t="shared" si="16"/>
        <v>201.856</v>
      </c>
      <c r="AE22" s="3"/>
      <c r="AF22" s="4"/>
    </row>
    <row r="23">
      <c r="B23" s="25"/>
      <c r="C23" s="15" t="s">
        <v>59</v>
      </c>
      <c r="D23" s="38" t="s">
        <v>60</v>
      </c>
      <c r="E23" s="16"/>
      <c r="F23" s="17">
        <v>16.0</v>
      </c>
      <c r="G23" s="42">
        <f>SUM(15850*0.2)</f>
        <v>3170</v>
      </c>
      <c r="H23" s="42">
        <f>SUM(15850*0.8)</f>
        <v>12680</v>
      </c>
      <c r="I23" s="42">
        <f t="shared" si="3"/>
        <v>12680</v>
      </c>
      <c r="J23" s="47"/>
      <c r="K23" s="47"/>
      <c r="L23" s="42"/>
      <c r="M23" s="42"/>
      <c r="N23" s="42"/>
      <c r="O23" s="42"/>
      <c r="P23" s="42"/>
      <c r="Q23" s="42"/>
      <c r="R23" s="45"/>
      <c r="S23" s="42"/>
      <c r="T23" s="42"/>
      <c r="U23" s="42"/>
      <c r="V23" s="42"/>
      <c r="W23" s="42"/>
      <c r="X23" s="46">
        <f t="shared" si="4"/>
        <v>28530</v>
      </c>
      <c r="Y23" s="47">
        <f t="shared" si="15"/>
        <v>2409.2</v>
      </c>
      <c r="Z23" s="22">
        <v>1902.0</v>
      </c>
      <c r="AA23" s="22">
        <f t="shared" si="16"/>
        <v>507.2</v>
      </c>
      <c r="AE23" s="3"/>
      <c r="AF23" s="4"/>
    </row>
    <row r="24">
      <c r="B24" s="25"/>
      <c r="C24" s="15"/>
      <c r="D24" s="15"/>
      <c r="E24" s="54"/>
      <c r="F24" s="17">
        <v>17.0</v>
      </c>
      <c r="G24" s="55">
        <f t="shared" ref="G24:G25" si="17">SUM(0*0.2)</f>
        <v>0</v>
      </c>
      <c r="H24" s="55">
        <f t="shared" ref="H24:H25" si="18">SUM(0*0.8)</f>
        <v>0</v>
      </c>
      <c r="I24" s="55">
        <f t="shared" si="3"/>
        <v>0</v>
      </c>
      <c r="J24" s="56"/>
      <c r="K24" s="55"/>
      <c r="L24" s="55"/>
      <c r="M24" s="55"/>
      <c r="N24" s="55"/>
      <c r="O24" s="55"/>
      <c r="P24" s="55"/>
      <c r="Q24" s="55"/>
      <c r="R24" s="56"/>
      <c r="S24" s="78"/>
      <c r="T24" s="55"/>
      <c r="U24" s="55"/>
      <c r="V24" s="55"/>
      <c r="W24" s="55"/>
      <c r="X24" s="58">
        <f t="shared" si="4"/>
        <v>0</v>
      </c>
      <c r="Y24" s="56">
        <f t="shared" ref="Y24:Y25" si="19">SUM(G24*0.08)+(H24*0.14)+(J24*27)+(K24*40)+(M24*50)+(O24*350)+(P24*550)+(Q24*160)+(R24*200)+(S24*260)+(T24*330)+(U24*110)+(V24*120)+(W24*0.7)+(I24*0.04)</f>
        <v>0</v>
      </c>
      <c r="Z24" s="22"/>
      <c r="AA24" s="22"/>
      <c r="AE24" s="3"/>
      <c r="AF24" s="4"/>
    </row>
    <row r="25">
      <c r="B25" s="25"/>
      <c r="C25" s="15"/>
      <c r="D25" s="15"/>
      <c r="E25" s="54"/>
      <c r="F25" s="17">
        <v>18.0</v>
      </c>
      <c r="G25" s="55">
        <f t="shared" si="17"/>
        <v>0</v>
      </c>
      <c r="H25" s="55">
        <f t="shared" si="18"/>
        <v>0</v>
      </c>
      <c r="I25" s="55">
        <f t="shared" si="3"/>
        <v>0</v>
      </c>
      <c r="J25" s="56"/>
      <c r="K25" s="56"/>
      <c r="L25" s="55"/>
      <c r="M25" s="55"/>
      <c r="N25" s="55"/>
      <c r="O25" s="55"/>
      <c r="P25" s="55"/>
      <c r="Q25" s="55"/>
      <c r="R25" s="57"/>
      <c r="S25" s="55"/>
      <c r="T25" s="55"/>
      <c r="U25" s="55"/>
      <c r="V25" s="55"/>
      <c r="W25" s="55"/>
      <c r="X25" s="58">
        <f t="shared" si="4"/>
        <v>0</v>
      </c>
      <c r="Y25" s="56">
        <f t="shared" si="19"/>
        <v>0</v>
      </c>
      <c r="Z25" s="22"/>
      <c r="AA25" s="22"/>
      <c r="AE25" s="3"/>
      <c r="AF25" s="4"/>
    </row>
    <row r="26">
      <c r="B26" s="25"/>
      <c r="C26" s="15" t="s">
        <v>61</v>
      </c>
      <c r="D26" s="15" t="s">
        <v>62</v>
      </c>
      <c r="E26" s="54"/>
      <c r="F26" s="17">
        <v>19.0</v>
      </c>
      <c r="G26" s="42">
        <f>SUM(15850*0.2)</f>
        <v>3170</v>
      </c>
      <c r="H26" s="42">
        <f>SUM(15850*0.8)</f>
        <v>12680</v>
      </c>
      <c r="I26" s="42">
        <f t="shared" si="3"/>
        <v>12680</v>
      </c>
      <c r="J26" s="47"/>
      <c r="K26" s="42"/>
      <c r="L26" s="42"/>
      <c r="M26" s="42"/>
      <c r="N26" s="42"/>
      <c r="O26" s="42"/>
      <c r="P26" s="42"/>
      <c r="Q26" s="42"/>
      <c r="R26" s="47"/>
      <c r="S26" s="43"/>
      <c r="T26" s="42"/>
      <c r="U26" s="42"/>
      <c r="V26" s="42"/>
      <c r="W26" s="42"/>
      <c r="X26" s="46">
        <f t="shared" si="4"/>
        <v>28530</v>
      </c>
      <c r="Y26" s="47">
        <f>SUM(G26*0.04)+(H26*0.1)+(I27*0.04)+(J26*27)+(K26*40)+(M26*50)+(O26*350)+(P26*550)+(Q26*160)+(R26*200)+(S26*260)+(T26*330)+(U26*110)+(V26*120)+(W26*0.7)</f>
        <v>1837.744</v>
      </c>
      <c r="Z26" s="22">
        <v>1342.08</v>
      </c>
      <c r="AA26" s="22">
        <f t="shared" ref="AA26:AA30" si="20">Y26-Z26</f>
        <v>495.664</v>
      </c>
      <c r="AE26" s="3"/>
      <c r="AF26" s="4"/>
    </row>
    <row r="27">
      <c r="B27" s="25"/>
      <c r="C27" s="15" t="s">
        <v>61</v>
      </c>
      <c r="D27" s="15" t="s">
        <v>62</v>
      </c>
      <c r="E27" s="25"/>
      <c r="F27" s="17">
        <v>20.0</v>
      </c>
      <c r="G27" s="42">
        <f>SUM(13842*0.2)</f>
        <v>2768.4</v>
      </c>
      <c r="H27" s="42">
        <f>SUM(13842*0.8)</f>
        <v>11073.6</v>
      </c>
      <c r="I27" s="42">
        <f t="shared" si="3"/>
        <v>11073.6</v>
      </c>
      <c r="J27" s="47"/>
      <c r="K27" s="42"/>
      <c r="L27" s="42"/>
      <c r="M27" s="42"/>
      <c r="N27" s="42"/>
      <c r="O27" s="42"/>
      <c r="P27" s="42"/>
      <c r="Q27" s="42"/>
      <c r="R27" s="47"/>
      <c r="S27" s="43"/>
      <c r="T27" s="42"/>
      <c r="U27" s="42"/>
      <c r="V27" s="42"/>
      <c r="W27" s="42"/>
      <c r="X27" s="46">
        <f t="shared" si="4"/>
        <v>24915.6</v>
      </c>
      <c r="Y27" s="47">
        <f>SUM(G27*0.04)+(H27*0.1)+(I27*0.04)+(J27*27)+(K27*40)+(M27*50)+(O27*350)+(P27*550)+(Q27*160)+(R27*200)+(S27*260)+(T27*330)+(U27*110)+(V27*120)+(W27*0.7)</f>
        <v>1661.04</v>
      </c>
      <c r="Z27" s="22">
        <v>1661.04</v>
      </c>
      <c r="AA27" s="22">
        <f t="shared" si="20"/>
        <v>0</v>
      </c>
      <c r="AE27" s="3"/>
      <c r="AF27" s="4"/>
    </row>
    <row r="28">
      <c r="B28" s="25"/>
      <c r="C28" s="15" t="s">
        <v>61</v>
      </c>
      <c r="D28" s="15" t="s">
        <v>62</v>
      </c>
      <c r="E28" s="25"/>
      <c r="F28" s="17">
        <v>21.0</v>
      </c>
      <c r="G28" s="42">
        <f>SUM(13932*0.2)</f>
        <v>2786.4</v>
      </c>
      <c r="H28" s="42">
        <f>SUM(13932*0.8)</f>
        <v>11145.6</v>
      </c>
      <c r="I28" s="42">
        <f t="shared" si="3"/>
        <v>11145.6</v>
      </c>
      <c r="J28" s="47"/>
      <c r="K28" s="47"/>
      <c r="L28" s="42"/>
      <c r="M28" s="42"/>
      <c r="N28" s="42"/>
      <c r="O28" s="42"/>
      <c r="P28" s="42"/>
      <c r="Q28" s="42"/>
      <c r="R28" s="45"/>
      <c r="S28" s="42"/>
      <c r="T28" s="42"/>
      <c r="U28" s="42"/>
      <c r="V28" s="42"/>
      <c r="W28" s="42"/>
      <c r="X28" s="46">
        <f t="shared" si="4"/>
        <v>25077.6</v>
      </c>
      <c r="Y28" s="47">
        <f>SUM(G28*0.04)+(H28*0.1)+(I29*0.04)+(J28*27)+(K28*40)+(M28*50)+(O28*350)+(P28*550)+(Q28*160)+(R28*200)+(S28*260)+(T28*330)+(U28*110)+(V28*120)+(W28*0.7)</f>
        <v>1474.08</v>
      </c>
      <c r="Z28" s="22">
        <v>1671.84</v>
      </c>
      <c r="AA28" s="22">
        <f t="shared" si="20"/>
        <v>-197.76</v>
      </c>
      <c r="AE28" s="3"/>
      <c r="AF28" s="4"/>
    </row>
    <row r="29">
      <c r="B29" s="25"/>
      <c r="C29" s="27"/>
      <c r="D29" s="27"/>
      <c r="E29" s="25"/>
      <c r="F29" s="17">
        <v>22.0</v>
      </c>
      <c r="G29" s="42">
        <f>SUM(7752*0.2)</f>
        <v>1550.4</v>
      </c>
      <c r="H29" s="42">
        <f>SUM(7752*0.8)</f>
        <v>6201.6</v>
      </c>
      <c r="I29" s="42">
        <f t="shared" si="3"/>
        <v>6201.6</v>
      </c>
      <c r="J29" s="47"/>
      <c r="K29" s="42"/>
      <c r="L29" s="42"/>
      <c r="M29" s="42"/>
      <c r="N29" s="42"/>
      <c r="O29" s="42"/>
      <c r="P29" s="42"/>
      <c r="Q29" s="42"/>
      <c r="R29" s="47"/>
      <c r="S29" s="43"/>
      <c r="T29" s="42"/>
      <c r="U29" s="42"/>
      <c r="V29" s="42"/>
      <c r="W29" s="42"/>
      <c r="X29" s="46">
        <f t="shared" si="4"/>
        <v>13953.6</v>
      </c>
      <c r="Y29" s="47">
        <f>SUM(G29*0.04)+(H29*0.1)+(I29*0.04)+(J29*27)+(K29*40)+(M29*50)+(O29*350)+(P29*550)+(Q29*160)+(R29*200)+(S29*260)+(T29*330)+(U29*110)+(V29*120)+(W29*0.7)</f>
        <v>930.24</v>
      </c>
      <c r="Z29" s="22">
        <v>930.24</v>
      </c>
      <c r="AA29" s="22">
        <f t="shared" si="20"/>
        <v>0</v>
      </c>
      <c r="AE29" s="3"/>
      <c r="AF29" s="4"/>
    </row>
    <row r="30">
      <c r="B30" s="25"/>
      <c r="C30" s="27"/>
      <c r="D30" s="27"/>
      <c r="E30" s="25"/>
      <c r="F30" s="17">
        <v>23.0</v>
      </c>
      <c r="G30" s="42">
        <f>SUM(6011*0.2)</f>
        <v>1202.2</v>
      </c>
      <c r="H30" s="42">
        <f>SUM(6011*0.8)</f>
        <v>4808.8</v>
      </c>
      <c r="I30" s="42">
        <f t="shared" si="3"/>
        <v>4808.8</v>
      </c>
      <c r="J30" s="47"/>
      <c r="K30" s="47"/>
      <c r="L30" s="42"/>
      <c r="M30" s="42"/>
      <c r="N30" s="42"/>
      <c r="O30" s="42"/>
      <c r="P30" s="42"/>
      <c r="Q30" s="42"/>
      <c r="R30" s="45"/>
      <c r="S30" s="42"/>
      <c r="T30" s="42"/>
      <c r="U30" s="42"/>
      <c r="V30" s="42"/>
      <c r="W30" s="42"/>
      <c r="X30" s="46">
        <f t="shared" si="4"/>
        <v>10819.8</v>
      </c>
      <c r="Y30" s="47">
        <f>SUM(G30*0.04)+(H30*0.1)+(I31*0.04)+(J30*27)+(K30*40)+(M30*50)+(O30*350)+(P30*550)+(Q30*160)+(R30*200)+(S30*260)+(T30*330)+(U30*110)+(V30*120)+(W30*0.7)</f>
        <v>528.968</v>
      </c>
      <c r="Z30" s="22">
        <v>721.32</v>
      </c>
      <c r="AA30" s="22">
        <f t="shared" si="20"/>
        <v>-192.352</v>
      </c>
      <c r="AE30" s="3"/>
      <c r="AF30" s="4"/>
    </row>
    <row r="31">
      <c r="B31" s="25"/>
      <c r="C31" s="27"/>
      <c r="D31" s="27"/>
      <c r="E31" s="25"/>
      <c r="F31" s="17">
        <v>24.0</v>
      </c>
      <c r="G31" s="55">
        <f t="shared" ref="G31:G32" si="21">SUM(0*0.2)</f>
        <v>0</v>
      </c>
      <c r="H31" s="55">
        <f t="shared" ref="H31:H32" si="22">SUM(0*0.8)</f>
        <v>0</v>
      </c>
      <c r="I31" s="55">
        <f t="shared" si="3"/>
        <v>0</v>
      </c>
      <c r="J31" s="56"/>
      <c r="K31" s="55"/>
      <c r="L31" s="55"/>
      <c r="M31" s="55"/>
      <c r="N31" s="55"/>
      <c r="O31" s="55"/>
      <c r="P31" s="55"/>
      <c r="Q31" s="55"/>
      <c r="R31" s="56"/>
      <c r="S31" s="78"/>
      <c r="T31" s="55"/>
      <c r="U31" s="55"/>
      <c r="V31" s="55"/>
      <c r="W31" s="55"/>
      <c r="X31" s="58">
        <f t="shared" si="4"/>
        <v>0</v>
      </c>
      <c r="Y31" s="56">
        <f t="shared" ref="Y31:Y32" si="23">SUM(G31*0.08)+(H31*0.14)+(J31*27)+(K31*40)+(M31*50)+(O31*350)+(P31*550)+(Q31*160)+(R31*200)+(S31*260)+(T31*330)+(U31*110)+(V31*120)+(W31*0.7)+(I31*0.04)</f>
        <v>0</v>
      </c>
      <c r="Z31" s="22"/>
      <c r="AA31" s="22"/>
      <c r="AE31" s="3"/>
      <c r="AF31" s="4"/>
    </row>
    <row r="32">
      <c r="B32" s="59"/>
      <c r="C32" s="60"/>
      <c r="D32" s="60"/>
      <c r="E32" s="59"/>
      <c r="F32" s="17">
        <v>25.0</v>
      </c>
      <c r="G32" s="55">
        <f t="shared" si="21"/>
        <v>0</v>
      </c>
      <c r="H32" s="55">
        <f t="shared" si="22"/>
        <v>0</v>
      </c>
      <c r="I32" s="55">
        <f t="shared" si="3"/>
        <v>0</v>
      </c>
      <c r="J32" s="56"/>
      <c r="K32" s="56"/>
      <c r="L32" s="55"/>
      <c r="M32" s="55"/>
      <c r="N32" s="55"/>
      <c r="O32" s="55"/>
      <c r="P32" s="55"/>
      <c r="Q32" s="55"/>
      <c r="R32" s="57"/>
      <c r="S32" s="55"/>
      <c r="T32" s="55"/>
      <c r="U32" s="55"/>
      <c r="V32" s="55"/>
      <c r="W32" s="55"/>
      <c r="X32" s="58">
        <f t="shared" si="4"/>
        <v>0</v>
      </c>
      <c r="Y32" s="56">
        <f t="shared" si="23"/>
        <v>0</v>
      </c>
      <c r="Z32" s="22"/>
      <c r="AA32" s="22"/>
      <c r="AE32" s="3"/>
      <c r="AF32" s="4"/>
    </row>
    <row r="33">
      <c r="B33" s="1"/>
      <c r="E33" s="1"/>
      <c r="F33" s="2"/>
      <c r="Z33" s="1"/>
      <c r="AA33" s="1">
        <f>SUM(AA3:AA32)</f>
        <v>2224.888</v>
      </c>
      <c r="AE33" s="3"/>
      <c r="AF33" s="4"/>
    </row>
  </sheetData>
  <mergeCells count="1">
    <mergeCell ref="AA13:AB16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6.13"/>
    <col customWidth="1" min="4" max="4" width="36.13"/>
    <col customWidth="1" min="5" max="6" width="17.25"/>
    <col customWidth="1" min="7" max="7" width="4.38"/>
    <col customWidth="1" min="8" max="8" width="11.13"/>
    <col customWidth="1" min="9" max="10" width="9.38"/>
    <col customWidth="1" min="11" max="11" width="6.63"/>
    <col customWidth="1" min="12" max="12" width="6.38"/>
    <col customWidth="1" min="13" max="13" width="6.25"/>
    <col customWidth="1" min="14" max="14" width="6.63"/>
    <col customWidth="1" min="15" max="15" width="5.5"/>
    <col customWidth="1" min="16" max="18" width="9.38"/>
    <col customWidth="1" min="19" max="19" width="7.5"/>
    <col customWidth="1" min="20" max="23" width="9.38"/>
    <col customWidth="1" min="24" max="24" width="7.25"/>
    <col customWidth="1" min="27" max="27" width="7.63"/>
    <col customWidth="1" min="28" max="28" width="25.63"/>
    <col customWidth="1" min="29" max="29" width="25.13"/>
    <col customWidth="1" min="30" max="30" width="12.25"/>
    <col customWidth="1" min="31" max="31" width="3.0"/>
    <col customWidth="1" min="32" max="32" width="15.25"/>
    <col customWidth="1" min="33" max="33" width="11.25"/>
  </cols>
  <sheetData>
    <row r="1" ht="27.0" customHeight="1">
      <c r="B1" s="1"/>
      <c r="E1" s="1"/>
      <c r="F1" s="1"/>
      <c r="G1" s="2"/>
      <c r="AB1" s="1"/>
      <c r="AF1" s="3"/>
      <c r="AG1" s="4"/>
    </row>
    <row r="2" ht="19.5" customHeight="1">
      <c r="A2" s="5"/>
      <c r="B2" s="6" t="s">
        <v>0</v>
      </c>
      <c r="C2" s="6" t="s">
        <v>37</v>
      </c>
      <c r="D2" s="6" t="s">
        <v>38</v>
      </c>
      <c r="E2" s="6" t="s">
        <v>3</v>
      </c>
      <c r="F2" s="6" t="s">
        <v>63</v>
      </c>
      <c r="G2" s="7" t="s">
        <v>4</v>
      </c>
      <c r="H2" s="8" t="s">
        <v>5</v>
      </c>
      <c r="I2" s="8" t="s">
        <v>56</v>
      </c>
      <c r="J2" s="8" t="s">
        <v>52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9" t="s">
        <v>14</v>
      </c>
      <c r="R2" s="9" t="s">
        <v>15</v>
      </c>
      <c r="S2" s="8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7" t="s">
        <v>22</v>
      </c>
      <c r="Z2" s="7" t="s">
        <v>64</v>
      </c>
      <c r="AA2" s="7" t="s">
        <v>23</v>
      </c>
      <c r="AB2" s="10"/>
      <c r="AC2" s="11"/>
      <c r="AD2" s="11"/>
      <c r="AE2" s="11"/>
      <c r="AF2" s="12"/>
      <c r="AG2" s="13"/>
      <c r="AH2" s="11"/>
      <c r="AI2" s="11"/>
      <c r="AJ2" s="11"/>
      <c r="AK2" s="11"/>
      <c r="AL2" s="11"/>
      <c r="AM2" s="11"/>
    </row>
    <row r="3">
      <c r="B3" s="14"/>
      <c r="C3" s="15" t="s">
        <v>61</v>
      </c>
      <c r="D3" s="15"/>
      <c r="E3" s="16"/>
      <c r="F3" s="16"/>
      <c r="G3" s="17">
        <v>26.0</v>
      </c>
      <c r="H3" s="42">
        <f>SUM(3831*0.2)</f>
        <v>766.2</v>
      </c>
      <c r="I3" s="42">
        <f>SUM(3831*0.8)</f>
        <v>3064.8</v>
      </c>
      <c r="J3" s="42">
        <f t="shared" ref="J3:J33" si="1">SUM(I3)</f>
        <v>3064.8</v>
      </c>
      <c r="K3" s="47"/>
      <c r="L3" s="42"/>
      <c r="M3" s="42"/>
      <c r="N3" s="42"/>
      <c r="O3" s="42"/>
      <c r="P3" s="42"/>
      <c r="Q3" s="42"/>
      <c r="R3" s="42"/>
      <c r="S3" s="47"/>
      <c r="T3" s="43"/>
      <c r="U3" s="42"/>
      <c r="V3" s="42"/>
      <c r="W3" s="42"/>
      <c r="X3" s="42"/>
      <c r="Y3" s="46">
        <f t="shared" ref="Y3:Y33" si="2">SUM(H3:X3)</f>
        <v>6895.8</v>
      </c>
      <c r="Z3" s="46"/>
      <c r="AA3" s="47">
        <f t="shared" ref="AA3:AA33" si="3">SUM(H3*0.04)+(I3*0.1)+(K3*27)+(L3*40)+(N3*50)+(P3*350)+(Q3*550)+(R3*160)+(S3*200)+(T3*260)+(U3*330)+(V3*110)+(W3*120)+(X3*0.7)+(J3*0.04)+(Z3*350)</f>
        <v>459.72</v>
      </c>
      <c r="AB3" s="22"/>
      <c r="AC3" s="23" t="s">
        <v>24</v>
      </c>
      <c r="AD3" s="24">
        <f>SUM(AA3:AA33)</f>
        <v>25829.52</v>
      </c>
      <c r="AF3" s="3"/>
      <c r="AG3" s="4"/>
    </row>
    <row r="4">
      <c r="B4" s="25"/>
      <c r="C4" s="15" t="s">
        <v>61</v>
      </c>
      <c r="D4" s="15"/>
      <c r="E4" s="16"/>
      <c r="F4" s="16"/>
      <c r="G4" s="17">
        <v>27.0</v>
      </c>
      <c r="H4" s="42">
        <f>SUM(13000*0.2)</f>
        <v>2600</v>
      </c>
      <c r="I4" s="42">
        <f>SUM(13000*0.8)</f>
        <v>10400</v>
      </c>
      <c r="J4" s="42">
        <f t="shared" si="1"/>
        <v>10400</v>
      </c>
      <c r="K4" s="47"/>
      <c r="L4" s="47"/>
      <c r="M4" s="42"/>
      <c r="N4" s="42"/>
      <c r="O4" s="42"/>
      <c r="P4" s="42"/>
      <c r="Q4" s="42"/>
      <c r="R4" s="42"/>
      <c r="S4" s="45"/>
      <c r="T4" s="42"/>
      <c r="U4" s="42"/>
      <c r="V4" s="42"/>
      <c r="W4" s="42"/>
      <c r="X4" s="42"/>
      <c r="Y4" s="46">
        <f t="shared" si="2"/>
        <v>23400</v>
      </c>
      <c r="Z4" s="46"/>
      <c r="AA4" s="47">
        <f t="shared" si="3"/>
        <v>1560</v>
      </c>
      <c r="AB4" s="22"/>
      <c r="AF4" s="3"/>
      <c r="AG4" s="4"/>
    </row>
    <row r="5">
      <c r="B5" s="25"/>
      <c r="C5" s="15" t="s">
        <v>65</v>
      </c>
      <c r="D5" s="15"/>
      <c r="E5" s="16"/>
      <c r="F5" s="16"/>
      <c r="G5" s="17">
        <v>28.0</v>
      </c>
      <c r="H5" s="42">
        <f>SUM(7000*0.2)</f>
        <v>1400</v>
      </c>
      <c r="I5" s="42">
        <f>SUM(7000*0.8)</f>
        <v>5600</v>
      </c>
      <c r="J5" s="42">
        <f t="shared" si="1"/>
        <v>5600</v>
      </c>
      <c r="K5" s="47"/>
      <c r="L5" s="42"/>
      <c r="M5" s="42"/>
      <c r="N5" s="42"/>
      <c r="O5" s="42"/>
      <c r="P5" s="42"/>
      <c r="Q5" s="42"/>
      <c r="R5" s="42"/>
      <c r="S5" s="47"/>
      <c r="T5" s="43"/>
      <c r="U5" s="42"/>
      <c r="V5" s="42"/>
      <c r="W5" s="42"/>
      <c r="X5" s="42"/>
      <c r="Y5" s="46">
        <f t="shared" si="2"/>
        <v>12600</v>
      </c>
      <c r="Z5" s="46"/>
      <c r="AA5" s="47">
        <f t="shared" si="3"/>
        <v>840</v>
      </c>
      <c r="AB5" s="22"/>
      <c r="AF5" s="3"/>
      <c r="AG5" s="4"/>
    </row>
    <row r="6">
      <c r="B6" s="25"/>
      <c r="C6" s="15" t="s">
        <v>65</v>
      </c>
      <c r="D6" s="15"/>
      <c r="E6" s="16"/>
      <c r="F6" s="16"/>
      <c r="G6" s="17">
        <v>29.0</v>
      </c>
      <c r="H6" s="42">
        <f t="shared" ref="H6:H7" si="4">SUM(8400*0.2)</f>
        <v>1680</v>
      </c>
      <c r="I6" s="42">
        <f t="shared" ref="I6:I7" si="5">SUM(8400*0.8)</f>
        <v>6720</v>
      </c>
      <c r="J6" s="42">
        <f t="shared" si="1"/>
        <v>6720</v>
      </c>
      <c r="K6" s="47"/>
      <c r="L6" s="47"/>
      <c r="M6" s="42"/>
      <c r="N6" s="42"/>
      <c r="O6" s="42"/>
      <c r="P6" s="42"/>
      <c r="Q6" s="42"/>
      <c r="R6" s="42"/>
      <c r="S6" s="45"/>
      <c r="T6" s="42"/>
      <c r="U6" s="42"/>
      <c r="V6" s="42"/>
      <c r="W6" s="42"/>
      <c r="X6" s="42"/>
      <c r="Y6" s="46">
        <f t="shared" si="2"/>
        <v>15120</v>
      </c>
      <c r="Z6" s="46"/>
      <c r="AA6" s="47">
        <f t="shared" si="3"/>
        <v>1008</v>
      </c>
      <c r="AB6" s="22"/>
      <c r="AF6" s="3"/>
      <c r="AG6" s="4"/>
    </row>
    <row r="7">
      <c r="B7" s="25"/>
      <c r="C7" s="15" t="s">
        <v>65</v>
      </c>
      <c r="D7" s="27"/>
      <c r="E7" s="25"/>
      <c r="F7" s="25"/>
      <c r="G7" s="17">
        <v>30.0</v>
      </c>
      <c r="H7" s="42">
        <f t="shared" si="4"/>
        <v>1680</v>
      </c>
      <c r="I7" s="42">
        <f t="shared" si="5"/>
        <v>6720</v>
      </c>
      <c r="J7" s="42">
        <f t="shared" si="1"/>
        <v>6720</v>
      </c>
      <c r="K7" s="47"/>
      <c r="L7" s="42"/>
      <c r="M7" s="42"/>
      <c r="N7" s="42"/>
      <c r="O7" s="42"/>
      <c r="P7" s="42"/>
      <c r="Q7" s="42"/>
      <c r="R7" s="42"/>
      <c r="S7" s="47"/>
      <c r="T7" s="43"/>
      <c r="U7" s="42"/>
      <c r="V7" s="42"/>
      <c r="W7" s="42"/>
      <c r="X7" s="42"/>
      <c r="Y7" s="46">
        <f t="shared" si="2"/>
        <v>15120</v>
      </c>
      <c r="Z7" s="46"/>
      <c r="AA7" s="47">
        <f t="shared" si="3"/>
        <v>1008</v>
      </c>
      <c r="AB7" s="22"/>
      <c r="AF7" s="3"/>
      <c r="AG7" s="4"/>
    </row>
    <row r="8">
      <c r="B8" s="25"/>
      <c r="C8" s="27"/>
      <c r="D8" s="27"/>
      <c r="E8" s="25"/>
      <c r="F8" s="25"/>
      <c r="G8" s="17">
        <v>31.0</v>
      </c>
      <c r="H8" s="55">
        <f t="shared" ref="H8:H9" si="6">SUM(0*0.2)</f>
        <v>0</v>
      </c>
      <c r="I8" s="55">
        <f t="shared" ref="I8:I9" si="7">SUM(0*0.8)</f>
        <v>0</v>
      </c>
      <c r="J8" s="55">
        <f t="shared" si="1"/>
        <v>0</v>
      </c>
      <c r="K8" s="56"/>
      <c r="L8" s="55"/>
      <c r="M8" s="55"/>
      <c r="N8" s="55"/>
      <c r="O8" s="55"/>
      <c r="P8" s="55"/>
      <c r="Q8" s="55"/>
      <c r="R8" s="55"/>
      <c r="S8" s="56"/>
      <c r="T8" s="78"/>
      <c r="U8" s="55"/>
      <c r="V8" s="55"/>
      <c r="W8" s="55"/>
      <c r="X8" s="55"/>
      <c r="Y8" s="58">
        <f t="shared" si="2"/>
        <v>0</v>
      </c>
      <c r="Z8" s="58"/>
      <c r="AA8" s="71">
        <f t="shared" si="3"/>
        <v>0</v>
      </c>
      <c r="AB8" s="22"/>
      <c r="AF8" s="3"/>
      <c r="AG8" s="4"/>
    </row>
    <row r="9">
      <c r="B9" s="25"/>
      <c r="C9" s="27"/>
      <c r="D9" s="27"/>
      <c r="E9" s="25"/>
      <c r="F9" s="25"/>
      <c r="G9" s="17">
        <v>1.0</v>
      </c>
      <c r="H9" s="55">
        <f t="shared" si="6"/>
        <v>0</v>
      </c>
      <c r="I9" s="55">
        <f t="shared" si="7"/>
        <v>0</v>
      </c>
      <c r="J9" s="55">
        <f t="shared" si="1"/>
        <v>0</v>
      </c>
      <c r="K9" s="56"/>
      <c r="L9" s="56"/>
      <c r="M9" s="55"/>
      <c r="N9" s="55"/>
      <c r="O9" s="55"/>
      <c r="P9" s="55"/>
      <c r="Q9" s="55"/>
      <c r="R9" s="55"/>
      <c r="S9" s="57"/>
      <c r="T9" s="55"/>
      <c r="U9" s="55"/>
      <c r="V9" s="55"/>
      <c r="W9" s="55"/>
      <c r="X9" s="55"/>
      <c r="Y9" s="58">
        <f t="shared" si="2"/>
        <v>0</v>
      </c>
      <c r="Z9" s="58"/>
      <c r="AA9" s="71">
        <f t="shared" si="3"/>
        <v>0</v>
      </c>
      <c r="AB9" s="22"/>
      <c r="AC9" s="29"/>
      <c r="AF9" s="3"/>
      <c r="AG9" s="4"/>
    </row>
    <row r="10">
      <c r="B10" s="25"/>
      <c r="C10" s="15" t="s">
        <v>65</v>
      </c>
      <c r="D10" s="15" t="s">
        <v>66</v>
      </c>
      <c r="E10" s="25"/>
      <c r="F10" s="25"/>
      <c r="G10" s="17">
        <v>2.0</v>
      </c>
      <c r="H10" s="42">
        <f>SUM(6900*0.2)</f>
        <v>1380</v>
      </c>
      <c r="I10" s="42">
        <f>SUM(6900*0.8)</f>
        <v>5520</v>
      </c>
      <c r="J10" s="42">
        <f t="shared" si="1"/>
        <v>5520</v>
      </c>
      <c r="K10" s="47"/>
      <c r="L10" s="42"/>
      <c r="M10" s="42"/>
      <c r="N10" s="42"/>
      <c r="O10" s="42"/>
      <c r="P10" s="42"/>
      <c r="Q10" s="42"/>
      <c r="R10" s="42"/>
      <c r="S10" s="47"/>
      <c r="T10" s="43"/>
      <c r="U10" s="42"/>
      <c r="V10" s="42"/>
      <c r="W10" s="42"/>
      <c r="X10" s="42"/>
      <c r="Y10" s="46">
        <f t="shared" si="2"/>
        <v>12420</v>
      </c>
      <c r="Z10" s="46"/>
      <c r="AA10" s="47">
        <f t="shared" si="3"/>
        <v>828</v>
      </c>
      <c r="AB10" s="22"/>
      <c r="AF10" s="3"/>
      <c r="AG10" s="4"/>
    </row>
    <row r="11">
      <c r="B11" s="25"/>
      <c r="C11" s="27"/>
      <c r="D11" s="15" t="s">
        <v>66</v>
      </c>
      <c r="E11" s="25"/>
      <c r="F11" s="25"/>
      <c r="G11" s="17">
        <v>3.0</v>
      </c>
      <c r="H11" s="42">
        <f>SUM(7400*0.2)</f>
        <v>1480</v>
      </c>
      <c r="I11" s="42">
        <f>SUM(7400*0.8)</f>
        <v>5920</v>
      </c>
      <c r="J11" s="42">
        <f t="shared" si="1"/>
        <v>5920</v>
      </c>
      <c r="K11" s="47"/>
      <c r="L11" s="47"/>
      <c r="M11" s="42"/>
      <c r="N11" s="42"/>
      <c r="O11" s="42"/>
      <c r="P11" s="42"/>
      <c r="Q11" s="42"/>
      <c r="R11" s="42"/>
      <c r="S11" s="45"/>
      <c r="T11" s="42"/>
      <c r="U11" s="42"/>
      <c r="V11" s="42"/>
      <c r="W11" s="42"/>
      <c r="X11" s="42"/>
      <c r="Y11" s="46">
        <f t="shared" si="2"/>
        <v>13320</v>
      </c>
      <c r="Z11" s="46"/>
      <c r="AA11" s="47">
        <f t="shared" si="3"/>
        <v>888</v>
      </c>
      <c r="AB11" s="22"/>
      <c r="AF11" s="3"/>
      <c r="AG11" s="4"/>
    </row>
    <row r="12">
      <c r="B12" s="25"/>
      <c r="C12" s="15"/>
      <c r="D12" s="15" t="s">
        <v>66</v>
      </c>
      <c r="E12" s="99"/>
      <c r="F12" s="33"/>
      <c r="G12" s="17">
        <v>4.0</v>
      </c>
      <c r="H12" s="42">
        <f>SUM(8150*0.2)</f>
        <v>1630</v>
      </c>
      <c r="I12" s="42">
        <f>SUM(8150*0.8)</f>
        <v>6520</v>
      </c>
      <c r="J12" s="42">
        <f t="shared" si="1"/>
        <v>6520</v>
      </c>
      <c r="K12" s="47"/>
      <c r="L12" s="42"/>
      <c r="M12" s="42"/>
      <c r="N12" s="42"/>
      <c r="O12" s="42"/>
      <c r="P12" s="42"/>
      <c r="Q12" s="42"/>
      <c r="R12" s="42"/>
      <c r="S12" s="47"/>
      <c r="T12" s="43"/>
      <c r="U12" s="42"/>
      <c r="V12" s="42"/>
      <c r="W12" s="42"/>
      <c r="X12" s="42"/>
      <c r="Y12" s="46">
        <f t="shared" si="2"/>
        <v>14670</v>
      </c>
      <c r="Z12" s="46"/>
      <c r="AA12" s="47">
        <f t="shared" si="3"/>
        <v>978</v>
      </c>
      <c r="AB12" s="22"/>
      <c r="AF12" s="3"/>
      <c r="AG12" s="4"/>
    </row>
    <row r="13">
      <c r="B13" s="25"/>
      <c r="C13" s="15"/>
      <c r="D13" s="75"/>
      <c r="E13" s="99"/>
      <c r="F13" s="33"/>
      <c r="G13" s="17">
        <v>5.0</v>
      </c>
      <c r="H13" s="42">
        <f>SUM(8942*0.2)</f>
        <v>1788.4</v>
      </c>
      <c r="I13" s="42">
        <f>SUM(8942*0.8)</f>
        <v>7153.6</v>
      </c>
      <c r="J13" s="42">
        <f t="shared" si="1"/>
        <v>7153.6</v>
      </c>
      <c r="K13" s="47"/>
      <c r="L13" s="42"/>
      <c r="M13" s="42"/>
      <c r="N13" s="42"/>
      <c r="O13" s="42"/>
      <c r="P13" s="42"/>
      <c r="Q13" s="42"/>
      <c r="R13" s="42"/>
      <c r="S13" s="47"/>
      <c r="T13" s="43"/>
      <c r="U13" s="42"/>
      <c r="V13" s="42"/>
      <c r="W13" s="42"/>
      <c r="X13" s="42"/>
      <c r="Y13" s="46">
        <f t="shared" si="2"/>
        <v>16095.6</v>
      </c>
      <c r="Z13" s="46"/>
      <c r="AA13" s="47">
        <f t="shared" si="3"/>
        <v>1073.04</v>
      </c>
      <c r="AB13" s="22"/>
      <c r="AF13" s="3"/>
      <c r="AG13" s="4"/>
    </row>
    <row r="14">
      <c r="B14" s="25"/>
      <c r="C14" s="27"/>
      <c r="D14" s="34"/>
      <c r="E14" s="36"/>
      <c r="F14" s="36"/>
      <c r="G14" s="17">
        <v>6.0</v>
      </c>
      <c r="H14" s="42">
        <f>SUM(17540*0.2)</f>
        <v>3508</v>
      </c>
      <c r="I14" s="42">
        <f>SUM(17540*0.8)</f>
        <v>14032</v>
      </c>
      <c r="J14" s="42">
        <f t="shared" si="1"/>
        <v>14032</v>
      </c>
      <c r="K14" s="47"/>
      <c r="L14" s="47"/>
      <c r="M14" s="42"/>
      <c r="N14" s="42"/>
      <c r="O14" s="42"/>
      <c r="P14" s="42"/>
      <c r="Q14" s="42"/>
      <c r="R14" s="42"/>
      <c r="S14" s="45"/>
      <c r="T14" s="42"/>
      <c r="U14" s="42"/>
      <c r="V14" s="42"/>
      <c r="W14" s="42"/>
      <c r="X14" s="42"/>
      <c r="Y14" s="46">
        <f t="shared" si="2"/>
        <v>31572</v>
      </c>
      <c r="Z14" s="46"/>
      <c r="AA14" s="47">
        <f t="shared" si="3"/>
        <v>2104.8</v>
      </c>
      <c r="AB14" s="22"/>
      <c r="AF14" s="3"/>
      <c r="AG14" s="4"/>
    </row>
    <row r="15">
      <c r="B15" s="25"/>
      <c r="C15" s="27"/>
      <c r="D15" s="27"/>
      <c r="E15" s="25"/>
      <c r="F15" s="25"/>
      <c r="G15" s="17">
        <v>7.0</v>
      </c>
      <c r="H15" s="55">
        <f t="shared" ref="H15:H17" si="8">SUM(0*0.2)</f>
        <v>0</v>
      </c>
      <c r="I15" s="55">
        <f t="shared" ref="I15:I17" si="9">SUM(0*0.8)</f>
        <v>0</v>
      </c>
      <c r="J15" s="55">
        <f t="shared" si="1"/>
        <v>0</v>
      </c>
      <c r="K15" s="56"/>
      <c r="L15" s="55"/>
      <c r="M15" s="55"/>
      <c r="N15" s="55"/>
      <c r="O15" s="55"/>
      <c r="P15" s="55"/>
      <c r="Q15" s="55"/>
      <c r="R15" s="55"/>
      <c r="S15" s="56"/>
      <c r="T15" s="78"/>
      <c r="U15" s="55"/>
      <c r="V15" s="55"/>
      <c r="W15" s="55"/>
      <c r="X15" s="55"/>
      <c r="Y15" s="58">
        <f t="shared" si="2"/>
        <v>0</v>
      </c>
      <c r="Z15" s="58"/>
      <c r="AA15" s="71">
        <f t="shared" si="3"/>
        <v>0</v>
      </c>
      <c r="AB15" s="22"/>
      <c r="AF15" s="3"/>
      <c r="AG15" s="4"/>
    </row>
    <row r="16">
      <c r="B16" s="25"/>
      <c r="C16" s="27"/>
      <c r="D16" s="27"/>
      <c r="E16" s="25"/>
      <c r="F16" s="25"/>
      <c r="G16" s="17">
        <v>8.0</v>
      </c>
      <c r="H16" s="55">
        <f t="shared" si="8"/>
        <v>0</v>
      </c>
      <c r="I16" s="55">
        <f t="shared" si="9"/>
        <v>0</v>
      </c>
      <c r="J16" s="55">
        <f t="shared" si="1"/>
        <v>0</v>
      </c>
      <c r="K16" s="56"/>
      <c r="L16" s="56"/>
      <c r="M16" s="55"/>
      <c r="N16" s="55"/>
      <c r="O16" s="55"/>
      <c r="P16" s="55"/>
      <c r="Q16" s="55"/>
      <c r="R16" s="55"/>
      <c r="S16" s="57"/>
      <c r="T16" s="55"/>
      <c r="U16" s="55"/>
      <c r="V16" s="55"/>
      <c r="W16" s="55"/>
      <c r="X16" s="55"/>
      <c r="Y16" s="58">
        <f t="shared" si="2"/>
        <v>0</v>
      </c>
      <c r="Z16" s="58"/>
      <c r="AA16" s="71">
        <f t="shared" si="3"/>
        <v>0</v>
      </c>
      <c r="AB16" s="22"/>
      <c r="AF16" s="3"/>
      <c r="AG16" s="4"/>
    </row>
    <row r="17">
      <c r="B17" s="25"/>
      <c r="C17" s="15"/>
      <c r="D17" s="38"/>
      <c r="E17" s="16"/>
      <c r="F17" s="16"/>
      <c r="G17" s="100">
        <v>9.0</v>
      </c>
      <c r="H17" s="55">
        <f t="shared" si="8"/>
        <v>0</v>
      </c>
      <c r="I17" s="55">
        <f t="shared" si="9"/>
        <v>0</v>
      </c>
      <c r="J17" s="55">
        <f t="shared" si="1"/>
        <v>0</v>
      </c>
      <c r="K17" s="56"/>
      <c r="L17" s="55"/>
      <c r="M17" s="55"/>
      <c r="N17" s="55"/>
      <c r="O17" s="55"/>
      <c r="P17" s="55"/>
      <c r="Q17" s="55"/>
      <c r="R17" s="55"/>
      <c r="S17" s="56"/>
      <c r="T17" s="78"/>
      <c r="U17" s="55"/>
      <c r="V17" s="55"/>
      <c r="W17" s="55"/>
      <c r="X17" s="55"/>
      <c r="Y17" s="58">
        <f t="shared" si="2"/>
        <v>0</v>
      </c>
      <c r="Z17" s="58"/>
      <c r="AA17" s="71">
        <f t="shared" si="3"/>
        <v>0</v>
      </c>
      <c r="AB17" s="22" t="s">
        <v>67</v>
      </c>
      <c r="AF17" s="3"/>
      <c r="AG17" s="4"/>
    </row>
    <row r="18">
      <c r="B18" s="25"/>
      <c r="C18" s="15" t="s">
        <v>65</v>
      </c>
      <c r="D18" s="15" t="s">
        <v>68</v>
      </c>
      <c r="E18" s="16"/>
      <c r="F18" s="16"/>
      <c r="G18" s="17">
        <v>10.0</v>
      </c>
      <c r="H18" s="42">
        <f>SUM(13744*0.2)</f>
        <v>2748.8</v>
      </c>
      <c r="I18" s="42">
        <f>SUM(13744*0.8)</f>
        <v>10995.2</v>
      </c>
      <c r="J18" s="42">
        <f t="shared" si="1"/>
        <v>10995.2</v>
      </c>
      <c r="K18" s="47"/>
      <c r="L18" s="42"/>
      <c r="M18" s="42"/>
      <c r="N18" s="42"/>
      <c r="O18" s="42"/>
      <c r="P18" s="42"/>
      <c r="Q18" s="42"/>
      <c r="R18" s="42"/>
      <c r="S18" s="47"/>
      <c r="T18" s="43"/>
      <c r="U18" s="42"/>
      <c r="V18" s="42"/>
      <c r="W18" s="42"/>
      <c r="X18" s="42"/>
      <c r="Y18" s="46">
        <f t="shared" si="2"/>
        <v>24739.2</v>
      </c>
      <c r="Z18" s="46"/>
      <c r="AA18" s="47">
        <f t="shared" si="3"/>
        <v>1649.28</v>
      </c>
      <c r="AB18" s="22"/>
      <c r="AF18" s="3"/>
      <c r="AG18" s="4"/>
    </row>
    <row r="19">
      <c r="B19" s="25"/>
      <c r="C19" s="15" t="s">
        <v>65</v>
      </c>
      <c r="D19" s="15" t="s">
        <v>68</v>
      </c>
      <c r="E19" s="76"/>
      <c r="F19" s="76"/>
      <c r="G19" s="17">
        <v>11.0</v>
      </c>
      <c r="H19" s="42">
        <f>SUM(6692*0.2)</f>
        <v>1338.4</v>
      </c>
      <c r="I19" s="42">
        <f>SUM(6692*0.8)</f>
        <v>5353.6</v>
      </c>
      <c r="J19" s="42">
        <f t="shared" si="1"/>
        <v>5353.6</v>
      </c>
      <c r="K19" s="47"/>
      <c r="L19" s="47"/>
      <c r="M19" s="42"/>
      <c r="N19" s="42"/>
      <c r="O19" s="42"/>
      <c r="P19" s="42"/>
      <c r="Q19" s="42"/>
      <c r="R19" s="42"/>
      <c r="S19" s="45"/>
      <c r="T19" s="42"/>
      <c r="U19" s="42"/>
      <c r="V19" s="42"/>
      <c r="W19" s="42"/>
      <c r="X19" s="42"/>
      <c r="Y19" s="46">
        <f t="shared" si="2"/>
        <v>12045.6</v>
      </c>
      <c r="Z19" s="46"/>
      <c r="AA19" s="47">
        <f t="shared" si="3"/>
        <v>803.04</v>
      </c>
      <c r="AB19" s="22"/>
      <c r="AF19" s="3"/>
      <c r="AG19" s="4"/>
    </row>
    <row r="20">
      <c r="B20" s="25"/>
      <c r="C20" s="15" t="s">
        <v>65</v>
      </c>
      <c r="D20" s="38" t="s">
        <v>69</v>
      </c>
      <c r="E20" s="16"/>
      <c r="F20" s="16"/>
      <c r="G20" s="17">
        <v>12.0</v>
      </c>
      <c r="H20" s="42">
        <f>SUM(4030*0.2)</f>
        <v>806</v>
      </c>
      <c r="I20" s="42">
        <f>SUM(4030*0.8)</f>
        <v>3224</v>
      </c>
      <c r="J20" s="42">
        <f t="shared" si="1"/>
        <v>3224</v>
      </c>
      <c r="K20" s="47"/>
      <c r="L20" s="42"/>
      <c r="M20" s="42"/>
      <c r="N20" s="42"/>
      <c r="O20" s="42"/>
      <c r="P20" s="42"/>
      <c r="Q20" s="42"/>
      <c r="R20" s="42"/>
      <c r="S20" s="47"/>
      <c r="T20" s="43"/>
      <c r="U20" s="42"/>
      <c r="V20" s="42"/>
      <c r="W20" s="42"/>
      <c r="X20" s="42"/>
      <c r="Y20" s="46">
        <f t="shared" si="2"/>
        <v>7254</v>
      </c>
      <c r="Z20" s="46"/>
      <c r="AA20" s="47">
        <f t="shared" si="3"/>
        <v>483.6</v>
      </c>
      <c r="AB20" s="22"/>
      <c r="AF20" s="3"/>
      <c r="AG20" s="4"/>
    </row>
    <row r="21">
      <c r="B21" s="25"/>
      <c r="C21" s="15" t="s">
        <v>65</v>
      </c>
      <c r="D21" s="38" t="s">
        <v>69</v>
      </c>
      <c r="E21" s="16"/>
      <c r="F21" s="16"/>
      <c r="G21" s="17">
        <v>13.0</v>
      </c>
      <c r="H21" s="42">
        <f>SUM(6050*0.2)</f>
        <v>1210</v>
      </c>
      <c r="I21" s="42">
        <f>SUM(6050*0.8)</f>
        <v>4840</v>
      </c>
      <c r="J21" s="42">
        <f t="shared" si="1"/>
        <v>4840</v>
      </c>
      <c r="K21" s="47"/>
      <c r="L21" s="47"/>
      <c r="M21" s="42"/>
      <c r="N21" s="42"/>
      <c r="O21" s="42"/>
      <c r="P21" s="42"/>
      <c r="Q21" s="42"/>
      <c r="R21" s="42"/>
      <c r="S21" s="45"/>
      <c r="T21" s="42"/>
      <c r="U21" s="42"/>
      <c r="V21" s="42"/>
      <c r="W21" s="42"/>
      <c r="X21" s="42"/>
      <c r="Y21" s="46">
        <f t="shared" si="2"/>
        <v>10890</v>
      </c>
      <c r="Z21" s="46"/>
      <c r="AA21" s="47">
        <f t="shared" si="3"/>
        <v>726</v>
      </c>
      <c r="AB21" s="22"/>
      <c r="AF21" s="3"/>
      <c r="AG21" s="4"/>
    </row>
    <row r="22">
      <c r="B22" s="25"/>
      <c r="C22" s="27"/>
      <c r="D22" s="27"/>
      <c r="E22" s="25"/>
      <c r="F22" s="25"/>
      <c r="G22" s="17">
        <v>14.0</v>
      </c>
      <c r="H22" s="55">
        <f t="shared" ref="H22:H24" si="10">SUM(0*0.2)</f>
        <v>0</v>
      </c>
      <c r="I22" s="55">
        <f t="shared" ref="I22:I24" si="11">SUM(0*0.8)</f>
        <v>0</v>
      </c>
      <c r="J22" s="55">
        <f t="shared" si="1"/>
        <v>0</v>
      </c>
      <c r="K22" s="56"/>
      <c r="L22" s="55"/>
      <c r="M22" s="55"/>
      <c r="N22" s="55"/>
      <c r="O22" s="55"/>
      <c r="P22" s="55"/>
      <c r="Q22" s="55"/>
      <c r="R22" s="55"/>
      <c r="S22" s="56"/>
      <c r="T22" s="78"/>
      <c r="U22" s="55"/>
      <c r="V22" s="55"/>
      <c r="W22" s="55"/>
      <c r="X22" s="55"/>
      <c r="Y22" s="58">
        <f t="shared" si="2"/>
        <v>0</v>
      </c>
      <c r="Z22" s="58"/>
      <c r="AA22" s="71">
        <f t="shared" si="3"/>
        <v>0</v>
      </c>
      <c r="AB22" s="22"/>
      <c r="AF22" s="3"/>
      <c r="AG22" s="4"/>
    </row>
    <row r="23">
      <c r="B23" s="25"/>
      <c r="C23" s="15"/>
      <c r="D23" s="15"/>
      <c r="E23" s="25"/>
      <c r="F23" s="25"/>
      <c r="G23" s="17">
        <v>15.0</v>
      </c>
      <c r="H23" s="55">
        <f t="shared" si="10"/>
        <v>0</v>
      </c>
      <c r="I23" s="55">
        <f t="shared" si="11"/>
        <v>0</v>
      </c>
      <c r="J23" s="55">
        <f t="shared" si="1"/>
        <v>0</v>
      </c>
      <c r="K23" s="56"/>
      <c r="L23" s="55"/>
      <c r="M23" s="55"/>
      <c r="N23" s="55"/>
      <c r="O23" s="55"/>
      <c r="P23" s="55"/>
      <c r="Q23" s="55"/>
      <c r="R23" s="55"/>
      <c r="S23" s="56"/>
      <c r="T23" s="78"/>
      <c r="U23" s="55"/>
      <c r="V23" s="55"/>
      <c r="W23" s="55"/>
      <c r="X23" s="55"/>
      <c r="Y23" s="58">
        <f t="shared" si="2"/>
        <v>0</v>
      </c>
      <c r="Z23" s="58"/>
      <c r="AA23" s="71">
        <f t="shared" si="3"/>
        <v>0</v>
      </c>
      <c r="AB23" s="22"/>
      <c r="AF23" s="3"/>
      <c r="AG23" s="4"/>
    </row>
    <row r="24">
      <c r="B24" s="25"/>
      <c r="C24" s="15"/>
      <c r="D24" s="15"/>
      <c r="E24" s="16"/>
      <c r="F24" s="16"/>
      <c r="G24" s="17">
        <v>16.0</v>
      </c>
      <c r="H24" s="55">
        <f t="shared" si="10"/>
        <v>0</v>
      </c>
      <c r="I24" s="55">
        <f t="shared" si="11"/>
        <v>0</v>
      </c>
      <c r="J24" s="55">
        <f t="shared" si="1"/>
        <v>0</v>
      </c>
      <c r="K24" s="56"/>
      <c r="L24" s="56"/>
      <c r="M24" s="55"/>
      <c r="N24" s="55"/>
      <c r="O24" s="55"/>
      <c r="P24" s="55"/>
      <c r="Q24" s="55"/>
      <c r="R24" s="55"/>
      <c r="S24" s="57"/>
      <c r="T24" s="55"/>
      <c r="U24" s="55"/>
      <c r="V24" s="55"/>
      <c r="W24" s="55"/>
      <c r="X24" s="55"/>
      <c r="Y24" s="58">
        <f t="shared" si="2"/>
        <v>0</v>
      </c>
      <c r="Z24" s="58"/>
      <c r="AA24" s="71">
        <f t="shared" si="3"/>
        <v>0</v>
      </c>
      <c r="AB24" s="22" t="s">
        <v>67</v>
      </c>
      <c r="AF24" s="3"/>
      <c r="AG24" s="4"/>
    </row>
    <row r="25">
      <c r="B25" s="25"/>
      <c r="C25" s="15" t="s">
        <v>59</v>
      </c>
      <c r="D25" s="15" t="s">
        <v>70</v>
      </c>
      <c r="E25" s="101"/>
      <c r="F25" s="54"/>
      <c r="G25" s="17">
        <v>17.0</v>
      </c>
      <c r="H25" s="42">
        <f>SUM(22537*0.2)</f>
        <v>4507.4</v>
      </c>
      <c r="I25" s="42">
        <f>SUM(22537*0.8)</f>
        <v>18029.6</v>
      </c>
      <c r="J25" s="42">
        <f t="shared" si="1"/>
        <v>18029.6</v>
      </c>
      <c r="K25" s="47"/>
      <c r="L25" s="42"/>
      <c r="M25" s="42"/>
      <c r="N25" s="42"/>
      <c r="O25" s="42"/>
      <c r="P25" s="42"/>
      <c r="Q25" s="42"/>
      <c r="R25" s="42"/>
      <c r="S25" s="47"/>
      <c r="T25" s="43"/>
      <c r="U25" s="42"/>
      <c r="V25" s="42"/>
      <c r="W25" s="42"/>
      <c r="X25" s="42"/>
      <c r="Y25" s="46">
        <f t="shared" si="2"/>
        <v>40566.6</v>
      </c>
      <c r="Z25" s="102">
        <v>1.0</v>
      </c>
      <c r="AA25" s="47">
        <f t="shared" si="3"/>
        <v>3054.44</v>
      </c>
      <c r="AB25" s="22"/>
      <c r="AF25" s="3"/>
      <c r="AG25" s="4"/>
    </row>
    <row r="26">
      <c r="B26" s="25"/>
      <c r="C26" s="15" t="s">
        <v>59</v>
      </c>
      <c r="D26" s="15" t="s">
        <v>71</v>
      </c>
      <c r="E26" s="101"/>
      <c r="F26" s="54"/>
      <c r="G26" s="17">
        <v>18.0</v>
      </c>
      <c r="H26" s="42">
        <f>SUM(18160*0.2)</f>
        <v>3632</v>
      </c>
      <c r="I26" s="42">
        <f>SUM(18160*0.8)</f>
        <v>14528</v>
      </c>
      <c r="J26" s="42">
        <f t="shared" si="1"/>
        <v>14528</v>
      </c>
      <c r="K26" s="47"/>
      <c r="L26" s="47"/>
      <c r="M26" s="42"/>
      <c r="N26" s="42"/>
      <c r="O26" s="42"/>
      <c r="P26" s="42"/>
      <c r="Q26" s="42"/>
      <c r="R26" s="42"/>
      <c r="S26" s="45"/>
      <c r="T26" s="42"/>
      <c r="U26" s="42"/>
      <c r="V26" s="42"/>
      <c r="W26" s="42"/>
      <c r="X26" s="42"/>
      <c r="Y26" s="46">
        <f t="shared" si="2"/>
        <v>32688</v>
      </c>
      <c r="Z26" s="102">
        <v>1.0</v>
      </c>
      <c r="AA26" s="47">
        <f t="shared" si="3"/>
        <v>2529.2</v>
      </c>
      <c r="AB26" s="22"/>
      <c r="AF26" s="3"/>
      <c r="AG26" s="4"/>
    </row>
    <row r="27">
      <c r="B27" s="25"/>
      <c r="C27" s="15" t="s">
        <v>59</v>
      </c>
      <c r="D27" s="15" t="s">
        <v>72</v>
      </c>
      <c r="E27" s="101"/>
      <c r="F27" s="54"/>
      <c r="G27" s="17">
        <v>19.0</v>
      </c>
      <c r="H27" s="42">
        <f>SUM(4450*0.2)</f>
        <v>890</v>
      </c>
      <c r="I27" s="42">
        <f>SUM(4450*0.8)</f>
        <v>3560</v>
      </c>
      <c r="J27" s="42">
        <f t="shared" si="1"/>
        <v>3560</v>
      </c>
      <c r="K27" s="47"/>
      <c r="L27" s="42"/>
      <c r="M27" s="42"/>
      <c r="N27" s="42"/>
      <c r="O27" s="42"/>
      <c r="P27" s="42"/>
      <c r="Q27" s="42"/>
      <c r="R27" s="42"/>
      <c r="S27" s="47"/>
      <c r="T27" s="43"/>
      <c r="U27" s="42"/>
      <c r="V27" s="42"/>
      <c r="W27" s="42"/>
      <c r="X27" s="42"/>
      <c r="Y27" s="46">
        <f t="shared" si="2"/>
        <v>8010</v>
      </c>
      <c r="Z27" s="102">
        <v>1.0</v>
      </c>
      <c r="AA27" s="47">
        <f t="shared" si="3"/>
        <v>884</v>
      </c>
      <c r="AB27" s="22"/>
      <c r="AF27" s="3"/>
      <c r="AG27" s="4"/>
    </row>
    <row r="28">
      <c r="B28" s="25"/>
      <c r="C28" s="15" t="s">
        <v>59</v>
      </c>
      <c r="D28" s="15" t="s">
        <v>73</v>
      </c>
      <c r="E28" s="25"/>
      <c r="F28" s="25"/>
      <c r="G28" s="17">
        <v>20.0</v>
      </c>
      <c r="H28" s="42">
        <f>SUM(21250*0.2)</f>
        <v>4250</v>
      </c>
      <c r="I28" s="42">
        <f>SUM(21250*0.8)</f>
        <v>17000</v>
      </c>
      <c r="J28" s="42">
        <f t="shared" si="1"/>
        <v>17000</v>
      </c>
      <c r="K28" s="47"/>
      <c r="L28" s="42"/>
      <c r="M28" s="42"/>
      <c r="N28" s="42"/>
      <c r="O28" s="42"/>
      <c r="P28" s="42"/>
      <c r="Q28" s="42"/>
      <c r="R28" s="42"/>
      <c r="S28" s="47"/>
      <c r="T28" s="43"/>
      <c r="U28" s="42"/>
      <c r="V28" s="42"/>
      <c r="W28" s="42"/>
      <c r="X28" s="42"/>
      <c r="Y28" s="46">
        <f t="shared" si="2"/>
        <v>38250</v>
      </c>
      <c r="Z28" s="46"/>
      <c r="AA28" s="47">
        <f t="shared" si="3"/>
        <v>2550</v>
      </c>
      <c r="AB28" s="22" t="s">
        <v>74</v>
      </c>
      <c r="AF28" s="3"/>
      <c r="AG28" s="4"/>
    </row>
    <row r="29">
      <c r="B29" s="25"/>
      <c r="C29" s="27"/>
      <c r="D29" s="27"/>
      <c r="E29" s="25"/>
      <c r="F29" s="25"/>
      <c r="G29" s="17">
        <v>21.0</v>
      </c>
      <c r="H29" s="55">
        <f t="shared" ref="H29:H32" si="12">SUM(0*0.2)</f>
        <v>0</v>
      </c>
      <c r="I29" s="55">
        <f t="shared" ref="I29:I32" si="13">SUM(0*0.8)</f>
        <v>0</v>
      </c>
      <c r="J29" s="55">
        <f t="shared" si="1"/>
        <v>0</v>
      </c>
      <c r="K29" s="56"/>
      <c r="L29" s="56"/>
      <c r="M29" s="55"/>
      <c r="N29" s="55"/>
      <c r="O29" s="55"/>
      <c r="P29" s="55"/>
      <c r="Q29" s="55"/>
      <c r="R29" s="55"/>
      <c r="S29" s="57"/>
      <c r="T29" s="55"/>
      <c r="U29" s="55"/>
      <c r="V29" s="55"/>
      <c r="W29" s="55"/>
      <c r="X29" s="55"/>
      <c r="Y29" s="58">
        <f t="shared" si="2"/>
        <v>0</v>
      </c>
      <c r="Z29" s="58"/>
      <c r="AA29" s="71">
        <f t="shared" si="3"/>
        <v>0</v>
      </c>
      <c r="AB29" s="22"/>
      <c r="AF29" s="3"/>
      <c r="AG29" s="4"/>
    </row>
    <row r="30">
      <c r="B30" s="25"/>
      <c r="C30" s="27"/>
      <c r="D30" s="27"/>
      <c r="E30" s="25"/>
      <c r="F30" s="25"/>
      <c r="G30" s="17">
        <v>22.0</v>
      </c>
      <c r="H30" s="55">
        <f t="shared" si="12"/>
        <v>0</v>
      </c>
      <c r="I30" s="55">
        <f t="shared" si="13"/>
        <v>0</v>
      </c>
      <c r="J30" s="55">
        <f t="shared" si="1"/>
        <v>0</v>
      </c>
      <c r="K30" s="56"/>
      <c r="L30" s="55"/>
      <c r="M30" s="55"/>
      <c r="N30" s="55"/>
      <c r="O30" s="55"/>
      <c r="P30" s="55"/>
      <c r="Q30" s="55"/>
      <c r="R30" s="55"/>
      <c r="S30" s="56"/>
      <c r="T30" s="78"/>
      <c r="U30" s="55"/>
      <c r="V30" s="55"/>
      <c r="W30" s="55"/>
      <c r="X30" s="55"/>
      <c r="Y30" s="58">
        <f t="shared" si="2"/>
        <v>0</v>
      </c>
      <c r="Z30" s="58"/>
      <c r="AA30" s="71">
        <f t="shared" si="3"/>
        <v>0</v>
      </c>
      <c r="AB30" s="22"/>
      <c r="AF30" s="3"/>
      <c r="AG30" s="4"/>
    </row>
    <row r="31">
      <c r="B31" s="25"/>
      <c r="C31" s="27"/>
      <c r="D31" s="27"/>
      <c r="E31" s="25"/>
      <c r="F31" s="25"/>
      <c r="G31" s="17">
        <v>23.0</v>
      </c>
      <c r="H31" s="55">
        <f t="shared" si="12"/>
        <v>0</v>
      </c>
      <c r="I31" s="55">
        <f t="shared" si="13"/>
        <v>0</v>
      </c>
      <c r="J31" s="55">
        <f t="shared" si="1"/>
        <v>0</v>
      </c>
      <c r="K31" s="56"/>
      <c r="L31" s="56"/>
      <c r="M31" s="55"/>
      <c r="N31" s="55"/>
      <c r="O31" s="55"/>
      <c r="P31" s="55"/>
      <c r="Q31" s="55"/>
      <c r="R31" s="55"/>
      <c r="S31" s="57"/>
      <c r="T31" s="55"/>
      <c r="U31" s="55"/>
      <c r="V31" s="55"/>
      <c r="W31" s="55"/>
      <c r="X31" s="55"/>
      <c r="Y31" s="58">
        <f t="shared" si="2"/>
        <v>0</v>
      </c>
      <c r="Z31" s="58"/>
      <c r="AA31" s="71">
        <f t="shared" si="3"/>
        <v>0</v>
      </c>
      <c r="AB31" s="22" t="s">
        <v>67</v>
      </c>
      <c r="AF31" s="3"/>
      <c r="AG31" s="4"/>
    </row>
    <row r="32">
      <c r="B32" s="25"/>
      <c r="C32" s="27"/>
      <c r="D32" s="27"/>
      <c r="E32" s="25"/>
      <c r="F32" s="25"/>
      <c r="G32" s="17">
        <v>24.0</v>
      </c>
      <c r="H32" s="55">
        <f t="shared" si="12"/>
        <v>0</v>
      </c>
      <c r="I32" s="55">
        <f t="shared" si="13"/>
        <v>0</v>
      </c>
      <c r="J32" s="55">
        <f t="shared" si="1"/>
        <v>0</v>
      </c>
      <c r="K32" s="56"/>
      <c r="L32" s="55"/>
      <c r="M32" s="55"/>
      <c r="N32" s="55"/>
      <c r="O32" s="55"/>
      <c r="P32" s="55"/>
      <c r="Q32" s="55"/>
      <c r="R32" s="55"/>
      <c r="S32" s="56"/>
      <c r="T32" s="78"/>
      <c r="U32" s="55"/>
      <c r="V32" s="55"/>
      <c r="W32" s="55"/>
      <c r="X32" s="55"/>
      <c r="Y32" s="58">
        <f t="shared" si="2"/>
        <v>0</v>
      </c>
      <c r="Z32" s="58"/>
      <c r="AA32" s="71">
        <f t="shared" si="3"/>
        <v>0</v>
      </c>
      <c r="AB32" s="22" t="s">
        <v>67</v>
      </c>
      <c r="AF32" s="3"/>
      <c r="AG32" s="4"/>
    </row>
    <row r="33">
      <c r="B33" s="59"/>
      <c r="C33" s="103" t="s">
        <v>75</v>
      </c>
      <c r="D33" s="103" t="s">
        <v>76</v>
      </c>
      <c r="E33" s="59"/>
      <c r="F33" s="59"/>
      <c r="G33" s="17">
        <v>25.0</v>
      </c>
      <c r="H33" s="42">
        <f>SUM(20020*0.2)</f>
        <v>4004</v>
      </c>
      <c r="I33" s="42">
        <f>SUM(20020*0.8)</f>
        <v>16016</v>
      </c>
      <c r="J33" s="42">
        <f t="shared" si="1"/>
        <v>16016</v>
      </c>
      <c r="K33" s="47"/>
      <c r="L33" s="42"/>
      <c r="M33" s="42"/>
      <c r="N33" s="42"/>
      <c r="O33" s="42"/>
      <c r="P33" s="42"/>
      <c r="Q33" s="42"/>
      <c r="R33" s="42"/>
      <c r="S33" s="47"/>
      <c r="T33" s="43"/>
      <c r="U33" s="42"/>
      <c r="V33" s="42"/>
      <c r="W33" s="42"/>
      <c r="X33" s="42"/>
      <c r="Y33" s="46">
        <f t="shared" si="2"/>
        <v>36036</v>
      </c>
      <c r="Z33" s="46"/>
      <c r="AA33" s="47">
        <f t="shared" si="3"/>
        <v>2402.4</v>
      </c>
      <c r="AB33" s="22"/>
      <c r="AF33" s="3"/>
      <c r="AG33" s="4"/>
    </row>
    <row r="34">
      <c r="B34" s="1"/>
      <c r="E34" s="1"/>
      <c r="F34" s="1"/>
      <c r="G34" s="2"/>
      <c r="AB34" s="1"/>
      <c r="AF34" s="3"/>
      <c r="AG34" s="4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6.13"/>
    <col customWidth="1" min="4" max="4" width="33.0"/>
    <col customWidth="1" min="5" max="5" width="17.25"/>
    <col customWidth="1" min="6" max="6" width="4.38"/>
    <col customWidth="1" min="7" max="8" width="11.13"/>
    <col customWidth="1" min="9" max="10" width="9.38"/>
    <col customWidth="1" min="11" max="11" width="6.63"/>
    <col customWidth="1" min="12" max="12" width="6.38"/>
    <col customWidth="1" min="13" max="13" width="6.25"/>
    <col customWidth="1" min="14" max="14" width="6.63"/>
    <col customWidth="1" min="15" max="15" width="5.5"/>
    <col customWidth="1" min="16" max="18" width="9.38"/>
    <col customWidth="1" min="19" max="19" width="7.5"/>
    <col customWidth="1" min="20" max="23" width="9.38"/>
    <col customWidth="1" min="24" max="24" width="7.25"/>
    <col customWidth="1" min="25" max="25" width="8.5"/>
    <col customWidth="1" min="27" max="27" width="7.63"/>
    <col customWidth="1" min="28" max="28" width="25.63"/>
    <col customWidth="1" min="29" max="29" width="25.13"/>
    <col customWidth="1" min="30" max="30" width="12.25"/>
    <col customWidth="1" min="31" max="31" width="3.0"/>
    <col customWidth="1" min="32" max="32" width="15.25"/>
    <col customWidth="1" min="33" max="33" width="11.25"/>
  </cols>
  <sheetData>
    <row r="1" ht="12.0" customHeight="1">
      <c r="B1" s="1"/>
      <c r="E1" s="1"/>
      <c r="F1" s="2"/>
      <c r="AB1" s="1"/>
      <c r="AF1" s="3"/>
      <c r="AG1" s="4"/>
    </row>
    <row r="2" ht="33.75" customHeight="1">
      <c r="A2" s="5"/>
      <c r="B2" s="6" t="s">
        <v>0</v>
      </c>
      <c r="C2" s="6" t="s">
        <v>37</v>
      </c>
      <c r="D2" s="6" t="s">
        <v>38</v>
      </c>
      <c r="E2" s="6" t="s">
        <v>3</v>
      </c>
      <c r="F2" s="7" t="s">
        <v>4</v>
      </c>
      <c r="G2" s="8" t="s">
        <v>77</v>
      </c>
      <c r="H2" s="8" t="s">
        <v>5</v>
      </c>
      <c r="I2" s="8" t="s">
        <v>56</v>
      </c>
      <c r="J2" s="8" t="s">
        <v>52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9" t="s">
        <v>14</v>
      </c>
      <c r="R2" s="9" t="s">
        <v>15</v>
      </c>
      <c r="S2" s="8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8" t="s">
        <v>78</v>
      </c>
      <c r="Z2" s="7" t="s">
        <v>22</v>
      </c>
      <c r="AA2" s="7" t="s">
        <v>23</v>
      </c>
      <c r="AB2" s="10"/>
      <c r="AC2" s="11"/>
      <c r="AD2" s="11"/>
      <c r="AE2" s="11"/>
      <c r="AF2" s="12"/>
      <c r="AG2" s="13"/>
      <c r="AH2" s="11"/>
      <c r="AI2" s="11"/>
      <c r="AJ2" s="11"/>
      <c r="AK2" s="11"/>
      <c r="AL2" s="11"/>
      <c r="AM2" s="11"/>
    </row>
    <row r="3">
      <c r="B3" s="14"/>
      <c r="C3" s="15" t="s">
        <v>75</v>
      </c>
      <c r="D3" s="15" t="s">
        <v>79</v>
      </c>
      <c r="E3" s="16"/>
      <c r="F3" s="17">
        <v>26.0</v>
      </c>
      <c r="G3" s="42"/>
      <c r="H3" s="42">
        <f>SUM(22760*0.2)</f>
        <v>4552</v>
      </c>
      <c r="I3" s="42">
        <f>SUM(22760*0.8)</f>
        <v>18208</v>
      </c>
      <c r="J3" s="42">
        <f t="shared" ref="J3:J32" si="1">SUM(I3)</f>
        <v>18208</v>
      </c>
      <c r="K3" s="47"/>
      <c r="L3" s="42"/>
      <c r="M3" s="42"/>
      <c r="N3" s="42"/>
      <c r="O3" s="42"/>
      <c r="P3" s="42"/>
      <c r="Q3" s="42"/>
      <c r="R3" s="42"/>
      <c r="S3" s="47"/>
      <c r="T3" s="43"/>
      <c r="U3" s="42"/>
      <c r="V3" s="42"/>
      <c r="W3" s="42"/>
      <c r="X3" s="42"/>
      <c r="Y3" s="80"/>
      <c r="Z3" s="46">
        <f t="shared" ref="Z3:Z32" si="2">SUM(H3:X3)</f>
        <v>40968</v>
      </c>
      <c r="AA3" s="47">
        <f t="shared" ref="AA3:AA32" si="3">SUM(G3*0.02)+(H3*0.04)+(I3*0.1)+(K3*27)+(L3*40)+(N3*50)+(P3*350)+(Q3*550)+(R3*160)+(S3*200)+(T3*260)+(U3*330)+(V3*110)+(W3*120)+(X3*0.7)+(J3*0.04)+(Y3*350)</f>
        <v>2731.2</v>
      </c>
      <c r="AB3" s="22"/>
      <c r="AC3" s="23" t="s">
        <v>24</v>
      </c>
      <c r="AD3" s="24">
        <f>SUM(AA3:AA32)</f>
        <v>41672.98</v>
      </c>
      <c r="AF3" s="3"/>
      <c r="AG3" s="4"/>
    </row>
    <row r="4">
      <c r="B4" s="25"/>
      <c r="C4" s="15" t="s">
        <v>75</v>
      </c>
      <c r="D4" s="15" t="s">
        <v>79</v>
      </c>
      <c r="E4" s="16"/>
      <c r="F4" s="17">
        <v>27.0</v>
      </c>
      <c r="G4" s="42"/>
      <c r="H4" s="42">
        <f>SUM(61548*0.2)</f>
        <v>12309.6</v>
      </c>
      <c r="I4" s="42">
        <f>SUM(61548*0.8)</f>
        <v>49238.4</v>
      </c>
      <c r="J4" s="42">
        <f t="shared" si="1"/>
        <v>49238.4</v>
      </c>
      <c r="K4" s="47"/>
      <c r="L4" s="47"/>
      <c r="M4" s="42"/>
      <c r="N4" s="42"/>
      <c r="O4" s="42"/>
      <c r="P4" s="42"/>
      <c r="Q4" s="42"/>
      <c r="R4" s="42"/>
      <c r="S4" s="45"/>
      <c r="T4" s="42"/>
      <c r="U4" s="42"/>
      <c r="V4" s="42"/>
      <c r="W4" s="42"/>
      <c r="X4" s="42"/>
      <c r="Y4" s="80"/>
      <c r="Z4" s="46">
        <f t="shared" si="2"/>
        <v>110786.4</v>
      </c>
      <c r="AA4" s="47">
        <f t="shared" si="3"/>
        <v>7385.76</v>
      </c>
      <c r="AB4" s="22" t="s">
        <v>74</v>
      </c>
      <c r="AF4" s="3"/>
      <c r="AG4" s="4"/>
    </row>
    <row r="5">
      <c r="B5" s="25"/>
      <c r="C5" s="15"/>
      <c r="D5" s="15"/>
      <c r="E5" s="16"/>
      <c r="F5" s="17">
        <v>28.0</v>
      </c>
      <c r="G5" s="55"/>
      <c r="H5" s="55">
        <f t="shared" ref="H5:H6" si="4">SUM(0*0.2)</f>
        <v>0</v>
      </c>
      <c r="I5" s="55">
        <f t="shared" ref="I5:I6" si="5">SUM(0*0.8)</f>
        <v>0</v>
      </c>
      <c r="J5" s="55">
        <f t="shared" si="1"/>
        <v>0</v>
      </c>
      <c r="K5" s="56"/>
      <c r="L5" s="55"/>
      <c r="M5" s="55"/>
      <c r="N5" s="55"/>
      <c r="O5" s="55"/>
      <c r="P5" s="55"/>
      <c r="Q5" s="55"/>
      <c r="R5" s="55"/>
      <c r="S5" s="56"/>
      <c r="T5" s="78"/>
      <c r="U5" s="55"/>
      <c r="V5" s="55"/>
      <c r="W5" s="55"/>
      <c r="X5" s="55"/>
      <c r="Y5" s="81"/>
      <c r="Z5" s="58">
        <f t="shared" si="2"/>
        <v>0</v>
      </c>
      <c r="AA5" s="56">
        <f t="shared" si="3"/>
        <v>0</v>
      </c>
      <c r="AB5" s="22"/>
      <c r="AF5" s="3"/>
      <c r="AG5" s="4"/>
    </row>
    <row r="6">
      <c r="B6" s="25"/>
      <c r="C6" s="15"/>
      <c r="D6" s="15"/>
      <c r="E6" s="16"/>
      <c r="F6" s="17">
        <v>29.0</v>
      </c>
      <c r="G6" s="55"/>
      <c r="H6" s="55">
        <f t="shared" si="4"/>
        <v>0</v>
      </c>
      <c r="I6" s="55">
        <f t="shared" si="5"/>
        <v>0</v>
      </c>
      <c r="J6" s="55">
        <f t="shared" si="1"/>
        <v>0</v>
      </c>
      <c r="K6" s="56"/>
      <c r="L6" s="56"/>
      <c r="M6" s="55"/>
      <c r="N6" s="55"/>
      <c r="O6" s="55"/>
      <c r="P6" s="55"/>
      <c r="Q6" s="55"/>
      <c r="R6" s="55"/>
      <c r="S6" s="57"/>
      <c r="T6" s="55"/>
      <c r="U6" s="55"/>
      <c r="V6" s="55"/>
      <c r="W6" s="55"/>
      <c r="X6" s="55"/>
      <c r="Y6" s="81"/>
      <c r="Z6" s="58">
        <f t="shared" si="2"/>
        <v>0</v>
      </c>
      <c r="AA6" s="56">
        <f t="shared" si="3"/>
        <v>0</v>
      </c>
      <c r="AB6" s="22"/>
      <c r="AF6" s="3"/>
      <c r="AG6" s="4"/>
    </row>
    <row r="7">
      <c r="B7" s="25"/>
      <c r="C7" s="15" t="s">
        <v>80</v>
      </c>
      <c r="D7" s="15" t="s">
        <v>81</v>
      </c>
      <c r="E7" s="25"/>
      <c r="F7" s="17">
        <v>30.0</v>
      </c>
      <c r="G7" s="43">
        <v>15750.0</v>
      </c>
      <c r="H7" s="42">
        <f>SUM(3150*0.2)</f>
        <v>630</v>
      </c>
      <c r="I7" s="42">
        <f>SUM(12600*0.8)</f>
        <v>10080</v>
      </c>
      <c r="J7" s="42">
        <f t="shared" si="1"/>
        <v>10080</v>
      </c>
      <c r="K7" s="47"/>
      <c r="L7" s="42"/>
      <c r="M7" s="42"/>
      <c r="N7" s="42"/>
      <c r="O7" s="42"/>
      <c r="P7" s="42"/>
      <c r="Q7" s="42"/>
      <c r="R7" s="42"/>
      <c r="S7" s="47"/>
      <c r="T7" s="43"/>
      <c r="U7" s="42"/>
      <c r="V7" s="42"/>
      <c r="W7" s="42"/>
      <c r="X7" s="42"/>
      <c r="Y7" s="80"/>
      <c r="Z7" s="46">
        <f t="shared" si="2"/>
        <v>20790</v>
      </c>
      <c r="AA7" s="47">
        <f t="shared" si="3"/>
        <v>1751.4</v>
      </c>
      <c r="AB7" s="22"/>
      <c r="AF7" s="3"/>
      <c r="AG7" s="4"/>
    </row>
    <row r="8">
      <c r="B8" s="25"/>
      <c r="C8" s="15" t="s">
        <v>80</v>
      </c>
      <c r="D8" s="15" t="s">
        <v>82</v>
      </c>
      <c r="E8" s="25"/>
      <c r="F8" s="17">
        <v>1.0</v>
      </c>
      <c r="G8" s="43">
        <v>18000.0</v>
      </c>
      <c r="H8" s="42">
        <f>SUM(18000*0.2)</f>
        <v>3600</v>
      </c>
      <c r="I8" s="42">
        <f>SUM(18000*0.8)</f>
        <v>14400</v>
      </c>
      <c r="J8" s="42">
        <f t="shared" si="1"/>
        <v>14400</v>
      </c>
      <c r="K8" s="47"/>
      <c r="L8" s="47"/>
      <c r="M8" s="42"/>
      <c r="N8" s="42"/>
      <c r="O8" s="42"/>
      <c r="P8" s="42"/>
      <c r="Q8" s="42"/>
      <c r="R8" s="42"/>
      <c r="S8" s="45"/>
      <c r="T8" s="42"/>
      <c r="U8" s="42"/>
      <c r="V8" s="42"/>
      <c r="W8" s="42"/>
      <c r="X8" s="42"/>
      <c r="Y8" s="80"/>
      <c r="Z8" s="46">
        <f t="shared" si="2"/>
        <v>32400</v>
      </c>
      <c r="AA8" s="47">
        <f t="shared" si="3"/>
        <v>2520</v>
      </c>
      <c r="AB8" s="22"/>
      <c r="AC8" s="29"/>
      <c r="AF8" s="3"/>
      <c r="AG8" s="4"/>
    </row>
    <row r="9">
      <c r="B9" s="25"/>
      <c r="C9" s="15" t="s">
        <v>80</v>
      </c>
      <c r="D9" s="15" t="s">
        <v>83</v>
      </c>
      <c r="E9" s="25"/>
      <c r="F9" s="17">
        <v>2.0</v>
      </c>
      <c r="G9" s="43">
        <v>12275.0</v>
      </c>
      <c r="H9" s="42">
        <f>SUM(12275*0.2)</f>
        <v>2455</v>
      </c>
      <c r="I9" s="42">
        <f>SUM(12275*0.8)</f>
        <v>9820</v>
      </c>
      <c r="J9" s="42">
        <f t="shared" si="1"/>
        <v>9820</v>
      </c>
      <c r="K9" s="47"/>
      <c r="L9" s="42"/>
      <c r="M9" s="42"/>
      <c r="N9" s="42"/>
      <c r="O9" s="42"/>
      <c r="P9" s="42"/>
      <c r="Q9" s="42"/>
      <c r="R9" s="42"/>
      <c r="S9" s="47"/>
      <c r="T9" s="43"/>
      <c r="U9" s="42"/>
      <c r="V9" s="42"/>
      <c r="W9" s="42"/>
      <c r="X9" s="42"/>
      <c r="Y9" s="80"/>
      <c r="Z9" s="46">
        <f t="shared" si="2"/>
        <v>22095</v>
      </c>
      <c r="AA9" s="47">
        <f t="shared" si="3"/>
        <v>1718.5</v>
      </c>
      <c r="AB9" s="22"/>
      <c r="AF9" s="3"/>
      <c r="AG9" s="4"/>
    </row>
    <row r="10">
      <c r="B10" s="25"/>
      <c r="C10" s="15" t="s">
        <v>80</v>
      </c>
      <c r="D10" s="15" t="s">
        <v>84</v>
      </c>
      <c r="E10" s="25"/>
      <c r="F10" s="17">
        <v>3.0</v>
      </c>
      <c r="G10" s="43">
        <v>14000.0</v>
      </c>
      <c r="H10" s="42">
        <f>SUM(14000*0.2)</f>
        <v>2800</v>
      </c>
      <c r="I10" s="42">
        <f>SUM(14000*0.8)</f>
        <v>11200</v>
      </c>
      <c r="J10" s="42">
        <f t="shared" si="1"/>
        <v>11200</v>
      </c>
      <c r="K10" s="47"/>
      <c r="L10" s="47"/>
      <c r="M10" s="42"/>
      <c r="N10" s="42"/>
      <c r="O10" s="42"/>
      <c r="P10" s="42"/>
      <c r="Q10" s="42"/>
      <c r="R10" s="42"/>
      <c r="S10" s="45"/>
      <c r="T10" s="42"/>
      <c r="U10" s="42"/>
      <c r="V10" s="42"/>
      <c r="W10" s="42"/>
      <c r="X10" s="42"/>
      <c r="Y10" s="80"/>
      <c r="Z10" s="46">
        <f t="shared" si="2"/>
        <v>25200</v>
      </c>
      <c r="AA10" s="47">
        <f t="shared" si="3"/>
        <v>1960</v>
      </c>
      <c r="AB10" s="22"/>
      <c r="AF10" s="3"/>
      <c r="AG10" s="4"/>
    </row>
    <row r="11">
      <c r="B11" s="25"/>
      <c r="C11" s="15"/>
      <c r="D11" s="75"/>
      <c r="E11" s="33"/>
      <c r="F11" s="17">
        <v>4.0</v>
      </c>
      <c r="G11" s="43"/>
      <c r="H11" s="42">
        <f t="shared" ref="H11:H13" si="6">SUM(0*0.2)</f>
        <v>0</v>
      </c>
      <c r="I11" s="42">
        <f t="shared" ref="I11:I13" si="7">SUM(0*0.8)</f>
        <v>0</v>
      </c>
      <c r="J11" s="42">
        <f t="shared" si="1"/>
        <v>0</v>
      </c>
      <c r="K11" s="47"/>
      <c r="L11" s="42"/>
      <c r="M11" s="42"/>
      <c r="N11" s="42"/>
      <c r="O11" s="42"/>
      <c r="P11" s="42"/>
      <c r="Q11" s="42"/>
      <c r="R11" s="42"/>
      <c r="S11" s="47"/>
      <c r="T11" s="43"/>
      <c r="U11" s="42"/>
      <c r="V11" s="42"/>
      <c r="W11" s="42"/>
      <c r="X11" s="42"/>
      <c r="Y11" s="80"/>
      <c r="Z11" s="46">
        <f t="shared" si="2"/>
        <v>0</v>
      </c>
      <c r="AA11" s="47">
        <f t="shared" si="3"/>
        <v>0</v>
      </c>
      <c r="AB11" s="22" t="s">
        <v>74</v>
      </c>
      <c r="AF11" s="3"/>
      <c r="AG11" s="4"/>
    </row>
    <row r="12">
      <c r="B12" s="25"/>
      <c r="C12" s="15"/>
      <c r="D12" s="75"/>
      <c r="E12" s="33"/>
      <c r="F12" s="17">
        <v>5.0</v>
      </c>
      <c r="G12" s="55"/>
      <c r="H12" s="55">
        <f t="shared" si="6"/>
        <v>0</v>
      </c>
      <c r="I12" s="55">
        <f t="shared" si="7"/>
        <v>0</v>
      </c>
      <c r="J12" s="55">
        <f t="shared" si="1"/>
        <v>0</v>
      </c>
      <c r="K12" s="56"/>
      <c r="L12" s="55"/>
      <c r="M12" s="55"/>
      <c r="N12" s="55"/>
      <c r="O12" s="55"/>
      <c r="P12" s="55"/>
      <c r="Q12" s="55"/>
      <c r="R12" s="55"/>
      <c r="S12" s="56"/>
      <c r="T12" s="78"/>
      <c r="U12" s="55"/>
      <c r="V12" s="55"/>
      <c r="W12" s="55"/>
      <c r="X12" s="55"/>
      <c r="Y12" s="81"/>
      <c r="Z12" s="58">
        <f t="shared" si="2"/>
        <v>0</v>
      </c>
      <c r="AA12" s="56">
        <f t="shared" si="3"/>
        <v>0</v>
      </c>
      <c r="AB12" s="22"/>
      <c r="AF12" s="3"/>
      <c r="AG12" s="4"/>
    </row>
    <row r="13">
      <c r="B13" s="25"/>
      <c r="C13" s="27"/>
      <c r="D13" s="34"/>
      <c r="E13" s="36"/>
      <c r="F13" s="17">
        <v>6.0</v>
      </c>
      <c r="G13" s="55"/>
      <c r="H13" s="55">
        <f t="shared" si="6"/>
        <v>0</v>
      </c>
      <c r="I13" s="55">
        <f t="shared" si="7"/>
        <v>0</v>
      </c>
      <c r="J13" s="55">
        <f t="shared" si="1"/>
        <v>0</v>
      </c>
      <c r="K13" s="56"/>
      <c r="L13" s="56"/>
      <c r="M13" s="55"/>
      <c r="N13" s="55"/>
      <c r="O13" s="55"/>
      <c r="P13" s="55"/>
      <c r="Q13" s="55"/>
      <c r="R13" s="55"/>
      <c r="S13" s="57"/>
      <c r="T13" s="55"/>
      <c r="U13" s="55"/>
      <c r="V13" s="55"/>
      <c r="W13" s="55"/>
      <c r="X13" s="55"/>
      <c r="Y13" s="81"/>
      <c r="Z13" s="58">
        <f t="shared" si="2"/>
        <v>0</v>
      </c>
      <c r="AA13" s="56">
        <f t="shared" si="3"/>
        <v>0</v>
      </c>
      <c r="AB13" s="22"/>
      <c r="AF13" s="3"/>
      <c r="AG13" s="4"/>
    </row>
    <row r="14">
      <c r="B14" s="25"/>
      <c r="C14" s="15" t="s">
        <v>80</v>
      </c>
      <c r="D14" s="15" t="s">
        <v>85</v>
      </c>
      <c r="E14" s="25"/>
      <c r="F14" s="17">
        <v>7.0</v>
      </c>
      <c r="G14" s="43">
        <v>18550.0</v>
      </c>
      <c r="H14" s="42">
        <f>SUM(18550*0.2)</f>
        <v>3710</v>
      </c>
      <c r="I14" s="42">
        <f>SUM(18550*0.8)</f>
        <v>14840</v>
      </c>
      <c r="J14" s="42">
        <f t="shared" si="1"/>
        <v>14840</v>
      </c>
      <c r="K14" s="47"/>
      <c r="L14" s="42"/>
      <c r="M14" s="42"/>
      <c r="N14" s="42"/>
      <c r="O14" s="42"/>
      <c r="P14" s="42"/>
      <c r="Q14" s="42"/>
      <c r="R14" s="42"/>
      <c r="S14" s="47"/>
      <c r="T14" s="43"/>
      <c r="U14" s="42"/>
      <c r="V14" s="42"/>
      <c r="W14" s="42"/>
      <c r="X14" s="42"/>
      <c r="Y14" s="80"/>
      <c r="Z14" s="46">
        <f t="shared" si="2"/>
        <v>33390</v>
      </c>
      <c r="AA14" s="47">
        <f t="shared" si="3"/>
        <v>2597</v>
      </c>
      <c r="AB14" s="22"/>
      <c r="AF14" s="3"/>
      <c r="AG14" s="4"/>
    </row>
    <row r="15">
      <c r="B15" s="25"/>
      <c r="C15" s="15" t="s">
        <v>86</v>
      </c>
      <c r="D15" s="15" t="s">
        <v>87</v>
      </c>
      <c r="E15" s="25"/>
      <c r="F15" s="17">
        <v>8.0</v>
      </c>
      <c r="G15" s="43"/>
      <c r="H15" s="42">
        <f>SUM(16200*0.2)</f>
        <v>3240</v>
      </c>
      <c r="I15" s="42">
        <f>SUM(16200*0.8)</f>
        <v>12960</v>
      </c>
      <c r="J15" s="42">
        <f t="shared" si="1"/>
        <v>12960</v>
      </c>
      <c r="K15" s="47"/>
      <c r="L15" s="47"/>
      <c r="M15" s="42"/>
      <c r="N15" s="42"/>
      <c r="O15" s="42"/>
      <c r="P15" s="42"/>
      <c r="Q15" s="42"/>
      <c r="R15" s="42"/>
      <c r="S15" s="45"/>
      <c r="T15" s="42"/>
      <c r="U15" s="42"/>
      <c r="V15" s="42"/>
      <c r="W15" s="42"/>
      <c r="X15" s="42"/>
      <c r="Y15" s="80"/>
      <c r="Z15" s="46">
        <f t="shared" si="2"/>
        <v>29160</v>
      </c>
      <c r="AA15" s="47">
        <f t="shared" si="3"/>
        <v>1944</v>
      </c>
      <c r="AB15" s="22"/>
      <c r="AF15" s="3"/>
      <c r="AG15" s="4"/>
    </row>
    <row r="16">
      <c r="B16" s="25"/>
      <c r="C16" s="15" t="s">
        <v>86</v>
      </c>
      <c r="D16" s="38" t="s">
        <v>87</v>
      </c>
      <c r="E16" s="16"/>
      <c r="F16" s="17">
        <v>9.0</v>
      </c>
      <c r="G16" s="42"/>
      <c r="H16" s="42">
        <f>SUM(9000*0.2)</f>
        <v>1800</v>
      </c>
      <c r="I16" s="42">
        <f>SUM(9000*0.8)</f>
        <v>7200</v>
      </c>
      <c r="J16" s="42">
        <f t="shared" si="1"/>
        <v>7200</v>
      </c>
      <c r="K16" s="47"/>
      <c r="L16" s="42"/>
      <c r="M16" s="42"/>
      <c r="N16" s="42"/>
      <c r="O16" s="42"/>
      <c r="P16" s="42"/>
      <c r="Q16" s="42"/>
      <c r="R16" s="42"/>
      <c r="S16" s="47"/>
      <c r="T16" s="43"/>
      <c r="U16" s="42"/>
      <c r="V16" s="42"/>
      <c r="W16" s="42"/>
      <c r="X16" s="42"/>
      <c r="Y16" s="80"/>
      <c r="Z16" s="46">
        <f t="shared" si="2"/>
        <v>16200</v>
      </c>
      <c r="AA16" s="47">
        <f t="shared" si="3"/>
        <v>1080</v>
      </c>
      <c r="AB16" s="22"/>
      <c r="AF16" s="3"/>
      <c r="AG16" s="4"/>
    </row>
    <row r="17">
      <c r="B17" s="25"/>
      <c r="C17" s="15" t="s">
        <v>86</v>
      </c>
      <c r="D17" s="15" t="s">
        <v>87</v>
      </c>
      <c r="E17" s="16"/>
      <c r="F17" s="17">
        <v>10.0</v>
      </c>
      <c r="G17" s="42"/>
      <c r="H17" s="42">
        <f>SUM(13500*0.2)</f>
        <v>2700</v>
      </c>
      <c r="I17" s="42">
        <f>SUM(13500*0.8)</f>
        <v>10800</v>
      </c>
      <c r="J17" s="42">
        <f t="shared" si="1"/>
        <v>10800</v>
      </c>
      <c r="K17" s="47"/>
      <c r="L17" s="42"/>
      <c r="M17" s="42"/>
      <c r="N17" s="42"/>
      <c r="O17" s="42"/>
      <c r="P17" s="42"/>
      <c r="Q17" s="42"/>
      <c r="R17" s="42"/>
      <c r="S17" s="47"/>
      <c r="T17" s="43"/>
      <c r="U17" s="42"/>
      <c r="V17" s="42"/>
      <c r="W17" s="42"/>
      <c r="X17" s="42"/>
      <c r="Y17" s="80"/>
      <c r="Z17" s="46">
        <f t="shared" si="2"/>
        <v>24300</v>
      </c>
      <c r="AA17" s="47">
        <f t="shared" si="3"/>
        <v>1620</v>
      </c>
      <c r="AB17" s="22"/>
      <c r="AF17" s="3"/>
      <c r="AG17" s="4"/>
    </row>
    <row r="18">
      <c r="B18" s="25"/>
      <c r="C18" s="15" t="s">
        <v>86</v>
      </c>
      <c r="D18" s="15" t="s">
        <v>87</v>
      </c>
      <c r="E18" s="76"/>
      <c r="F18" s="17">
        <v>11.0</v>
      </c>
      <c r="G18" s="42"/>
      <c r="H18" s="42">
        <f>SUM(14400*0.2)</f>
        <v>2880</v>
      </c>
      <c r="I18" s="42">
        <f>SUM(14400*0.8)</f>
        <v>11520</v>
      </c>
      <c r="J18" s="42">
        <f t="shared" si="1"/>
        <v>11520</v>
      </c>
      <c r="K18" s="47"/>
      <c r="L18" s="47"/>
      <c r="M18" s="42"/>
      <c r="N18" s="42"/>
      <c r="O18" s="42"/>
      <c r="P18" s="42"/>
      <c r="Q18" s="42"/>
      <c r="R18" s="42"/>
      <c r="S18" s="45"/>
      <c r="T18" s="42"/>
      <c r="U18" s="42"/>
      <c r="V18" s="42"/>
      <c r="W18" s="42"/>
      <c r="X18" s="42"/>
      <c r="Y18" s="80"/>
      <c r="Z18" s="46">
        <f t="shared" si="2"/>
        <v>25920</v>
      </c>
      <c r="AA18" s="47">
        <f t="shared" si="3"/>
        <v>1728</v>
      </c>
      <c r="AB18" s="22"/>
      <c r="AF18" s="3"/>
      <c r="AG18" s="4"/>
    </row>
    <row r="19">
      <c r="B19" s="25"/>
      <c r="C19" s="15"/>
      <c r="D19" s="38"/>
      <c r="E19" s="16"/>
      <c r="F19" s="17">
        <v>12.0</v>
      </c>
      <c r="G19" s="55"/>
      <c r="H19" s="55">
        <f t="shared" ref="H19:H20" si="8">SUM(0*0.2)</f>
        <v>0</v>
      </c>
      <c r="I19" s="55">
        <f t="shared" ref="I19:I20" si="9">SUM(0*0.8)</f>
        <v>0</v>
      </c>
      <c r="J19" s="55">
        <f t="shared" si="1"/>
        <v>0</v>
      </c>
      <c r="K19" s="56"/>
      <c r="L19" s="55"/>
      <c r="M19" s="55"/>
      <c r="N19" s="55"/>
      <c r="O19" s="55"/>
      <c r="P19" s="55"/>
      <c r="Q19" s="55"/>
      <c r="R19" s="55"/>
      <c r="S19" s="56"/>
      <c r="T19" s="78"/>
      <c r="U19" s="55"/>
      <c r="V19" s="55"/>
      <c r="W19" s="55"/>
      <c r="X19" s="55"/>
      <c r="Y19" s="81"/>
      <c r="Z19" s="58">
        <f t="shared" si="2"/>
        <v>0</v>
      </c>
      <c r="AA19" s="56">
        <f t="shared" si="3"/>
        <v>0</v>
      </c>
      <c r="AB19" s="22"/>
      <c r="AF19" s="3"/>
      <c r="AG19" s="4"/>
    </row>
    <row r="20">
      <c r="B20" s="25"/>
      <c r="C20" s="15"/>
      <c r="D20" s="38"/>
      <c r="E20" s="16"/>
      <c r="F20" s="17">
        <v>13.0</v>
      </c>
      <c r="G20" s="55"/>
      <c r="H20" s="55">
        <f t="shared" si="8"/>
        <v>0</v>
      </c>
      <c r="I20" s="55">
        <f t="shared" si="9"/>
        <v>0</v>
      </c>
      <c r="J20" s="55">
        <f t="shared" si="1"/>
        <v>0</v>
      </c>
      <c r="K20" s="56"/>
      <c r="L20" s="56"/>
      <c r="M20" s="55"/>
      <c r="N20" s="55"/>
      <c r="O20" s="55"/>
      <c r="P20" s="55"/>
      <c r="Q20" s="55"/>
      <c r="R20" s="55"/>
      <c r="S20" s="57"/>
      <c r="T20" s="55"/>
      <c r="U20" s="55"/>
      <c r="V20" s="55"/>
      <c r="W20" s="55"/>
      <c r="X20" s="55"/>
      <c r="Y20" s="81"/>
      <c r="Z20" s="58">
        <f t="shared" si="2"/>
        <v>0</v>
      </c>
      <c r="AA20" s="56">
        <f t="shared" si="3"/>
        <v>0</v>
      </c>
      <c r="AB20" s="22"/>
      <c r="AF20" s="3"/>
      <c r="AG20" s="4"/>
    </row>
    <row r="21">
      <c r="B21" s="25"/>
      <c r="C21" s="15" t="s">
        <v>86</v>
      </c>
      <c r="D21" s="15" t="s">
        <v>88</v>
      </c>
      <c r="E21" s="25"/>
      <c r="F21" s="17">
        <v>14.0</v>
      </c>
      <c r="G21" s="42"/>
      <c r="H21" s="42">
        <f>SUM(8454*0.2)</f>
        <v>1690.8</v>
      </c>
      <c r="I21" s="42">
        <f>SUM(8454*0.8)</f>
        <v>6763.2</v>
      </c>
      <c r="J21" s="42">
        <f t="shared" si="1"/>
        <v>6763.2</v>
      </c>
      <c r="K21" s="47"/>
      <c r="L21" s="42"/>
      <c r="M21" s="42"/>
      <c r="N21" s="42"/>
      <c r="O21" s="42"/>
      <c r="P21" s="42"/>
      <c r="Q21" s="42"/>
      <c r="R21" s="42"/>
      <c r="S21" s="47"/>
      <c r="T21" s="43"/>
      <c r="U21" s="42"/>
      <c r="V21" s="42"/>
      <c r="W21" s="42"/>
      <c r="X21" s="42"/>
      <c r="Y21" s="80"/>
      <c r="Z21" s="46">
        <f t="shared" si="2"/>
        <v>15217.2</v>
      </c>
      <c r="AA21" s="47">
        <f t="shared" si="3"/>
        <v>1014.48</v>
      </c>
      <c r="AB21" s="22"/>
      <c r="AF21" s="3"/>
      <c r="AG21" s="4"/>
    </row>
    <row r="22">
      <c r="B22" s="25"/>
      <c r="C22" s="15" t="s">
        <v>75</v>
      </c>
      <c r="D22" s="15" t="s">
        <v>89</v>
      </c>
      <c r="E22" s="25"/>
      <c r="F22" s="17">
        <v>15.0</v>
      </c>
      <c r="G22" s="42"/>
      <c r="H22" s="42">
        <f>SUM(11960*0.2)</f>
        <v>2392</v>
      </c>
      <c r="I22" s="42">
        <f>SUM(11960*0.8)</f>
        <v>9568</v>
      </c>
      <c r="J22" s="42">
        <f t="shared" si="1"/>
        <v>9568</v>
      </c>
      <c r="K22" s="47"/>
      <c r="L22" s="42"/>
      <c r="M22" s="42"/>
      <c r="N22" s="42"/>
      <c r="O22" s="42"/>
      <c r="P22" s="42"/>
      <c r="Q22" s="42"/>
      <c r="R22" s="42"/>
      <c r="S22" s="47"/>
      <c r="T22" s="43"/>
      <c r="U22" s="42"/>
      <c r="V22" s="42"/>
      <c r="W22" s="42"/>
      <c r="X22" s="42"/>
      <c r="Y22" s="80"/>
      <c r="Z22" s="46">
        <f t="shared" si="2"/>
        <v>21528</v>
      </c>
      <c r="AA22" s="47">
        <f t="shared" si="3"/>
        <v>1435.2</v>
      </c>
      <c r="AB22" s="22"/>
      <c r="AF22" s="3"/>
      <c r="AG22" s="4"/>
    </row>
    <row r="23">
      <c r="B23" s="25"/>
      <c r="C23" s="15" t="s">
        <v>75</v>
      </c>
      <c r="D23" s="15" t="s">
        <v>89</v>
      </c>
      <c r="E23" s="16"/>
      <c r="F23" s="17">
        <v>16.0</v>
      </c>
      <c r="G23" s="42"/>
      <c r="H23" s="42">
        <f>SUM(12250*0.2)</f>
        <v>2450</v>
      </c>
      <c r="I23" s="42">
        <f>SUM(12250*0.8)</f>
        <v>9800</v>
      </c>
      <c r="J23" s="42">
        <f t="shared" si="1"/>
        <v>9800</v>
      </c>
      <c r="K23" s="47"/>
      <c r="L23" s="47"/>
      <c r="M23" s="42"/>
      <c r="N23" s="42"/>
      <c r="O23" s="42"/>
      <c r="P23" s="42"/>
      <c r="Q23" s="42"/>
      <c r="R23" s="42"/>
      <c r="S23" s="45"/>
      <c r="T23" s="42"/>
      <c r="U23" s="42"/>
      <c r="V23" s="42"/>
      <c r="W23" s="42"/>
      <c r="X23" s="42"/>
      <c r="Y23" s="80"/>
      <c r="Z23" s="46">
        <f t="shared" si="2"/>
        <v>22050</v>
      </c>
      <c r="AA23" s="47">
        <f t="shared" si="3"/>
        <v>1470</v>
      </c>
      <c r="AB23" s="22"/>
      <c r="AF23" s="3"/>
      <c r="AG23" s="4"/>
    </row>
    <row r="24">
      <c r="B24" s="25"/>
      <c r="C24" s="15" t="s">
        <v>86</v>
      </c>
      <c r="D24" s="15" t="s">
        <v>90</v>
      </c>
      <c r="E24" s="54"/>
      <c r="F24" s="17">
        <v>17.0</v>
      </c>
      <c r="G24" s="42"/>
      <c r="H24" s="42">
        <f>SUM(13925*0.2)</f>
        <v>2785</v>
      </c>
      <c r="I24" s="42">
        <f>SUM(13925*0.8)</f>
        <v>11140</v>
      </c>
      <c r="J24" s="42">
        <f t="shared" si="1"/>
        <v>11140</v>
      </c>
      <c r="K24" s="47"/>
      <c r="L24" s="42"/>
      <c r="M24" s="42"/>
      <c r="N24" s="42"/>
      <c r="O24" s="42"/>
      <c r="P24" s="42"/>
      <c r="Q24" s="42"/>
      <c r="R24" s="42"/>
      <c r="S24" s="47"/>
      <c r="T24" s="43"/>
      <c r="U24" s="42"/>
      <c r="V24" s="42"/>
      <c r="W24" s="42"/>
      <c r="X24" s="42"/>
      <c r="Y24" s="80"/>
      <c r="Z24" s="46">
        <f t="shared" si="2"/>
        <v>25065</v>
      </c>
      <c r="AA24" s="47">
        <f t="shared" si="3"/>
        <v>1671</v>
      </c>
      <c r="AB24" s="22"/>
      <c r="AF24" s="3"/>
      <c r="AG24" s="4"/>
    </row>
    <row r="25">
      <c r="B25" s="25"/>
      <c r="C25" s="15" t="s">
        <v>86</v>
      </c>
      <c r="D25" s="15" t="s">
        <v>91</v>
      </c>
      <c r="E25" s="54"/>
      <c r="F25" s="17">
        <v>18.0</v>
      </c>
      <c r="G25" s="42"/>
      <c r="H25" s="42">
        <f>SUM(9955*0.2)</f>
        <v>1991</v>
      </c>
      <c r="I25" s="42">
        <f>SUM(9955*0.8)</f>
        <v>7964</v>
      </c>
      <c r="J25" s="42">
        <f t="shared" si="1"/>
        <v>7964</v>
      </c>
      <c r="K25" s="47"/>
      <c r="L25" s="47"/>
      <c r="M25" s="42"/>
      <c r="N25" s="42"/>
      <c r="O25" s="42"/>
      <c r="P25" s="42"/>
      <c r="Q25" s="42"/>
      <c r="R25" s="42"/>
      <c r="S25" s="45"/>
      <c r="T25" s="42"/>
      <c r="U25" s="42"/>
      <c r="V25" s="42"/>
      <c r="W25" s="42"/>
      <c r="X25" s="42"/>
      <c r="Y25" s="80"/>
      <c r="Z25" s="46">
        <f t="shared" si="2"/>
        <v>17919</v>
      </c>
      <c r="AA25" s="47">
        <f t="shared" si="3"/>
        <v>1194.6</v>
      </c>
      <c r="AB25" s="22"/>
      <c r="AF25" s="3"/>
      <c r="AG25" s="4"/>
    </row>
    <row r="26">
      <c r="B26" s="25"/>
      <c r="C26" s="15"/>
      <c r="D26" s="15"/>
      <c r="E26" s="54"/>
      <c r="F26" s="17">
        <v>19.0</v>
      </c>
      <c r="G26" s="55"/>
      <c r="H26" s="55">
        <f t="shared" ref="H26:H27" si="10">SUM(0*0.2)</f>
        <v>0</v>
      </c>
      <c r="I26" s="55">
        <f t="shared" ref="I26:I27" si="11">SUM(0*0.8)</f>
        <v>0</v>
      </c>
      <c r="J26" s="55">
        <f t="shared" si="1"/>
        <v>0</v>
      </c>
      <c r="K26" s="56"/>
      <c r="L26" s="55"/>
      <c r="M26" s="55"/>
      <c r="N26" s="55"/>
      <c r="O26" s="55"/>
      <c r="P26" s="55"/>
      <c r="Q26" s="55"/>
      <c r="R26" s="55"/>
      <c r="S26" s="56"/>
      <c r="T26" s="78"/>
      <c r="U26" s="55"/>
      <c r="V26" s="55"/>
      <c r="W26" s="55"/>
      <c r="X26" s="55"/>
      <c r="Y26" s="81"/>
      <c r="Z26" s="58">
        <f t="shared" si="2"/>
        <v>0</v>
      </c>
      <c r="AA26" s="56">
        <f t="shared" si="3"/>
        <v>0</v>
      </c>
      <c r="AB26" s="22"/>
      <c r="AF26" s="3"/>
      <c r="AG26" s="4"/>
    </row>
    <row r="27">
      <c r="B27" s="25"/>
      <c r="C27" s="27"/>
      <c r="D27" s="27"/>
      <c r="E27" s="25"/>
      <c r="F27" s="17">
        <v>20.0</v>
      </c>
      <c r="G27" s="55"/>
      <c r="H27" s="55">
        <f t="shared" si="10"/>
        <v>0</v>
      </c>
      <c r="I27" s="55">
        <f t="shared" si="11"/>
        <v>0</v>
      </c>
      <c r="J27" s="55">
        <f t="shared" si="1"/>
        <v>0</v>
      </c>
      <c r="K27" s="56"/>
      <c r="L27" s="55"/>
      <c r="M27" s="55"/>
      <c r="N27" s="55"/>
      <c r="O27" s="55"/>
      <c r="P27" s="55"/>
      <c r="Q27" s="55"/>
      <c r="R27" s="55"/>
      <c r="S27" s="56"/>
      <c r="T27" s="78"/>
      <c r="U27" s="55"/>
      <c r="V27" s="55"/>
      <c r="W27" s="55"/>
      <c r="X27" s="55"/>
      <c r="Y27" s="81"/>
      <c r="Z27" s="58">
        <f t="shared" si="2"/>
        <v>0</v>
      </c>
      <c r="AA27" s="56">
        <f t="shared" si="3"/>
        <v>0</v>
      </c>
      <c r="AB27" s="22"/>
      <c r="AF27" s="3"/>
      <c r="AG27" s="4"/>
    </row>
    <row r="28">
      <c r="B28" s="25"/>
      <c r="C28" s="15" t="s">
        <v>59</v>
      </c>
      <c r="D28" s="15" t="s">
        <v>92</v>
      </c>
      <c r="E28" s="25"/>
      <c r="F28" s="17">
        <v>21.0</v>
      </c>
      <c r="G28" s="42"/>
      <c r="H28" s="42">
        <f>SUM(15195*0.2)</f>
        <v>3039</v>
      </c>
      <c r="I28" s="42">
        <f>SUM(15195*0.8)</f>
        <v>12156</v>
      </c>
      <c r="J28" s="42">
        <f t="shared" si="1"/>
        <v>12156</v>
      </c>
      <c r="K28" s="47"/>
      <c r="L28" s="47"/>
      <c r="M28" s="42"/>
      <c r="N28" s="42"/>
      <c r="O28" s="42"/>
      <c r="P28" s="42"/>
      <c r="Q28" s="42"/>
      <c r="R28" s="42"/>
      <c r="S28" s="45"/>
      <c r="T28" s="42"/>
      <c r="U28" s="42"/>
      <c r="V28" s="42"/>
      <c r="W28" s="42"/>
      <c r="X28" s="42"/>
      <c r="Y28" s="80"/>
      <c r="Z28" s="46">
        <f t="shared" si="2"/>
        <v>27351</v>
      </c>
      <c r="AA28" s="47">
        <f t="shared" si="3"/>
        <v>1823.4</v>
      </c>
      <c r="AB28" s="22"/>
      <c r="AF28" s="3"/>
      <c r="AG28" s="4"/>
    </row>
    <row r="29">
      <c r="B29" s="25"/>
      <c r="C29" s="15" t="s">
        <v>59</v>
      </c>
      <c r="D29" s="15" t="s">
        <v>93</v>
      </c>
      <c r="E29" s="25"/>
      <c r="F29" s="17">
        <v>22.0</v>
      </c>
      <c r="G29" s="42"/>
      <c r="H29" s="42">
        <f>SUM(15170*0.2)</f>
        <v>3034</v>
      </c>
      <c r="I29" s="42">
        <f>SUM(15170*0.8)</f>
        <v>12136</v>
      </c>
      <c r="J29" s="42">
        <f t="shared" si="1"/>
        <v>12136</v>
      </c>
      <c r="K29" s="47"/>
      <c r="L29" s="42"/>
      <c r="M29" s="42"/>
      <c r="N29" s="42"/>
      <c r="O29" s="42"/>
      <c r="P29" s="42"/>
      <c r="Q29" s="42"/>
      <c r="R29" s="42"/>
      <c r="S29" s="47"/>
      <c r="T29" s="43"/>
      <c r="U29" s="42"/>
      <c r="V29" s="42"/>
      <c r="W29" s="42"/>
      <c r="X29" s="42"/>
      <c r="Y29" s="80"/>
      <c r="Z29" s="46">
        <f t="shared" si="2"/>
        <v>27306</v>
      </c>
      <c r="AA29" s="47">
        <f t="shared" si="3"/>
        <v>1820.4</v>
      </c>
      <c r="AB29" s="22"/>
      <c r="AF29" s="3"/>
      <c r="AG29" s="4"/>
    </row>
    <row r="30">
      <c r="B30" s="25"/>
      <c r="C30" s="15" t="s">
        <v>59</v>
      </c>
      <c r="D30" s="15" t="s">
        <v>94</v>
      </c>
      <c r="E30" s="25"/>
      <c r="F30" s="17">
        <v>23.0</v>
      </c>
      <c r="G30" s="42"/>
      <c r="H30" s="42">
        <f>SUM(16965*0.2)</f>
        <v>3393</v>
      </c>
      <c r="I30" s="42">
        <f>SUM(16965*0.8)</f>
        <v>13572</v>
      </c>
      <c r="J30" s="42">
        <f t="shared" si="1"/>
        <v>13572</v>
      </c>
      <c r="K30" s="47"/>
      <c r="L30" s="47"/>
      <c r="M30" s="42"/>
      <c r="N30" s="42"/>
      <c r="O30" s="42"/>
      <c r="P30" s="42"/>
      <c r="Q30" s="42"/>
      <c r="R30" s="42"/>
      <c r="S30" s="45"/>
      <c r="T30" s="42"/>
      <c r="U30" s="42"/>
      <c r="V30" s="42"/>
      <c r="W30" s="42"/>
      <c r="X30" s="42"/>
      <c r="Y30" s="80"/>
      <c r="Z30" s="46">
        <f t="shared" si="2"/>
        <v>30537</v>
      </c>
      <c r="AA30" s="47">
        <f t="shared" si="3"/>
        <v>2035.8</v>
      </c>
      <c r="AB30" s="22"/>
      <c r="AF30" s="3"/>
      <c r="AG30" s="4"/>
    </row>
    <row r="31">
      <c r="B31" s="25"/>
      <c r="C31" s="15" t="s">
        <v>59</v>
      </c>
      <c r="D31" s="15" t="s">
        <v>95</v>
      </c>
      <c r="E31" s="25"/>
      <c r="F31" s="17">
        <v>24.0</v>
      </c>
      <c r="G31" s="42"/>
      <c r="H31" s="42">
        <f>SUM(5540*0.2)</f>
        <v>1108</v>
      </c>
      <c r="I31" s="42">
        <f>SUM(5540*0.8)</f>
        <v>4432</v>
      </c>
      <c r="J31" s="42">
        <f t="shared" si="1"/>
        <v>4432</v>
      </c>
      <c r="K31" s="47"/>
      <c r="L31" s="42"/>
      <c r="M31" s="42"/>
      <c r="N31" s="42"/>
      <c r="O31" s="42"/>
      <c r="P31" s="42"/>
      <c r="Q31" s="42"/>
      <c r="R31" s="42"/>
      <c r="S31" s="47"/>
      <c r="T31" s="43"/>
      <c r="U31" s="42"/>
      <c r="V31" s="42"/>
      <c r="W31" s="42"/>
      <c r="X31" s="42"/>
      <c r="Y31" s="80"/>
      <c r="Z31" s="46">
        <f t="shared" si="2"/>
        <v>9972</v>
      </c>
      <c r="AA31" s="47">
        <f t="shared" si="3"/>
        <v>664.8</v>
      </c>
      <c r="AB31" s="22"/>
      <c r="AF31" s="3"/>
      <c r="AG31" s="4"/>
    </row>
    <row r="32">
      <c r="B32" s="59"/>
      <c r="C32" s="103" t="s">
        <v>59</v>
      </c>
      <c r="D32" s="103" t="s">
        <v>95</v>
      </c>
      <c r="E32" s="59"/>
      <c r="F32" s="17">
        <v>25.0</v>
      </c>
      <c r="G32" s="42"/>
      <c r="H32" s="42">
        <f>SUM(12562*0.2)</f>
        <v>2512.4</v>
      </c>
      <c r="I32" s="42">
        <f>SUM(12562*0.8)</f>
        <v>10049.6</v>
      </c>
      <c r="J32" s="42">
        <f t="shared" si="1"/>
        <v>10049.6</v>
      </c>
      <c r="K32" s="47"/>
      <c r="L32" s="42"/>
      <c r="M32" s="42"/>
      <c r="N32" s="42"/>
      <c r="O32" s="42"/>
      <c r="P32" s="42"/>
      <c r="Q32" s="42"/>
      <c r="R32" s="42"/>
      <c r="S32" s="47"/>
      <c r="T32" s="43"/>
      <c r="U32" s="42"/>
      <c r="V32" s="42"/>
      <c r="W32" s="42"/>
      <c r="X32" s="42"/>
      <c r="Y32" s="80"/>
      <c r="Z32" s="46">
        <f t="shared" si="2"/>
        <v>22611.6</v>
      </c>
      <c r="AA32" s="47">
        <f t="shared" si="3"/>
        <v>1507.44</v>
      </c>
      <c r="AB32" s="22"/>
      <c r="AF32" s="3"/>
      <c r="AG32" s="4"/>
    </row>
    <row r="33">
      <c r="B33" s="1"/>
      <c r="E33" s="1"/>
      <c r="F33" s="2"/>
      <c r="AB33" s="1"/>
      <c r="AF33" s="3"/>
      <c r="AG33" s="4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6.13"/>
    <col customWidth="1" min="4" max="4" width="35.25"/>
    <col customWidth="1" min="5" max="5" width="17.25"/>
    <col customWidth="1" min="6" max="6" width="4.38"/>
    <col customWidth="1" min="7" max="7" width="11.13"/>
    <col customWidth="1" min="8" max="9" width="9.38"/>
    <col customWidth="1" min="10" max="10" width="6.63"/>
    <col customWidth="1" min="11" max="11" width="6.38"/>
    <col customWidth="1" min="12" max="12" width="6.25"/>
    <col customWidth="1" min="13" max="13" width="6.63"/>
    <col customWidth="1" min="14" max="14" width="5.5"/>
    <col customWidth="1" min="15" max="17" width="9.38"/>
    <col customWidth="1" min="18" max="18" width="7.5"/>
    <col customWidth="1" min="19" max="22" width="9.38"/>
    <col customWidth="1" min="23" max="23" width="7.25"/>
    <col customWidth="1" min="25" max="25" width="7.63"/>
    <col customWidth="1" min="26" max="26" width="25.63"/>
    <col customWidth="1" min="27" max="27" width="25.13"/>
    <col customWidth="1" min="28" max="28" width="12.25"/>
    <col customWidth="1" min="29" max="29" width="3.0"/>
    <col customWidth="1" min="30" max="30" width="15.25"/>
    <col customWidth="1" min="31" max="31" width="11.25"/>
  </cols>
  <sheetData>
    <row r="1" ht="27.0" customHeight="1">
      <c r="B1" s="1"/>
      <c r="E1" s="1"/>
      <c r="F1" s="2"/>
      <c r="Z1" s="1"/>
      <c r="AD1" s="3"/>
      <c r="AE1" s="4"/>
    </row>
    <row r="2" ht="19.5" customHeight="1">
      <c r="A2" s="5"/>
      <c r="B2" s="6" t="s">
        <v>0</v>
      </c>
      <c r="C2" s="6" t="s">
        <v>37</v>
      </c>
      <c r="D2" s="6" t="s">
        <v>38</v>
      </c>
      <c r="E2" s="6" t="s">
        <v>3</v>
      </c>
      <c r="F2" s="7" t="s">
        <v>4</v>
      </c>
      <c r="G2" s="8" t="s">
        <v>5</v>
      </c>
      <c r="H2" s="8" t="s">
        <v>56</v>
      </c>
      <c r="I2" s="8" t="s">
        <v>52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9" t="s">
        <v>15</v>
      </c>
      <c r="R2" s="8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7" t="s">
        <v>22</v>
      </c>
      <c r="Y2" s="7" t="s">
        <v>23</v>
      </c>
      <c r="Z2" s="10"/>
      <c r="AA2" s="11"/>
      <c r="AB2" s="11"/>
      <c r="AC2" s="11"/>
      <c r="AD2" s="12"/>
      <c r="AE2" s="13"/>
      <c r="AF2" s="11"/>
      <c r="AG2" s="11"/>
      <c r="AH2" s="11"/>
      <c r="AI2" s="11"/>
      <c r="AJ2" s="11"/>
      <c r="AK2" s="11"/>
    </row>
    <row r="3">
      <c r="B3" s="14"/>
      <c r="C3" s="15"/>
      <c r="D3" s="15"/>
      <c r="E3" s="16"/>
      <c r="F3" s="17">
        <v>26.0</v>
      </c>
      <c r="G3" s="104">
        <f t="shared" ref="G3:G5" si="1">SUM(0*0.2)</f>
        <v>0</v>
      </c>
      <c r="H3" s="104">
        <f t="shared" ref="H3:H5" si="2">SUM(0*0.8)</f>
        <v>0</v>
      </c>
      <c r="I3" s="104">
        <f t="shared" ref="I3:I33" si="3">SUM(G3+H3)</f>
        <v>0</v>
      </c>
      <c r="J3" s="105"/>
      <c r="K3" s="104"/>
      <c r="L3" s="104"/>
      <c r="M3" s="104"/>
      <c r="N3" s="104"/>
      <c r="O3" s="104"/>
      <c r="P3" s="104"/>
      <c r="Q3" s="104"/>
      <c r="R3" s="105"/>
      <c r="S3" s="106"/>
      <c r="T3" s="104"/>
      <c r="U3" s="104"/>
      <c r="V3" s="104"/>
      <c r="W3" s="104"/>
      <c r="X3" s="107">
        <f t="shared" ref="X3:X33" si="4">SUM(G3:W3)</f>
        <v>0</v>
      </c>
      <c r="Y3" s="105">
        <f t="shared" ref="Y3:Y5" si="5">SUM(G3*0.08)+(H3*0.14)+(J3*27)+(K3*40)+(M3*50)+(O3*350)+(P3*550)+(Q3*160)+(R3*200)+(S3*260)+(T3*330)+(U3*110)+(V3*120)+(W3*0.7)+(I3*0.04)</f>
        <v>0</v>
      </c>
      <c r="Z3" s="22"/>
      <c r="AA3" s="23" t="s">
        <v>24</v>
      </c>
      <c r="AB3" s="24">
        <f>SUM(Y3:Y33)</f>
        <v>14847.104</v>
      </c>
      <c r="AD3" s="3"/>
      <c r="AE3" s="4"/>
    </row>
    <row r="4">
      <c r="B4" s="25"/>
      <c r="C4" s="15"/>
      <c r="D4" s="15"/>
      <c r="E4" s="16"/>
      <c r="F4" s="17">
        <v>27.0</v>
      </c>
      <c r="G4" s="104">
        <f t="shared" si="1"/>
        <v>0</v>
      </c>
      <c r="H4" s="104">
        <f t="shared" si="2"/>
        <v>0</v>
      </c>
      <c r="I4" s="104">
        <f t="shared" si="3"/>
        <v>0</v>
      </c>
      <c r="J4" s="105"/>
      <c r="K4" s="105"/>
      <c r="L4" s="104"/>
      <c r="M4" s="104"/>
      <c r="N4" s="104"/>
      <c r="O4" s="104"/>
      <c r="P4" s="104"/>
      <c r="Q4" s="104"/>
      <c r="R4" s="108"/>
      <c r="S4" s="104"/>
      <c r="T4" s="104"/>
      <c r="U4" s="104"/>
      <c r="V4" s="104"/>
      <c r="W4" s="104"/>
      <c r="X4" s="107">
        <f t="shared" si="4"/>
        <v>0</v>
      </c>
      <c r="Y4" s="105">
        <f t="shared" si="5"/>
        <v>0</v>
      </c>
      <c r="Z4" s="22"/>
      <c r="AD4" s="3"/>
      <c r="AE4" s="4"/>
    </row>
    <row r="5">
      <c r="B5" s="25"/>
      <c r="C5" s="15"/>
      <c r="D5" s="15"/>
      <c r="E5" s="16"/>
      <c r="F5" s="17">
        <v>28.0</v>
      </c>
      <c r="G5" s="109">
        <f t="shared" si="1"/>
        <v>0</v>
      </c>
      <c r="H5" s="109">
        <f t="shared" si="2"/>
        <v>0</v>
      </c>
      <c r="I5" s="109">
        <f t="shared" si="3"/>
        <v>0</v>
      </c>
      <c r="J5" s="110"/>
      <c r="K5" s="109"/>
      <c r="L5" s="109"/>
      <c r="M5" s="109"/>
      <c r="N5" s="109"/>
      <c r="O5" s="109"/>
      <c r="P5" s="109"/>
      <c r="Q5" s="109"/>
      <c r="R5" s="110"/>
      <c r="S5" s="111"/>
      <c r="T5" s="109"/>
      <c r="U5" s="109"/>
      <c r="V5" s="109"/>
      <c r="W5" s="109"/>
      <c r="X5" s="112">
        <f t="shared" si="4"/>
        <v>0</v>
      </c>
      <c r="Y5" s="110">
        <f t="shared" si="5"/>
        <v>0</v>
      </c>
      <c r="Z5" s="22" t="s">
        <v>96</v>
      </c>
      <c r="AD5" s="3"/>
      <c r="AE5" s="4"/>
    </row>
    <row r="6">
      <c r="B6" s="25"/>
      <c r="C6" s="15" t="s">
        <v>59</v>
      </c>
      <c r="D6" s="15" t="s">
        <v>97</v>
      </c>
      <c r="E6" s="16"/>
      <c r="F6" s="17">
        <v>29.0</v>
      </c>
      <c r="G6" s="42">
        <f>SUM(10126*0.2)</f>
        <v>2025.2</v>
      </c>
      <c r="H6" s="42">
        <f>SUM(10126*0.8)</f>
        <v>8100.8</v>
      </c>
      <c r="I6" s="42">
        <f t="shared" si="3"/>
        <v>10126</v>
      </c>
      <c r="J6" s="47"/>
      <c r="K6" s="47"/>
      <c r="L6" s="42"/>
      <c r="M6" s="42"/>
      <c r="N6" s="42"/>
      <c r="O6" s="42"/>
      <c r="P6" s="42"/>
      <c r="Q6" s="42"/>
      <c r="R6" s="45"/>
      <c r="S6" s="42"/>
      <c r="T6" s="42"/>
      <c r="U6" s="42"/>
      <c r="V6" s="42"/>
      <c r="W6" s="42"/>
      <c r="X6" s="46">
        <f t="shared" si="4"/>
        <v>20252</v>
      </c>
      <c r="Y6" s="47">
        <f t="shared" ref="Y6:Y25" si="6">SUM(G6*0.04)+(H6*0.1)+(J6*27)+(K6*40)+(M6*50)+(O6*350)+(P6*550)+(Q6*160)+(R6*200)+(S6*260)+(T6*330)+(U6*110)+(V6*120)+(W6*0.7)+(I6*0.04)</f>
        <v>1296.128</v>
      </c>
      <c r="Z6" s="22"/>
      <c r="AD6" s="3"/>
      <c r="AE6" s="4"/>
    </row>
    <row r="7">
      <c r="B7" s="25"/>
      <c r="C7" s="15" t="s">
        <v>59</v>
      </c>
      <c r="D7" s="15" t="s">
        <v>98</v>
      </c>
      <c r="E7" s="25"/>
      <c r="F7" s="17">
        <v>30.0</v>
      </c>
      <c r="G7" s="42">
        <f>SUM(15400*0.2)</f>
        <v>3080</v>
      </c>
      <c r="H7" s="42">
        <f>SUM(15400*0.8)</f>
        <v>12320</v>
      </c>
      <c r="I7" s="42">
        <f t="shared" si="3"/>
        <v>15400</v>
      </c>
      <c r="J7" s="47"/>
      <c r="K7" s="42"/>
      <c r="L7" s="42"/>
      <c r="M7" s="42"/>
      <c r="N7" s="42"/>
      <c r="O7" s="42"/>
      <c r="P7" s="42"/>
      <c r="Q7" s="42"/>
      <c r="R7" s="47"/>
      <c r="S7" s="43"/>
      <c r="T7" s="42"/>
      <c r="U7" s="42"/>
      <c r="V7" s="42"/>
      <c r="W7" s="42"/>
      <c r="X7" s="46">
        <f t="shared" si="4"/>
        <v>30800</v>
      </c>
      <c r="Y7" s="47">
        <f t="shared" si="6"/>
        <v>1971.2</v>
      </c>
      <c r="Z7" s="22"/>
      <c r="AD7" s="3"/>
      <c r="AE7" s="4"/>
    </row>
    <row r="8">
      <c r="B8" s="25"/>
      <c r="C8" s="15" t="s">
        <v>59</v>
      </c>
      <c r="D8" s="15" t="s">
        <v>98</v>
      </c>
      <c r="E8" s="25"/>
      <c r="F8" s="17">
        <v>31.0</v>
      </c>
      <c r="G8" s="42">
        <f>SUM(15850*0.2)</f>
        <v>3170</v>
      </c>
      <c r="H8" s="42">
        <f>SUM(15850*0.8)</f>
        <v>12680</v>
      </c>
      <c r="I8" s="42">
        <f t="shared" si="3"/>
        <v>15850</v>
      </c>
      <c r="J8" s="47"/>
      <c r="K8" s="42"/>
      <c r="L8" s="42"/>
      <c r="M8" s="42"/>
      <c r="N8" s="42"/>
      <c r="O8" s="42"/>
      <c r="P8" s="42"/>
      <c r="Q8" s="42"/>
      <c r="R8" s="47"/>
      <c r="S8" s="43"/>
      <c r="T8" s="42"/>
      <c r="U8" s="42"/>
      <c r="V8" s="42"/>
      <c r="W8" s="42"/>
      <c r="X8" s="46">
        <f t="shared" si="4"/>
        <v>31700</v>
      </c>
      <c r="Y8" s="47">
        <f t="shared" si="6"/>
        <v>2028.8</v>
      </c>
      <c r="Z8" s="22"/>
      <c r="AD8" s="3"/>
      <c r="AE8" s="4"/>
    </row>
    <row r="9">
      <c r="B9" s="25"/>
      <c r="C9" s="27"/>
      <c r="D9" s="27"/>
      <c r="E9" s="25"/>
      <c r="F9" s="17">
        <v>1.0</v>
      </c>
      <c r="G9" s="42">
        <f>SUM(14135*0.2)</f>
        <v>2827</v>
      </c>
      <c r="H9" s="42">
        <f>SUM(14135*0.8)</f>
        <v>11308</v>
      </c>
      <c r="I9" s="42">
        <f t="shared" si="3"/>
        <v>14135</v>
      </c>
      <c r="J9" s="47"/>
      <c r="K9" s="47"/>
      <c r="L9" s="42"/>
      <c r="M9" s="42"/>
      <c r="N9" s="42"/>
      <c r="O9" s="42"/>
      <c r="P9" s="42"/>
      <c r="Q9" s="42"/>
      <c r="R9" s="45"/>
      <c r="S9" s="42"/>
      <c r="T9" s="42"/>
      <c r="U9" s="42"/>
      <c r="V9" s="42"/>
      <c r="W9" s="42"/>
      <c r="X9" s="46">
        <f t="shared" si="4"/>
        <v>28270</v>
      </c>
      <c r="Y9" s="47">
        <f t="shared" si="6"/>
        <v>1809.28</v>
      </c>
      <c r="Z9" s="22"/>
      <c r="AA9" s="29"/>
      <c r="AD9" s="3"/>
      <c r="AE9" s="4"/>
    </row>
    <row r="10">
      <c r="B10" s="25"/>
      <c r="C10" s="27"/>
      <c r="D10" s="27"/>
      <c r="E10" s="25"/>
      <c r="F10" s="17">
        <v>2.0</v>
      </c>
      <c r="G10" s="104">
        <f t="shared" ref="G10:G11" si="7">SUM(0*0.2)</f>
        <v>0</v>
      </c>
      <c r="H10" s="104">
        <f t="shared" ref="H10:H11" si="8">SUM(0*0.8)</f>
        <v>0</v>
      </c>
      <c r="I10" s="104">
        <f t="shared" si="3"/>
        <v>0</v>
      </c>
      <c r="J10" s="105"/>
      <c r="K10" s="104"/>
      <c r="L10" s="104"/>
      <c r="M10" s="104"/>
      <c r="N10" s="104"/>
      <c r="O10" s="104"/>
      <c r="P10" s="104"/>
      <c r="Q10" s="104"/>
      <c r="R10" s="105"/>
      <c r="S10" s="106"/>
      <c r="T10" s="104"/>
      <c r="U10" s="104"/>
      <c r="V10" s="104"/>
      <c r="W10" s="104"/>
      <c r="X10" s="107">
        <f t="shared" si="4"/>
        <v>0</v>
      </c>
      <c r="Y10" s="21">
        <f t="shared" si="6"/>
        <v>0</v>
      </c>
      <c r="Z10" s="22"/>
      <c r="AD10" s="3"/>
      <c r="AE10" s="4"/>
    </row>
    <row r="11">
      <c r="B11" s="25"/>
      <c r="C11" s="15"/>
      <c r="D11" s="113"/>
      <c r="E11" s="25"/>
      <c r="F11" s="17">
        <v>3.0</v>
      </c>
      <c r="G11" s="104">
        <f t="shared" si="7"/>
        <v>0</v>
      </c>
      <c r="H11" s="104">
        <f t="shared" si="8"/>
        <v>0</v>
      </c>
      <c r="I11" s="104">
        <f t="shared" si="3"/>
        <v>0</v>
      </c>
      <c r="J11" s="105"/>
      <c r="K11" s="105"/>
      <c r="L11" s="104"/>
      <c r="M11" s="104"/>
      <c r="N11" s="104"/>
      <c r="O11" s="104"/>
      <c r="P11" s="104"/>
      <c r="Q11" s="104"/>
      <c r="R11" s="108"/>
      <c r="S11" s="104"/>
      <c r="T11" s="104"/>
      <c r="U11" s="104"/>
      <c r="V11" s="104"/>
      <c r="W11" s="104"/>
      <c r="X11" s="107">
        <f t="shared" si="4"/>
        <v>0</v>
      </c>
      <c r="Y11" s="21">
        <f t="shared" si="6"/>
        <v>0</v>
      </c>
      <c r="Z11" s="22"/>
      <c r="AD11" s="3"/>
      <c r="AE11" s="4"/>
    </row>
    <row r="12">
      <c r="B12" s="25"/>
      <c r="C12" s="15" t="s">
        <v>59</v>
      </c>
      <c r="D12" s="113" t="s">
        <v>99</v>
      </c>
      <c r="E12" s="33"/>
      <c r="F12" s="17">
        <v>4.0</v>
      </c>
      <c r="G12" s="42">
        <f>SUM(3375*0.2)</f>
        <v>675</v>
      </c>
      <c r="H12" s="42">
        <f>SUM(3375*0.8)</f>
        <v>2700</v>
      </c>
      <c r="I12" s="42">
        <f t="shared" si="3"/>
        <v>3375</v>
      </c>
      <c r="J12" s="47"/>
      <c r="K12" s="42"/>
      <c r="L12" s="42"/>
      <c r="M12" s="42"/>
      <c r="N12" s="42"/>
      <c r="O12" s="42"/>
      <c r="P12" s="42"/>
      <c r="Q12" s="42"/>
      <c r="R12" s="47"/>
      <c r="S12" s="43"/>
      <c r="T12" s="42"/>
      <c r="U12" s="42"/>
      <c r="V12" s="42"/>
      <c r="W12" s="42"/>
      <c r="X12" s="46">
        <f t="shared" si="4"/>
        <v>6750</v>
      </c>
      <c r="Y12" s="47">
        <f t="shared" si="6"/>
        <v>432</v>
      </c>
      <c r="Z12" s="22" t="s">
        <v>100</v>
      </c>
      <c r="AD12" s="3"/>
      <c r="AE12" s="4"/>
    </row>
    <row r="13">
      <c r="B13" s="25"/>
      <c r="C13" s="15" t="s">
        <v>59</v>
      </c>
      <c r="D13" s="113" t="s">
        <v>99</v>
      </c>
      <c r="E13" s="33"/>
      <c r="F13" s="17">
        <v>5.0</v>
      </c>
      <c r="G13" s="42">
        <f>SUM(1385*0.2)</f>
        <v>277</v>
      </c>
      <c r="H13" s="42">
        <f>SUM(1385*0.8)</f>
        <v>1108</v>
      </c>
      <c r="I13" s="42">
        <f t="shared" si="3"/>
        <v>1385</v>
      </c>
      <c r="J13" s="47"/>
      <c r="K13" s="42"/>
      <c r="L13" s="42"/>
      <c r="M13" s="42"/>
      <c r="N13" s="42"/>
      <c r="O13" s="42"/>
      <c r="P13" s="42"/>
      <c r="Q13" s="42"/>
      <c r="R13" s="47"/>
      <c r="S13" s="43"/>
      <c r="T13" s="42"/>
      <c r="U13" s="42"/>
      <c r="V13" s="42"/>
      <c r="W13" s="42"/>
      <c r="X13" s="46">
        <f t="shared" si="4"/>
        <v>2770</v>
      </c>
      <c r="Y13" s="47">
        <f t="shared" si="6"/>
        <v>177.28</v>
      </c>
      <c r="Z13" s="22"/>
      <c r="AD13" s="3"/>
      <c r="AE13" s="4"/>
    </row>
    <row r="14">
      <c r="B14" s="25"/>
      <c r="C14" s="15" t="s">
        <v>59</v>
      </c>
      <c r="D14" s="114" t="s">
        <v>101</v>
      </c>
      <c r="E14" s="36"/>
      <c r="F14" s="17">
        <v>6.0</v>
      </c>
      <c r="G14" s="42">
        <f>SUM(1200*0.2)</f>
        <v>240</v>
      </c>
      <c r="H14" s="42">
        <f>SUM(1200*0.8)</f>
        <v>960</v>
      </c>
      <c r="I14" s="42">
        <f t="shared" si="3"/>
        <v>1200</v>
      </c>
      <c r="J14" s="47"/>
      <c r="K14" s="47"/>
      <c r="L14" s="42"/>
      <c r="M14" s="42"/>
      <c r="N14" s="42"/>
      <c r="O14" s="42"/>
      <c r="P14" s="42"/>
      <c r="Q14" s="42"/>
      <c r="R14" s="45"/>
      <c r="S14" s="42"/>
      <c r="T14" s="42"/>
      <c r="U14" s="42"/>
      <c r="V14" s="42"/>
      <c r="W14" s="42"/>
      <c r="X14" s="46">
        <f t="shared" si="4"/>
        <v>2400</v>
      </c>
      <c r="Y14" s="47">
        <f t="shared" si="6"/>
        <v>153.6</v>
      </c>
      <c r="Z14" s="22"/>
      <c r="AD14" s="3"/>
      <c r="AE14" s="4"/>
    </row>
    <row r="15">
      <c r="B15" s="25"/>
      <c r="C15" s="27"/>
      <c r="D15" s="27"/>
      <c r="E15" s="25"/>
      <c r="F15" s="17">
        <v>7.0</v>
      </c>
      <c r="G15" s="42">
        <f>SUM(9251*0.2)</f>
        <v>1850.2</v>
      </c>
      <c r="H15" s="42">
        <f>SUM(9251*0.8)</f>
        <v>7400.8</v>
      </c>
      <c r="I15" s="42">
        <f t="shared" si="3"/>
        <v>9251</v>
      </c>
      <c r="J15" s="47"/>
      <c r="K15" s="42"/>
      <c r="L15" s="42"/>
      <c r="M15" s="42"/>
      <c r="N15" s="42"/>
      <c r="O15" s="42"/>
      <c r="P15" s="42"/>
      <c r="Q15" s="42"/>
      <c r="R15" s="47"/>
      <c r="S15" s="43"/>
      <c r="T15" s="42"/>
      <c r="U15" s="42"/>
      <c r="V15" s="42"/>
      <c r="W15" s="42"/>
      <c r="X15" s="46">
        <f t="shared" si="4"/>
        <v>18502</v>
      </c>
      <c r="Y15" s="47">
        <f t="shared" si="6"/>
        <v>1184.128</v>
      </c>
      <c r="Z15" s="22"/>
      <c r="AD15" s="3"/>
      <c r="AE15" s="4"/>
    </row>
    <row r="16">
      <c r="B16" s="25"/>
      <c r="C16" s="27"/>
      <c r="D16" s="27"/>
      <c r="E16" s="25"/>
      <c r="F16" s="17">
        <v>8.0</v>
      </c>
      <c r="G16" s="42">
        <f>SUM(8200*0.2)</f>
        <v>1640</v>
      </c>
      <c r="H16" s="42">
        <f>SUM(8200*0.8)</f>
        <v>6560</v>
      </c>
      <c r="I16" s="42">
        <f t="shared" si="3"/>
        <v>8200</v>
      </c>
      <c r="J16" s="47"/>
      <c r="K16" s="47"/>
      <c r="L16" s="42"/>
      <c r="M16" s="42"/>
      <c r="N16" s="42"/>
      <c r="O16" s="42"/>
      <c r="P16" s="42"/>
      <c r="Q16" s="42"/>
      <c r="R16" s="45"/>
      <c r="S16" s="42"/>
      <c r="T16" s="42"/>
      <c r="U16" s="42"/>
      <c r="V16" s="42"/>
      <c r="W16" s="42"/>
      <c r="X16" s="46">
        <f t="shared" si="4"/>
        <v>16400</v>
      </c>
      <c r="Y16" s="47">
        <f t="shared" si="6"/>
        <v>1049.6</v>
      </c>
      <c r="Z16" s="22"/>
      <c r="AD16" s="3"/>
      <c r="AE16" s="4"/>
    </row>
    <row r="17">
      <c r="B17" s="25"/>
      <c r="C17" s="15"/>
      <c r="D17" s="38"/>
      <c r="E17" s="16"/>
      <c r="F17" s="17">
        <v>9.0</v>
      </c>
      <c r="G17" s="104">
        <f t="shared" ref="G17:G18" si="9">SUM(0*0.2)</f>
        <v>0</v>
      </c>
      <c r="H17" s="104">
        <f t="shared" ref="H17:H18" si="10">SUM(0*0.8)</f>
        <v>0</v>
      </c>
      <c r="I17" s="104">
        <f t="shared" si="3"/>
        <v>0</v>
      </c>
      <c r="J17" s="105"/>
      <c r="K17" s="105"/>
      <c r="L17" s="104"/>
      <c r="M17" s="104"/>
      <c r="N17" s="104"/>
      <c r="O17" s="104"/>
      <c r="P17" s="104"/>
      <c r="Q17" s="104"/>
      <c r="R17" s="108"/>
      <c r="S17" s="104"/>
      <c r="T17" s="104"/>
      <c r="U17" s="104"/>
      <c r="V17" s="104"/>
      <c r="W17" s="104"/>
      <c r="X17" s="107">
        <f t="shared" si="4"/>
        <v>0</v>
      </c>
      <c r="Y17" s="105">
        <f t="shared" si="6"/>
        <v>0</v>
      </c>
      <c r="Z17" s="22"/>
      <c r="AD17" s="3"/>
      <c r="AE17" s="4"/>
    </row>
    <row r="18">
      <c r="B18" s="25"/>
      <c r="C18" s="15" t="s">
        <v>26</v>
      </c>
      <c r="D18" s="113" t="s">
        <v>102</v>
      </c>
      <c r="E18" s="16"/>
      <c r="F18" s="17">
        <v>10.0</v>
      </c>
      <c r="G18" s="104">
        <f t="shared" si="9"/>
        <v>0</v>
      </c>
      <c r="H18" s="104">
        <f t="shared" si="10"/>
        <v>0</v>
      </c>
      <c r="I18" s="104">
        <f t="shared" si="3"/>
        <v>0</v>
      </c>
      <c r="J18" s="105"/>
      <c r="K18" s="104"/>
      <c r="L18" s="104"/>
      <c r="M18" s="104"/>
      <c r="N18" s="104"/>
      <c r="O18" s="104"/>
      <c r="P18" s="104"/>
      <c r="Q18" s="104"/>
      <c r="R18" s="105"/>
      <c r="S18" s="106"/>
      <c r="T18" s="104"/>
      <c r="U18" s="104"/>
      <c r="V18" s="104"/>
      <c r="W18" s="104"/>
      <c r="X18" s="107">
        <f t="shared" si="4"/>
        <v>0</v>
      </c>
      <c r="Y18" s="105">
        <f t="shared" si="6"/>
        <v>0</v>
      </c>
      <c r="Z18" s="22"/>
      <c r="AD18" s="3"/>
      <c r="AE18" s="4"/>
    </row>
    <row r="19">
      <c r="B19" s="25"/>
      <c r="C19" s="15"/>
      <c r="D19" s="15"/>
      <c r="E19" s="76"/>
      <c r="F19" s="17">
        <v>11.0</v>
      </c>
      <c r="G19" s="42">
        <f>SUM(8220*0.2)</f>
        <v>1644</v>
      </c>
      <c r="H19" s="42">
        <f>SUM(8220*0.8)</f>
        <v>6576</v>
      </c>
      <c r="I19" s="42">
        <f t="shared" si="3"/>
        <v>8220</v>
      </c>
      <c r="J19" s="47"/>
      <c r="K19" s="47"/>
      <c r="L19" s="42"/>
      <c r="M19" s="42"/>
      <c r="N19" s="42"/>
      <c r="O19" s="42"/>
      <c r="P19" s="42"/>
      <c r="Q19" s="42"/>
      <c r="R19" s="45"/>
      <c r="S19" s="42"/>
      <c r="T19" s="42"/>
      <c r="U19" s="42"/>
      <c r="V19" s="42"/>
      <c r="W19" s="42"/>
      <c r="X19" s="46">
        <f t="shared" si="4"/>
        <v>16440</v>
      </c>
      <c r="Y19" s="47">
        <f t="shared" si="6"/>
        <v>1052.16</v>
      </c>
      <c r="Z19" s="22"/>
      <c r="AD19" s="3"/>
      <c r="AE19" s="4"/>
    </row>
    <row r="20">
      <c r="B20" s="25"/>
      <c r="C20" s="15"/>
      <c r="D20" s="38"/>
      <c r="E20" s="16"/>
      <c r="F20" s="17">
        <v>12.0</v>
      </c>
      <c r="G20" s="42">
        <f>SUM(6410*0.2)</f>
        <v>1282</v>
      </c>
      <c r="H20" s="42">
        <f>SUM(6410*0.8)</f>
        <v>5128</v>
      </c>
      <c r="I20" s="42">
        <f t="shared" si="3"/>
        <v>6410</v>
      </c>
      <c r="J20" s="47"/>
      <c r="K20" s="42"/>
      <c r="L20" s="42"/>
      <c r="M20" s="42"/>
      <c r="N20" s="42"/>
      <c r="O20" s="42"/>
      <c r="P20" s="42"/>
      <c r="Q20" s="42"/>
      <c r="R20" s="47"/>
      <c r="S20" s="43"/>
      <c r="T20" s="42"/>
      <c r="U20" s="42"/>
      <c r="V20" s="42"/>
      <c r="W20" s="42"/>
      <c r="X20" s="46">
        <f t="shared" si="4"/>
        <v>12820</v>
      </c>
      <c r="Y20" s="47">
        <f t="shared" si="6"/>
        <v>820.48</v>
      </c>
      <c r="Z20" s="22"/>
      <c r="AD20" s="3"/>
      <c r="AE20" s="4"/>
    </row>
    <row r="21">
      <c r="B21" s="25"/>
      <c r="C21" s="15"/>
      <c r="D21" s="38"/>
      <c r="E21" s="16"/>
      <c r="F21" s="17">
        <v>13.0</v>
      </c>
      <c r="G21" s="42">
        <f>SUM(4991*0.2)</f>
        <v>998.2</v>
      </c>
      <c r="H21" s="42">
        <f>SUM(4991*0.8)</f>
        <v>3992.8</v>
      </c>
      <c r="I21" s="42">
        <f t="shared" si="3"/>
        <v>4991</v>
      </c>
      <c r="J21" s="47"/>
      <c r="K21" s="47"/>
      <c r="L21" s="42"/>
      <c r="M21" s="42"/>
      <c r="N21" s="42"/>
      <c r="O21" s="42"/>
      <c r="P21" s="42"/>
      <c r="Q21" s="42"/>
      <c r="R21" s="45"/>
      <c r="S21" s="42"/>
      <c r="T21" s="42"/>
      <c r="U21" s="42"/>
      <c r="V21" s="42"/>
      <c r="W21" s="42"/>
      <c r="X21" s="46">
        <f t="shared" si="4"/>
        <v>9982</v>
      </c>
      <c r="Y21" s="47">
        <f t="shared" si="6"/>
        <v>638.848</v>
      </c>
      <c r="Z21" s="22"/>
      <c r="AD21" s="3"/>
      <c r="AE21" s="4"/>
    </row>
    <row r="22">
      <c r="B22" s="25"/>
      <c r="C22" s="27"/>
      <c r="D22" s="27"/>
      <c r="E22" s="25"/>
      <c r="F22" s="17">
        <v>14.0</v>
      </c>
      <c r="G22" s="42">
        <f>SUM(8450*0.2)</f>
        <v>1690</v>
      </c>
      <c r="H22" s="42">
        <f>SUM(8450*0.8)</f>
        <v>6760</v>
      </c>
      <c r="I22" s="42">
        <f t="shared" si="3"/>
        <v>8450</v>
      </c>
      <c r="J22" s="47"/>
      <c r="K22" s="42"/>
      <c r="L22" s="42"/>
      <c r="M22" s="42"/>
      <c r="N22" s="42"/>
      <c r="O22" s="42"/>
      <c r="P22" s="42"/>
      <c r="Q22" s="42"/>
      <c r="R22" s="47"/>
      <c r="S22" s="43"/>
      <c r="T22" s="42"/>
      <c r="U22" s="42"/>
      <c r="V22" s="42"/>
      <c r="W22" s="42"/>
      <c r="X22" s="46">
        <f t="shared" si="4"/>
        <v>16900</v>
      </c>
      <c r="Y22" s="47">
        <f t="shared" si="6"/>
        <v>1081.6</v>
      </c>
      <c r="Z22" s="22"/>
      <c r="AD22" s="3"/>
      <c r="AE22" s="4"/>
    </row>
    <row r="23">
      <c r="B23" s="25"/>
      <c r="C23" s="27"/>
      <c r="D23" s="27"/>
      <c r="E23" s="25"/>
      <c r="F23" s="17">
        <v>15.0</v>
      </c>
      <c r="G23" s="104">
        <f t="shared" ref="G23:G32" si="11">SUM(0*0.2)</f>
        <v>0</v>
      </c>
      <c r="H23" s="104">
        <f t="shared" ref="H23:H32" si="12">SUM(0*0.8)</f>
        <v>0</v>
      </c>
      <c r="I23" s="104">
        <f t="shared" si="3"/>
        <v>0</v>
      </c>
      <c r="J23" s="105"/>
      <c r="K23" s="104"/>
      <c r="L23" s="104"/>
      <c r="M23" s="104"/>
      <c r="N23" s="104"/>
      <c r="O23" s="104"/>
      <c r="P23" s="104"/>
      <c r="Q23" s="104"/>
      <c r="R23" s="105"/>
      <c r="S23" s="106"/>
      <c r="T23" s="104"/>
      <c r="U23" s="104"/>
      <c r="V23" s="104"/>
      <c r="W23" s="104"/>
      <c r="X23" s="107">
        <f t="shared" si="4"/>
        <v>0</v>
      </c>
      <c r="Y23" s="105">
        <f t="shared" si="6"/>
        <v>0</v>
      </c>
      <c r="Z23" s="22" t="s">
        <v>67</v>
      </c>
      <c r="AD23" s="3"/>
      <c r="AE23" s="4"/>
    </row>
    <row r="24">
      <c r="B24" s="25"/>
      <c r="C24" s="15"/>
      <c r="D24" s="15"/>
      <c r="E24" s="16"/>
      <c r="F24" s="17">
        <v>16.0</v>
      </c>
      <c r="G24" s="104">
        <f t="shared" si="11"/>
        <v>0</v>
      </c>
      <c r="H24" s="104">
        <f t="shared" si="12"/>
        <v>0</v>
      </c>
      <c r="I24" s="104">
        <f t="shared" si="3"/>
        <v>0</v>
      </c>
      <c r="J24" s="105"/>
      <c r="K24" s="105"/>
      <c r="L24" s="104"/>
      <c r="M24" s="104"/>
      <c r="N24" s="104"/>
      <c r="O24" s="104"/>
      <c r="P24" s="104"/>
      <c r="Q24" s="104"/>
      <c r="R24" s="108"/>
      <c r="S24" s="104"/>
      <c r="T24" s="104"/>
      <c r="U24" s="104"/>
      <c r="V24" s="104"/>
      <c r="W24" s="104"/>
      <c r="X24" s="107">
        <f t="shared" si="4"/>
        <v>0</v>
      </c>
      <c r="Y24" s="105">
        <f t="shared" si="6"/>
        <v>0</v>
      </c>
      <c r="Z24" s="22"/>
      <c r="AD24" s="3"/>
      <c r="AE24" s="4"/>
    </row>
    <row r="25">
      <c r="B25" s="25"/>
      <c r="C25" s="15"/>
      <c r="D25" s="15"/>
      <c r="E25" s="54"/>
      <c r="F25" s="17">
        <v>17.0</v>
      </c>
      <c r="G25" s="104">
        <f t="shared" si="11"/>
        <v>0</v>
      </c>
      <c r="H25" s="104">
        <f t="shared" si="12"/>
        <v>0</v>
      </c>
      <c r="I25" s="104">
        <f t="shared" si="3"/>
        <v>0</v>
      </c>
      <c r="J25" s="105"/>
      <c r="K25" s="104"/>
      <c r="L25" s="104"/>
      <c r="M25" s="104"/>
      <c r="N25" s="104"/>
      <c r="O25" s="104"/>
      <c r="P25" s="104"/>
      <c r="Q25" s="104"/>
      <c r="R25" s="105"/>
      <c r="S25" s="106"/>
      <c r="T25" s="104"/>
      <c r="U25" s="104"/>
      <c r="V25" s="104"/>
      <c r="W25" s="104"/>
      <c r="X25" s="107">
        <f t="shared" si="4"/>
        <v>0</v>
      </c>
      <c r="Y25" s="105">
        <f t="shared" si="6"/>
        <v>0</v>
      </c>
      <c r="Z25" s="22"/>
      <c r="AD25" s="3"/>
      <c r="AE25" s="4"/>
    </row>
    <row r="26">
      <c r="B26" s="25"/>
      <c r="C26" s="15"/>
      <c r="D26" s="15"/>
      <c r="E26" s="54"/>
      <c r="F26" s="17">
        <v>18.0</v>
      </c>
      <c r="G26" s="109">
        <f t="shared" si="11"/>
        <v>0</v>
      </c>
      <c r="H26" s="109">
        <f t="shared" si="12"/>
        <v>0</v>
      </c>
      <c r="I26" s="109">
        <f t="shared" si="3"/>
        <v>0</v>
      </c>
      <c r="J26" s="110"/>
      <c r="K26" s="110"/>
      <c r="L26" s="109"/>
      <c r="M26" s="109"/>
      <c r="N26" s="109"/>
      <c r="O26" s="109"/>
      <c r="P26" s="109"/>
      <c r="Q26" s="109"/>
      <c r="R26" s="115"/>
      <c r="S26" s="109"/>
      <c r="T26" s="109"/>
      <c r="U26" s="109"/>
      <c r="V26" s="109"/>
      <c r="W26" s="109"/>
      <c r="X26" s="112">
        <f t="shared" si="4"/>
        <v>0</v>
      </c>
      <c r="Y26" s="109">
        <f t="shared" ref="Y26:Y30" si="13">SUM(0*0.2)</f>
        <v>0</v>
      </c>
      <c r="Z26" s="22" t="s">
        <v>103</v>
      </c>
      <c r="AD26" s="3"/>
      <c r="AE26" s="4"/>
    </row>
    <row r="27">
      <c r="B27" s="25"/>
      <c r="C27" s="15"/>
      <c r="D27" s="15"/>
      <c r="E27" s="54"/>
      <c r="F27" s="17">
        <v>19.0</v>
      </c>
      <c r="G27" s="109">
        <f t="shared" si="11"/>
        <v>0</v>
      </c>
      <c r="H27" s="109">
        <f t="shared" si="12"/>
        <v>0</v>
      </c>
      <c r="I27" s="109">
        <f t="shared" si="3"/>
        <v>0</v>
      </c>
      <c r="J27" s="110"/>
      <c r="K27" s="109"/>
      <c r="L27" s="109"/>
      <c r="M27" s="109"/>
      <c r="N27" s="109"/>
      <c r="O27" s="109"/>
      <c r="P27" s="109"/>
      <c r="Q27" s="109"/>
      <c r="R27" s="110"/>
      <c r="S27" s="111"/>
      <c r="T27" s="109"/>
      <c r="U27" s="109"/>
      <c r="V27" s="109"/>
      <c r="W27" s="109"/>
      <c r="X27" s="112">
        <f t="shared" si="4"/>
        <v>0</v>
      </c>
      <c r="Y27" s="109">
        <f t="shared" si="13"/>
        <v>0</v>
      </c>
      <c r="Z27" s="22" t="s">
        <v>103</v>
      </c>
      <c r="AD27" s="3"/>
      <c r="AE27" s="4"/>
    </row>
    <row r="28">
      <c r="B28" s="25"/>
      <c r="C28" s="27"/>
      <c r="D28" s="27"/>
      <c r="E28" s="25"/>
      <c r="F28" s="17">
        <v>20.0</v>
      </c>
      <c r="G28" s="109">
        <f t="shared" si="11"/>
        <v>0</v>
      </c>
      <c r="H28" s="109">
        <f t="shared" si="12"/>
        <v>0</v>
      </c>
      <c r="I28" s="109">
        <f t="shared" si="3"/>
        <v>0</v>
      </c>
      <c r="J28" s="110"/>
      <c r="K28" s="109"/>
      <c r="L28" s="109"/>
      <c r="M28" s="109"/>
      <c r="N28" s="109"/>
      <c r="O28" s="109"/>
      <c r="P28" s="109"/>
      <c r="Q28" s="109"/>
      <c r="R28" s="110"/>
      <c r="S28" s="111"/>
      <c r="T28" s="109"/>
      <c r="U28" s="109"/>
      <c r="V28" s="109"/>
      <c r="W28" s="109"/>
      <c r="X28" s="112">
        <f t="shared" si="4"/>
        <v>0</v>
      </c>
      <c r="Y28" s="109">
        <f t="shared" si="13"/>
        <v>0</v>
      </c>
      <c r="Z28" s="22" t="s">
        <v>103</v>
      </c>
      <c r="AD28" s="3"/>
      <c r="AE28" s="4"/>
    </row>
    <row r="29">
      <c r="B29" s="25"/>
      <c r="C29" s="27"/>
      <c r="D29" s="27"/>
      <c r="E29" s="25"/>
      <c r="F29" s="17">
        <v>21.0</v>
      </c>
      <c r="G29" s="109">
        <f t="shared" si="11"/>
        <v>0</v>
      </c>
      <c r="H29" s="109">
        <f t="shared" si="12"/>
        <v>0</v>
      </c>
      <c r="I29" s="109">
        <f t="shared" si="3"/>
        <v>0</v>
      </c>
      <c r="J29" s="110"/>
      <c r="K29" s="110"/>
      <c r="L29" s="109"/>
      <c r="M29" s="109"/>
      <c r="N29" s="109"/>
      <c r="O29" s="109"/>
      <c r="P29" s="109"/>
      <c r="Q29" s="109"/>
      <c r="R29" s="115"/>
      <c r="S29" s="109"/>
      <c r="T29" s="109"/>
      <c r="U29" s="109"/>
      <c r="V29" s="109"/>
      <c r="W29" s="109"/>
      <c r="X29" s="112">
        <f t="shared" si="4"/>
        <v>0</v>
      </c>
      <c r="Y29" s="109">
        <f t="shared" si="13"/>
        <v>0</v>
      </c>
      <c r="Z29" s="22" t="s">
        <v>103</v>
      </c>
      <c r="AD29" s="3"/>
      <c r="AE29" s="4"/>
    </row>
    <row r="30">
      <c r="B30" s="25"/>
      <c r="C30" s="27"/>
      <c r="D30" s="27"/>
      <c r="E30" s="25"/>
      <c r="F30" s="17">
        <v>22.0</v>
      </c>
      <c r="G30" s="109">
        <f t="shared" si="11"/>
        <v>0</v>
      </c>
      <c r="H30" s="109">
        <f t="shared" si="12"/>
        <v>0</v>
      </c>
      <c r="I30" s="109">
        <f t="shared" si="3"/>
        <v>0</v>
      </c>
      <c r="J30" s="110"/>
      <c r="K30" s="109"/>
      <c r="L30" s="109"/>
      <c r="M30" s="109"/>
      <c r="N30" s="109"/>
      <c r="O30" s="109"/>
      <c r="P30" s="109"/>
      <c r="Q30" s="109"/>
      <c r="R30" s="110"/>
      <c r="S30" s="111"/>
      <c r="T30" s="109"/>
      <c r="U30" s="109"/>
      <c r="V30" s="109"/>
      <c r="W30" s="109"/>
      <c r="X30" s="112">
        <f t="shared" si="4"/>
        <v>0</v>
      </c>
      <c r="Y30" s="109">
        <f t="shared" si="13"/>
        <v>0</v>
      </c>
      <c r="Z30" s="22" t="s">
        <v>103</v>
      </c>
      <c r="AD30" s="3"/>
      <c r="AE30" s="4"/>
    </row>
    <row r="31">
      <c r="B31" s="25"/>
      <c r="C31" s="27"/>
      <c r="D31" s="27"/>
      <c r="E31" s="25"/>
      <c r="F31" s="17">
        <v>23.0</v>
      </c>
      <c r="G31" s="104">
        <f t="shared" si="11"/>
        <v>0</v>
      </c>
      <c r="H31" s="104">
        <f t="shared" si="12"/>
        <v>0</v>
      </c>
      <c r="I31" s="104">
        <f t="shared" si="3"/>
        <v>0</v>
      </c>
      <c r="J31" s="105"/>
      <c r="K31" s="105"/>
      <c r="L31" s="104"/>
      <c r="M31" s="104"/>
      <c r="N31" s="104"/>
      <c r="O31" s="104"/>
      <c r="P31" s="104"/>
      <c r="Q31" s="104"/>
      <c r="R31" s="108"/>
      <c r="S31" s="104"/>
      <c r="T31" s="104"/>
      <c r="U31" s="104"/>
      <c r="V31" s="104"/>
      <c r="W31" s="104"/>
      <c r="X31" s="107">
        <f t="shared" si="4"/>
        <v>0</v>
      </c>
      <c r="Y31" s="105">
        <f t="shared" ref="Y31:Y33" si="14">SUM(G31*0.04)+(H31*0.1)+(J31*27)+(K31*40)+(M31*50)+(O31*350)+(P31*550)+(Q31*160)+(R31*200)+(S31*260)+(T31*330)+(U31*110)+(V31*120)+(W31*0.7)+(I31*0.04)</f>
        <v>0</v>
      </c>
      <c r="Z31" s="22"/>
      <c r="AD31" s="3"/>
      <c r="AE31" s="4"/>
    </row>
    <row r="32">
      <c r="B32" s="25"/>
      <c r="C32" s="27"/>
      <c r="D32" s="27"/>
      <c r="E32" s="25"/>
      <c r="F32" s="17">
        <v>24.0</v>
      </c>
      <c r="G32" s="104">
        <f t="shared" si="11"/>
        <v>0</v>
      </c>
      <c r="H32" s="104">
        <f t="shared" si="12"/>
        <v>0</v>
      </c>
      <c r="I32" s="104">
        <f t="shared" si="3"/>
        <v>0</v>
      </c>
      <c r="J32" s="105"/>
      <c r="K32" s="104"/>
      <c r="L32" s="104"/>
      <c r="M32" s="104"/>
      <c r="N32" s="104"/>
      <c r="O32" s="104"/>
      <c r="P32" s="104"/>
      <c r="Q32" s="104"/>
      <c r="R32" s="105"/>
      <c r="S32" s="106"/>
      <c r="T32" s="104"/>
      <c r="U32" s="104"/>
      <c r="V32" s="104"/>
      <c r="W32" s="104"/>
      <c r="X32" s="107">
        <f t="shared" si="4"/>
        <v>0</v>
      </c>
      <c r="Y32" s="105">
        <f t="shared" si="14"/>
        <v>0</v>
      </c>
      <c r="Z32" s="22"/>
      <c r="AD32" s="3"/>
      <c r="AE32" s="4"/>
    </row>
    <row r="33">
      <c r="B33" s="59"/>
      <c r="C33" s="103" t="s">
        <v>104</v>
      </c>
      <c r="D33" s="60"/>
      <c r="E33" s="59"/>
      <c r="F33" s="17">
        <v>25.0</v>
      </c>
      <c r="G33" s="42">
        <f>SUM(9000*0.2)</f>
        <v>1800</v>
      </c>
      <c r="H33" s="42">
        <f>SUM(9000*0.8)</f>
        <v>7200</v>
      </c>
      <c r="I33" s="42">
        <f t="shared" si="3"/>
        <v>9000</v>
      </c>
      <c r="J33" s="47"/>
      <c r="K33" s="42"/>
      <c r="L33" s="42"/>
      <c r="M33" s="42"/>
      <c r="N33" s="42"/>
      <c r="O33" s="42"/>
      <c r="P33" s="42"/>
      <c r="Q33" s="42"/>
      <c r="R33" s="47"/>
      <c r="S33" s="43"/>
      <c r="T33" s="42"/>
      <c r="U33" s="42"/>
      <c r="V33" s="42"/>
      <c r="W33" s="42"/>
      <c r="X33" s="46">
        <f t="shared" si="4"/>
        <v>18000</v>
      </c>
      <c r="Y33" s="47">
        <f t="shared" si="14"/>
        <v>1152</v>
      </c>
      <c r="Z33" s="22"/>
      <c r="AD33" s="3"/>
      <c r="AE33" s="4"/>
    </row>
    <row r="34">
      <c r="B34" s="1"/>
      <c r="E34" s="1"/>
      <c r="F34" s="2"/>
      <c r="Z34" s="1"/>
      <c r="AD34" s="3"/>
      <c r="AE34" s="4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6.13"/>
    <col customWidth="1" min="4" max="4" width="35.25"/>
    <col customWidth="1" min="5" max="5" width="17.25"/>
    <col customWidth="1" min="6" max="6" width="4.38"/>
    <col customWidth="1" min="7" max="7" width="11.13"/>
    <col customWidth="1" min="8" max="9" width="9.38"/>
    <col customWidth="1" min="10" max="10" width="6.63"/>
    <col customWidth="1" min="11" max="11" width="6.38"/>
    <col customWidth="1" min="12" max="12" width="6.25"/>
    <col customWidth="1" min="13" max="13" width="6.63"/>
    <col customWidth="1" min="14" max="14" width="5.5"/>
    <col customWidth="1" min="15" max="17" width="9.38"/>
    <col customWidth="1" min="18" max="18" width="7.5"/>
    <col customWidth="1" min="19" max="22" width="9.38"/>
    <col customWidth="1" min="23" max="23" width="7.25"/>
    <col customWidth="1" min="25" max="25" width="7.63"/>
    <col customWidth="1" min="26" max="26" width="25.63"/>
    <col customWidth="1" min="27" max="27" width="25.13"/>
    <col customWidth="1" min="28" max="28" width="12.25"/>
    <col customWidth="1" min="29" max="29" width="3.0"/>
    <col customWidth="1" min="30" max="30" width="15.25"/>
    <col customWidth="1" min="31" max="31" width="11.25"/>
  </cols>
  <sheetData>
    <row r="1" ht="27.0" customHeight="1">
      <c r="B1" s="1"/>
      <c r="E1" s="1"/>
      <c r="F1" s="2"/>
      <c r="Z1" s="1"/>
      <c r="AD1" s="3"/>
      <c r="AE1" s="4"/>
    </row>
    <row r="2" ht="19.5" customHeight="1">
      <c r="A2" s="5"/>
      <c r="B2" s="6" t="s">
        <v>0</v>
      </c>
      <c r="C2" s="6" t="s">
        <v>37</v>
      </c>
      <c r="D2" s="6" t="s">
        <v>38</v>
      </c>
      <c r="E2" s="6" t="s">
        <v>3</v>
      </c>
      <c r="F2" s="7" t="s">
        <v>4</v>
      </c>
      <c r="G2" s="8" t="s">
        <v>5</v>
      </c>
      <c r="H2" s="8" t="s">
        <v>56</v>
      </c>
      <c r="I2" s="8" t="s">
        <v>52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8" t="s">
        <v>105</v>
      </c>
      <c r="R2" s="8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7" t="s">
        <v>22</v>
      </c>
      <c r="Y2" s="7" t="s">
        <v>23</v>
      </c>
      <c r="Z2" s="10"/>
      <c r="AA2" s="11"/>
      <c r="AB2" s="11"/>
      <c r="AC2" s="11"/>
      <c r="AD2" s="12"/>
      <c r="AE2" s="13"/>
      <c r="AF2" s="11"/>
      <c r="AG2" s="11"/>
      <c r="AH2" s="11"/>
      <c r="AI2" s="11"/>
      <c r="AJ2" s="11"/>
      <c r="AK2" s="11"/>
    </row>
    <row r="3">
      <c r="B3" s="14"/>
      <c r="C3" s="15" t="s">
        <v>104</v>
      </c>
      <c r="D3" s="15"/>
      <c r="E3" s="16"/>
      <c r="F3" s="17">
        <v>26.0</v>
      </c>
      <c r="G3" s="42">
        <f>SUM(8100*0.2)</f>
        <v>1620</v>
      </c>
      <c r="H3" s="42">
        <f>SUM(8100*0.8)</f>
        <v>6480</v>
      </c>
      <c r="I3" s="42">
        <f t="shared" ref="I3:I33" si="1">SUM(G3+H3)</f>
        <v>8100</v>
      </c>
      <c r="J3" s="47"/>
      <c r="K3" s="42"/>
      <c r="L3" s="42"/>
      <c r="M3" s="42"/>
      <c r="N3" s="42"/>
      <c r="O3" s="42"/>
      <c r="P3" s="42"/>
      <c r="Q3" s="42"/>
      <c r="R3" s="47"/>
      <c r="S3" s="43"/>
      <c r="T3" s="42"/>
      <c r="U3" s="42"/>
      <c r="V3" s="42"/>
      <c r="W3" s="42"/>
      <c r="X3" s="46">
        <f t="shared" ref="X3:X33" si="2">SUM(G3:W3)</f>
        <v>16200</v>
      </c>
      <c r="Y3" s="47">
        <f t="shared" ref="Y3:Y5" si="3">SUM(G3*0.08)+(H3*0.14)+(J3*27)+(K3*40)+(M3*50)+(O3*350)+(P3*550)+(Q3*160)+(R3*200)+(S3*260)+(T3*330)+(U3*110)+(V3*120)+(W3*0.7)+(I3*0.04)</f>
        <v>1360.8</v>
      </c>
      <c r="Z3" s="22"/>
      <c r="AA3" s="23" t="s">
        <v>24</v>
      </c>
      <c r="AB3" s="24">
        <f>SUM(Y3:Y33)</f>
        <v>37717</v>
      </c>
      <c r="AD3" s="3"/>
      <c r="AE3" s="4"/>
    </row>
    <row r="4">
      <c r="B4" s="25"/>
      <c r="C4" s="15" t="s">
        <v>104</v>
      </c>
      <c r="D4" s="15"/>
      <c r="E4" s="16"/>
      <c r="F4" s="17">
        <v>27.0</v>
      </c>
      <c r="G4" s="42">
        <f>SUM(8000*0.2)</f>
        <v>1600</v>
      </c>
      <c r="H4" s="42">
        <f>SUM(8000*0.8)</f>
        <v>6400</v>
      </c>
      <c r="I4" s="42">
        <f t="shared" si="1"/>
        <v>8000</v>
      </c>
      <c r="J4" s="47"/>
      <c r="K4" s="47"/>
      <c r="L4" s="42"/>
      <c r="M4" s="42"/>
      <c r="N4" s="42"/>
      <c r="O4" s="42"/>
      <c r="P4" s="42"/>
      <c r="Q4" s="42"/>
      <c r="R4" s="45"/>
      <c r="S4" s="42"/>
      <c r="T4" s="42"/>
      <c r="U4" s="42"/>
      <c r="V4" s="42"/>
      <c r="W4" s="42"/>
      <c r="X4" s="46">
        <f t="shared" si="2"/>
        <v>16000</v>
      </c>
      <c r="Y4" s="47">
        <f t="shared" si="3"/>
        <v>1344</v>
      </c>
      <c r="Z4" s="22"/>
      <c r="AD4" s="3"/>
      <c r="AE4" s="4"/>
    </row>
    <row r="5">
      <c r="B5" s="25"/>
      <c r="C5" s="15" t="s">
        <v>104</v>
      </c>
      <c r="D5" s="15"/>
      <c r="E5" s="16"/>
      <c r="F5" s="17">
        <v>28.0</v>
      </c>
      <c r="G5" s="42">
        <f>SUM(7000*0.2)</f>
        <v>1400</v>
      </c>
      <c r="H5" s="42">
        <f>SUM(7000*0.8)</f>
        <v>5600</v>
      </c>
      <c r="I5" s="42">
        <f t="shared" si="1"/>
        <v>7000</v>
      </c>
      <c r="J5" s="47"/>
      <c r="K5" s="42"/>
      <c r="L5" s="42"/>
      <c r="M5" s="42"/>
      <c r="N5" s="42"/>
      <c r="O5" s="42"/>
      <c r="P5" s="42"/>
      <c r="Q5" s="42"/>
      <c r="R5" s="47"/>
      <c r="S5" s="43"/>
      <c r="T5" s="42"/>
      <c r="U5" s="42"/>
      <c r="V5" s="42"/>
      <c r="W5" s="42"/>
      <c r="X5" s="46">
        <f t="shared" si="2"/>
        <v>14000</v>
      </c>
      <c r="Y5" s="47">
        <f t="shared" si="3"/>
        <v>1176</v>
      </c>
      <c r="Z5" s="22"/>
      <c r="AD5" s="3"/>
      <c r="AE5" s="4"/>
    </row>
    <row r="6">
      <c r="B6" s="25"/>
      <c r="C6" s="15" t="s">
        <v>104</v>
      </c>
      <c r="D6" s="15"/>
      <c r="E6" s="16"/>
      <c r="F6" s="17">
        <v>29.0</v>
      </c>
      <c r="G6" s="42">
        <f>SUM(7200*0.2)</f>
        <v>1440</v>
      </c>
      <c r="H6" s="42">
        <f>SUM(7200*0.8)</f>
        <v>5760</v>
      </c>
      <c r="I6" s="42">
        <f t="shared" si="1"/>
        <v>7200</v>
      </c>
      <c r="J6" s="47"/>
      <c r="K6" s="47"/>
      <c r="L6" s="42"/>
      <c r="M6" s="42"/>
      <c r="N6" s="42"/>
      <c r="O6" s="42"/>
      <c r="P6" s="42"/>
      <c r="Q6" s="42"/>
      <c r="R6" s="45"/>
      <c r="S6" s="42"/>
      <c r="T6" s="42"/>
      <c r="U6" s="42"/>
      <c r="V6" s="42"/>
      <c r="W6" s="42"/>
      <c r="X6" s="46">
        <f t="shared" si="2"/>
        <v>14400</v>
      </c>
      <c r="Y6" s="47">
        <f t="shared" ref="Y6:Y27" si="4">SUM(G6*0.04)+(H6*0.1)+(J6*27)+(K6*40)+(M6*50)+(O6*350)+(P6*550)+(Q6*160)+(R6*200)+(S6*260)+(T6*330)+(U6*110)+(V6*120)+(W6*0.7)+(I6*0.04)</f>
        <v>921.6</v>
      </c>
      <c r="Z6" s="22"/>
      <c r="AD6" s="3"/>
      <c r="AE6" s="4"/>
    </row>
    <row r="7">
      <c r="B7" s="25"/>
      <c r="C7" s="15"/>
      <c r="D7" s="15"/>
      <c r="E7" s="25"/>
      <c r="F7" s="17">
        <v>30.0</v>
      </c>
      <c r="G7" s="116">
        <f t="shared" ref="G7:G12" si="5">SUM(0*0.2)</f>
        <v>0</v>
      </c>
      <c r="H7" s="116">
        <f t="shared" ref="H7:H12" si="6">SUM(0*0.8)</f>
        <v>0</v>
      </c>
      <c r="I7" s="116">
        <f t="shared" si="1"/>
        <v>0</v>
      </c>
      <c r="J7" s="117"/>
      <c r="K7" s="116"/>
      <c r="L7" s="116"/>
      <c r="M7" s="116"/>
      <c r="N7" s="116"/>
      <c r="O7" s="116"/>
      <c r="P7" s="116"/>
      <c r="Q7" s="116"/>
      <c r="R7" s="117"/>
      <c r="S7" s="118"/>
      <c r="T7" s="116"/>
      <c r="U7" s="116"/>
      <c r="V7" s="116"/>
      <c r="W7" s="116"/>
      <c r="X7" s="119">
        <f t="shared" si="2"/>
        <v>0</v>
      </c>
      <c r="Y7" s="117">
        <f t="shared" si="4"/>
        <v>0</v>
      </c>
      <c r="Z7" s="22"/>
      <c r="AD7" s="3"/>
      <c r="AE7" s="4"/>
    </row>
    <row r="8">
      <c r="B8" s="25"/>
      <c r="C8" s="15"/>
      <c r="D8" s="15"/>
      <c r="E8" s="25"/>
      <c r="F8" s="17">
        <v>31.0</v>
      </c>
      <c r="G8" s="116">
        <f t="shared" si="5"/>
        <v>0</v>
      </c>
      <c r="H8" s="116">
        <f t="shared" si="6"/>
        <v>0</v>
      </c>
      <c r="I8" s="116">
        <f t="shared" si="1"/>
        <v>0</v>
      </c>
      <c r="J8" s="117"/>
      <c r="K8" s="116"/>
      <c r="L8" s="116"/>
      <c r="M8" s="116"/>
      <c r="N8" s="116"/>
      <c r="O8" s="116"/>
      <c r="P8" s="116"/>
      <c r="Q8" s="116"/>
      <c r="R8" s="117"/>
      <c r="S8" s="118"/>
      <c r="T8" s="116"/>
      <c r="U8" s="116"/>
      <c r="V8" s="116"/>
      <c r="W8" s="116"/>
      <c r="X8" s="119">
        <f t="shared" si="2"/>
        <v>0</v>
      </c>
      <c r="Y8" s="117">
        <f t="shared" si="4"/>
        <v>0</v>
      </c>
      <c r="Z8" s="22"/>
      <c r="AD8" s="3"/>
      <c r="AE8" s="4"/>
    </row>
    <row r="9">
      <c r="B9" s="25"/>
      <c r="C9" s="38" t="s">
        <v>106</v>
      </c>
      <c r="D9" s="120" t="s">
        <v>107</v>
      </c>
      <c r="E9" s="36"/>
      <c r="F9" s="17">
        <v>1.0</v>
      </c>
      <c r="G9" s="42">
        <f t="shared" si="5"/>
        <v>0</v>
      </c>
      <c r="H9" s="42">
        <f t="shared" si="6"/>
        <v>0</v>
      </c>
      <c r="I9" s="42">
        <f t="shared" si="1"/>
        <v>0</v>
      </c>
      <c r="J9" s="44">
        <v>60.0</v>
      </c>
      <c r="K9" s="47"/>
      <c r="L9" s="42"/>
      <c r="M9" s="42"/>
      <c r="N9" s="42"/>
      <c r="O9" s="42"/>
      <c r="P9" s="42"/>
      <c r="Q9" s="43">
        <v>4.0</v>
      </c>
      <c r="R9" s="45"/>
      <c r="S9" s="42"/>
      <c r="T9" s="42"/>
      <c r="U9" s="42"/>
      <c r="V9" s="42"/>
      <c r="W9" s="42"/>
      <c r="X9" s="46">
        <f t="shared" si="2"/>
        <v>64</v>
      </c>
      <c r="Y9" s="47">
        <f t="shared" si="4"/>
        <v>2260</v>
      </c>
      <c r="Z9" s="22"/>
      <c r="AA9" s="29"/>
      <c r="AD9" s="3"/>
      <c r="AE9" s="4"/>
    </row>
    <row r="10">
      <c r="B10" s="25"/>
      <c r="C10" s="38" t="s">
        <v>106</v>
      </c>
      <c r="D10" s="120" t="s">
        <v>107</v>
      </c>
      <c r="E10" s="36"/>
      <c r="F10" s="17">
        <v>2.0</v>
      </c>
      <c r="G10" s="42">
        <f t="shared" si="5"/>
        <v>0</v>
      </c>
      <c r="H10" s="42">
        <f t="shared" si="6"/>
        <v>0</v>
      </c>
      <c r="I10" s="42">
        <f t="shared" si="1"/>
        <v>0</v>
      </c>
      <c r="J10" s="44">
        <v>51.0</v>
      </c>
      <c r="K10" s="42"/>
      <c r="L10" s="42"/>
      <c r="M10" s="42"/>
      <c r="N10" s="42"/>
      <c r="O10" s="42"/>
      <c r="P10" s="42"/>
      <c r="Q10" s="43">
        <v>11.0</v>
      </c>
      <c r="R10" s="47"/>
      <c r="S10" s="43"/>
      <c r="T10" s="42"/>
      <c r="U10" s="42"/>
      <c r="V10" s="42"/>
      <c r="W10" s="42"/>
      <c r="X10" s="46">
        <f t="shared" si="2"/>
        <v>62</v>
      </c>
      <c r="Y10" s="47">
        <f t="shared" si="4"/>
        <v>3137</v>
      </c>
      <c r="Z10" s="22"/>
      <c r="AD10" s="3"/>
      <c r="AE10" s="4"/>
    </row>
    <row r="11">
      <c r="B11" s="25"/>
      <c r="C11" s="38" t="s">
        <v>106</v>
      </c>
      <c r="D11" s="120" t="s">
        <v>107</v>
      </c>
      <c r="E11" s="36"/>
      <c r="F11" s="17">
        <v>3.0</v>
      </c>
      <c r="G11" s="42">
        <f t="shared" si="5"/>
        <v>0</v>
      </c>
      <c r="H11" s="42">
        <f t="shared" si="6"/>
        <v>0</v>
      </c>
      <c r="I11" s="42">
        <f t="shared" si="1"/>
        <v>0</v>
      </c>
      <c r="J11" s="44">
        <v>107.0</v>
      </c>
      <c r="K11" s="47"/>
      <c r="L11" s="42"/>
      <c r="M11" s="42"/>
      <c r="N11" s="42"/>
      <c r="O11" s="42"/>
      <c r="P11" s="42"/>
      <c r="Q11" s="43">
        <v>3.0</v>
      </c>
      <c r="R11" s="45"/>
      <c r="S11" s="42"/>
      <c r="T11" s="42"/>
      <c r="U11" s="42"/>
      <c r="V11" s="42"/>
      <c r="W11" s="42"/>
      <c r="X11" s="46">
        <f t="shared" si="2"/>
        <v>110</v>
      </c>
      <c r="Y11" s="47">
        <f t="shared" si="4"/>
        <v>3369</v>
      </c>
      <c r="Z11" s="22"/>
      <c r="AD11" s="3"/>
      <c r="AE11" s="4"/>
    </row>
    <row r="12">
      <c r="B12" s="25"/>
      <c r="C12" s="38" t="s">
        <v>106</v>
      </c>
      <c r="D12" s="120" t="s">
        <v>107</v>
      </c>
      <c r="E12" s="33"/>
      <c r="F12" s="17">
        <v>4.0</v>
      </c>
      <c r="G12" s="42">
        <f t="shared" si="5"/>
        <v>0</v>
      </c>
      <c r="H12" s="42">
        <f t="shared" si="6"/>
        <v>0</v>
      </c>
      <c r="I12" s="42">
        <f t="shared" si="1"/>
        <v>0</v>
      </c>
      <c r="J12" s="44">
        <v>221.0</v>
      </c>
      <c r="K12" s="42"/>
      <c r="L12" s="42"/>
      <c r="M12" s="42"/>
      <c r="N12" s="42"/>
      <c r="O12" s="42"/>
      <c r="P12" s="42"/>
      <c r="Q12" s="43">
        <v>4.0</v>
      </c>
      <c r="R12" s="47"/>
      <c r="S12" s="43"/>
      <c r="T12" s="42"/>
      <c r="U12" s="42"/>
      <c r="V12" s="42"/>
      <c r="W12" s="42"/>
      <c r="X12" s="46">
        <f t="shared" si="2"/>
        <v>225</v>
      </c>
      <c r="Y12" s="47">
        <f t="shared" si="4"/>
        <v>6607</v>
      </c>
      <c r="Z12" s="22"/>
      <c r="AD12" s="3"/>
      <c r="AE12" s="4"/>
    </row>
    <row r="13">
      <c r="B13" s="25"/>
      <c r="C13" s="38" t="s">
        <v>104</v>
      </c>
      <c r="D13" s="121" t="s">
        <v>108</v>
      </c>
      <c r="E13" s="33"/>
      <c r="F13" s="17">
        <v>5.0</v>
      </c>
      <c r="G13" s="42">
        <f>SUM(9100*0.2)</f>
        <v>1820</v>
      </c>
      <c r="H13" s="42">
        <f>SUM(9100*0.8)</f>
        <v>7280</v>
      </c>
      <c r="I13" s="42">
        <f t="shared" si="1"/>
        <v>9100</v>
      </c>
      <c r="J13" s="47"/>
      <c r="K13" s="42"/>
      <c r="L13" s="42"/>
      <c r="M13" s="42"/>
      <c r="N13" s="42"/>
      <c r="O13" s="42"/>
      <c r="P13" s="42"/>
      <c r="Q13" s="42"/>
      <c r="R13" s="47"/>
      <c r="S13" s="43"/>
      <c r="T13" s="42"/>
      <c r="U13" s="42"/>
      <c r="V13" s="42"/>
      <c r="W13" s="42"/>
      <c r="X13" s="46">
        <f t="shared" si="2"/>
        <v>18200</v>
      </c>
      <c r="Y13" s="47">
        <f t="shared" si="4"/>
        <v>1164.8</v>
      </c>
      <c r="Z13" s="22"/>
      <c r="AD13" s="3"/>
      <c r="AE13" s="4"/>
    </row>
    <row r="14">
      <c r="B14" s="25"/>
      <c r="C14" s="38"/>
      <c r="D14" s="120"/>
      <c r="E14" s="36"/>
      <c r="F14" s="17">
        <v>6.0</v>
      </c>
      <c r="G14" s="122">
        <f t="shared" ref="G14:G15" si="7">SUM(0*0.2)</f>
        <v>0</v>
      </c>
      <c r="H14" s="122">
        <f t="shared" ref="H14:H15" si="8">SUM(0*0.8)</f>
        <v>0</v>
      </c>
      <c r="I14" s="122">
        <f t="shared" si="1"/>
        <v>0</v>
      </c>
      <c r="J14" s="123"/>
      <c r="K14" s="123"/>
      <c r="L14" s="122"/>
      <c r="M14" s="122"/>
      <c r="N14" s="122"/>
      <c r="O14" s="122"/>
      <c r="P14" s="122"/>
      <c r="Q14" s="122"/>
      <c r="R14" s="124"/>
      <c r="S14" s="122"/>
      <c r="T14" s="122"/>
      <c r="U14" s="122"/>
      <c r="V14" s="122"/>
      <c r="W14" s="122"/>
      <c r="X14" s="125">
        <f t="shared" si="2"/>
        <v>0</v>
      </c>
      <c r="Y14" s="123">
        <f t="shared" si="4"/>
        <v>0</v>
      </c>
      <c r="Z14" s="22"/>
      <c r="AD14" s="3"/>
      <c r="AE14" s="4"/>
    </row>
    <row r="15">
      <c r="B15" s="25"/>
      <c r="C15" s="126"/>
      <c r="D15" s="127"/>
      <c r="E15" s="36"/>
      <c r="F15" s="17">
        <v>7.0</v>
      </c>
      <c r="G15" s="122">
        <f t="shared" si="7"/>
        <v>0</v>
      </c>
      <c r="H15" s="122">
        <f t="shared" si="8"/>
        <v>0</v>
      </c>
      <c r="I15" s="122">
        <f t="shared" si="1"/>
        <v>0</v>
      </c>
      <c r="J15" s="123"/>
      <c r="K15" s="122"/>
      <c r="L15" s="122"/>
      <c r="M15" s="122"/>
      <c r="N15" s="122"/>
      <c r="O15" s="122"/>
      <c r="P15" s="122"/>
      <c r="Q15" s="122"/>
      <c r="R15" s="123"/>
      <c r="S15" s="128"/>
      <c r="T15" s="122"/>
      <c r="U15" s="122"/>
      <c r="V15" s="122"/>
      <c r="W15" s="122"/>
      <c r="X15" s="125">
        <f t="shared" si="2"/>
        <v>0</v>
      </c>
      <c r="Y15" s="123">
        <f t="shared" si="4"/>
        <v>0</v>
      </c>
      <c r="Z15" s="22"/>
      <c r="AD15" s="3"/>
      <c r="AE15" s="4"/>
    </row>
    <row r="16">
      <c r="B16" s="25"/>
      <c r="C16" s="126"/>
      <c r="D16" s="127"/>
      <c r="E16" s="36"/>
      <c r="F16" s="17">
        <v>8.0</v>
      </c>
      <c r="G16" s="42">
        <f>SUM(7000*0.2)</f>
        <v>1400</v>
      </c>
      <c r="H16" s="42">
        <f>SUM(7000*0.8)</f>
        <v>5600</v>
      </c>
      <c r="I16" s="42">
        <f t="shared" si="1"/>
        <v>7000</v>
      </c>
      <c r="J16" s="47"/>
      <c r="K16" s="47"/>
      <c r="L16" s="42"/>
      <c r="M16" s="42"/>
      <c r="N16" s="42"/>
      <c r="O16" s="42"/>
      <c r="P16" s="42"/>
      <c r="Q16" s="42"/>
      <c r="R16" s="45"/>
      <c r="S16" s="42"/>
      <c r="T16" s="42"/>
      <c r="U16" s="42"/>
      <c r="V16" s="42"/>
      <c r="W16" s="42"/>
      <c r="X16" s="46">
        <f t="shared" si="2"/>
        <v>14000</v>
      </c>
      <c r="Y16" s="47">
        <f t="shared" si="4"/>
        <v>896</v>
      </c>
      <c r="Z16" s="22"/>
      <c r="AD16" s="3"/>
      <c r="AE16" s="4"/>
    </row>
    <row r="17">
      <c r="B17" s="25"/>
      <c r="C17" s="38"/>
      <c r="D17" s="120"/>
      <c r="E17" s="40"/>
      <c r="F17" s="17">
        <v>9.0</v>
      </c>
      <c r="G17" s="129">
        <f>SUM(0*0.2)</f>
        <v>0</v>
      </c>
      <c r="H17" s="129">
        <f>SUM(0*0.8)</f>
        <v>0</v>
      </c>
      <c r="I17" s="129">
        <f t="shared" si="1"/>
        <v>0</v>
      </c>
      <c r="J17" s="130"/>
      <c r="K17" s="130"/>
      <c r="L17" s="129"/>
      <c r="M17" s="129"/>
      <c r="N17" s="129"/>
      <c r="O17" s="129"/>
      <c r="P17" s="129"/>
      <c r="Q17" s="129"/>
      <c r="R17" s="131"/>
      <c r="S17" s="129"/>
      <c r="T17" s="129"/>
      <c r="U17" s="129"/>
      <c r="V17" s="129"/>
      <c r="W17" s="129"/>
      <c r="X17" s="132">
        <f t="shared" si="2"/>
        <v>0</v>
      </c>
      <c r="Y17" s="130">
        <f t="shared" si="4"/>
        <v>0</v>
      </c>
      <c r="Z17" s="22" t="s">
        <v>55</v>
      </c>
      <c r="AD17" s="3"/>
      <c r="AE17" s="4"/>
    </row>
    <row r="18">
      <c r="B18" s="25"/>
      <c r="C18" s="38"/>
      <c r="D18" s="133"/>
      <c r="E18" s="40"/>
      <c r="F18" s="17">
        <v>10.0</v>
      </c>
      <c r="G18" s="42">
        <f>SUM(12600*0.2)</f>
        <v>2520</v>
      </c>
      <c r="H18" s="42">
        <f>SUM(12600*0.8)</f>
        <v>10080</v>
      </c>
      <c r="I18" s="42">
        <f t="shared" si="1"/>
        <v>12600</v>
      </c>
      <c r="J18" s="47"/>
      <c r="K18" s="42"/>
      <c r="L18" s="42"/>
      <c r="M18" s="42"/>
      <c r="N18" s="42"/>
      <c r="O18" s="42"/>
      <c r="P18" s="42"/>
      <c r="Q18" s="42"/>
      <c r="R18" s="47"/>
      <c r="S18" s="43"/>
      <c r="T18" s="42"/>
      <c r="U18" s="42"/>
      <c r="V18" s="42"/>
      <c r="W18" s="42"/>
      <c r="X18" s="46">
        <f t="shared" si="2"/>
        <v>25200</v>
      </c>
      <c r="Y18" s="47">
        <f t="shared" si="4"/>
        <v>1612.8</v>
      </c>
      <c r="Z18" s="22"/>
      <c r="AD18" s="3"/>
      <c r="AE18" s="4"/>
    </row>
    <row r="19">
      <c r="B19" s="25"/>
      <c r="C19" s="38"/>
      <c r="D19" s="120"/>
      <c r="E19" s="41"/>
      <c r="F19" s="17">
        <v>11.0</v>
      </c>
      <c r="G19" s="109">
        <f t="shared" ref="G19:G22" si="9">SUM(0*0.2)</f>
        <v>0</v>
      </c>
      <c r="H19" s="109">
        <f t="shared" ref="H19:H22" si="10">SUM(0*0.8)</f>
        <v>0</v>
      </c>
      <c r="I19" s="109">
        <f t="shared" si="1"/>
        <v>0</v>
      </c>
      <c r="J19" s="110"/>
      <c r="K19" s="110"/>
      <c r="L19" s="109"/>
      <c r="M19" s="109"/>
      <c r="N19" s="109"/>
      <c r="O19" s="109"/>
      <c r="P19" s="109"/>
      <c r="Q19" s="109"/>
      <c r="R19" s="115"/>
      <c r="S19" s="109"/>
      <c r="T19" s="109"/>
      <c r="U19" s="109"/>
      <c r="V19" s="109"/>
      <c r="W19" s="109"/>
      <c r="X19" s="112">
        <f t="shared" si="2"/>
        <v>0</v>
      </c>
      <c r="Y19" s="110">
        <f t="shared" si="4"/>
        <v>0</v>
      </c>
      <c r="Z19" s="22" t="s">
        <v>109</v>
      </c>
      <c r="AD19" s="3"/>
      <c r="AE19" s="4"/>
    </row>
    <row r="20">
      <c r="B20" s="25"/>
      <c r="C20" s="38"/>
      <c r="D20" s="120"/>
      <c r="E20" s="40"/>
      <c r="F20" s="17">
        <v>12.0</v>
      </c>
      <c r="G20" s="109">
        <f t="shared" si="9"/>
        <v>0</v>
      </c>
      <c r="H20" s="109">
        <f t="shared" si="10"/>
        <v>0</v>
      </c>
      <c r="I20" s="109">
        <f t="shared" si="1"/>
        <v>0</v>
      </c>
      <c r="J20" s="110"/>
      <c r="K20" s="109"/>
      <c r="L20" s="109"/>
      <c r="M20" s="109"/>
      <c r="N20" s="109"/>
      <c r="O20" s="109"/>
      <c r="P20" s="109"/>
      <c r="Q20" s="109"/>
      <c r="R20" s="110"/>
      <c r="S20" s="111"/>
      <c r="T20" s="109"/>
      <c r="U20" s="109"/>
      <c r="V20" s="109"/>
      <c r="W20" s="109"/>
      <c r="X20" s="112">
        <f t="shared" si="2"/>
        <v>0</v>
      </c>
      <c r="Y20" s="110">
        <f t="shared" si="4"/>
        <v>0</v>
      </c>
      <c r="Z20" s="22" t="s">
        <v>109</v>
      </c>
      <c r="AD20" s="3"/>
      <c r="AE20" s="4"/>
    </row>
    <row r="21">
      <c r="B21" s="25"/>
      <c r="C21" s="38"/>
      <c r="D21" s="120"/>
      <c r="E21" s="40"/>
      <c r="F21" s="17">
        <v>13.0</v>
      </c>
      <c r="G21" s="122">
        <f t="shared" si="9"/>
        <v>0</v>
      </c>
      <c r="H21" s="122">
        <f t="shared" si="10"/>
        <v>0</v>
      </c>
      <c r="I21" s="122">
        <f t="shared" si="1"/>
        <v>0</v>
      </c>
      <c r="J21" s="123"/>
      <c r="K21" s="123"/>
      <c r="L21" s="122"/>
      <c r="M21" s="122"/>
      <c r="N21" s="122"/>
      <c r="O21" s="122"/>
      <c r="P21" s="122"/>
      <c r="Q21" s="122"/>
      <c r="R21" s="124"/>
      <c r="S21" s="122"/>
      <c r="T21" s="122"/>
      <c r="U21" s="122"/>
      <c r="V21" s="122"/>
      <c r="W21" s="122"/>
      <c r="X21" s="125">
        <f t="shared" si="2"/>
        <v>0</v>
      </c>
      <c r="Y21" s="123">
        <f t="shared" si="4"/>
        <v>0</v>
      </c>
      <c r="Z21" s="22"/>
      <c r="AD21" s="3"/>
      <c r="AE21" s="4"/>
    </row>
    <row r="22">
      <c r="B22" s="25"/>
      <c r="C22" s="126"/>
      <c r="D22" s="127"/>
      <c r="E22" s="36"/>
      <c r="F22" s="17">
        <v>14.0</v>
      </c>
      <c r="G22" s="122">
        <f t="shared" si="9"/>
        <v>0</v>
      </c>
      <c r="H22" s="122">
        <f t="shared" si="10"/>
        <v>0</v>
      </c>
      <c r="I22" s="122">
        <f t="shared" si="1"/>
        <v>0</v>
      </c>
      <c r="J22" s="123"/>
      <c r="K22" s="122"/>
      <c r="L22" s="122"/>
      <c r="M22" s="122"/>
      <c r="N22" s="122"/>
      <c r="O22" s="122"/>
      <c r="P22" s="122"/>
      <c r="Q22" s="122"/>
      <c r="R22" s="123"/>
      <c r="S22" s="128"/>
      <c r="T22" s="122"/>
      <c r="U22" s="122"/>
      <c r="V22" s="122"/>
      <c r="W22" s="122"/>
      <c r="X22" s="125">
        <f t="shared" si="2"/>
        <v>0</v>
      </c>
      <c r="Y22" s="123">
        <f t="shared" si="4"/>
        <v>0</v>
      </c>
      <c r="Z22" s="22"/>
      <c r="AD22" s="3"/>
      <c r="AE22" s="4"/>
    </row>
    <row r="23">
      <c r="B23" s="25"/>
      <c r="C23" s="27"/>
      <c r="D23" s="27"/>
      <c r="E23" s="25"/>
      <c r="F23" s="17">
        <v>15.0</v>
      </c>
      <c r="G23" s="42">
        <f>SUM(6000*0.2)</f>
        <v>1200</v>
      </c>
      <c r="H23" s="42">
        <f>SUM(6000*0.8)</f>
        <v>4800</v>
      </c>
      <c r="I23" s="42">
        <f t="shared" si="1"/>
        <v>6000</v>
      </c>
      <c r="J23" s="47"/>
      <c r="K23" s="42"/>
      <c r="L23" s="42"/>
      <c r="M23" s="42"/>
      <c r="N23" s="42"/>
      <c r="O23" s="42"/>
      <c r="P23" s="42"/>
      <c r="Q23" s="42"/>
      <c r="R23" s="47"/>
      <c r="S23" s="43"/>
      <c r="T23" s="42"/>
      <c r="U23" s="42"/>
      <c r="V23" s="42"/>
      <c r="W23" s="42"/>
      <c r="X23" s="46">
        <f t="shared" si="2"/>
        <v>12000</v>
      </c>
      <c r="Y23" s="47">
        <f t="shared" si="4"/>
        <v>768</v>
      </c>
      <c r="Z23" s="22"/>
      <c r="AD23" s="3"/>
      <c r="AE23" s="4"/>
    </row>
    <row r="24">
      <c r="B24" s="25"/>
      <c r="C24" s="15"/>
      <c r="D24" s="15"/>
      <c r="E24" s="16"/>
      <c r="F24" s="17">
        <v>16.0</v>
      </c>
      <c r="G24" s="42">
        <f>SUM(9000*0.2)</f>
        <v>1800</v>
      </c>
      <c r="H24" s="42">
        <f>SUM(9000*0.8)</f>
        <v>7200</v>
      </c>
      <c r="I24" s="42">
        <f t="shared" si="1"/>
        <v>9000</v>
      </c>
      <c r="J24" s="47"/>
      <c r="K24" s="47"/>
      <c r="L24" s="42"/>
      <c r="M24" s="42"/>
      <c r="N24" s="42"/>
      <c r="O24" s="42"/>
      <c r="P24" s="42"/>
      <c r="Q24" s="42"/>
      <c r="R24" s="45"/>
      <c r="S24" s="42"/>
      <c r="T24" s="42"/>
      <c r="U24" s="42"/>
      <c r="V24" s="42"/>
      <c r="W24" s="42"/>
      <c r="X24" s="46">
        <f t="shared" si="2"/>
        <v>18000</v>
      </c>
      <c r="Y24" s="47">
        <f t="shared" si="4"/>
        <v>1152</v>
      </c>
      <c r="Z24" s="22"/>
      <c r="AD24" s="3"/>
      <c r="AE24" s="4"/>
    </row>
    <row r="25">
      <c r="B25" s="25"/>
      <c r="C25" s="15"/>
      <c r="D25" s="15"/>
      <c r="E25" s="54"/>
      <c r="F25" s="17">
        <v>17.0</v>
      </c>
      <c r="G25" s="42">
        <f>SUM(13200*0.2)</f>
        <v>2640</v>
      </c>
      <c r="H25" s="42">
        <f>SUM(13200*0.8)</f>
        <v>10560</v>
      </c>
      <c r="I25" s="42">
        <f t="shared" si="1"/>
        <v>13200</v>
      </c>
      <c r="J25" s="47"/>
      <c r="K25" s="42"/>
      <c r="L25" s="42"/>
      <c r="M25" s="42"/>
      <c r="N25" s="42"/>
      <c r="O25" s="42"/>
      <c r="P25" s="42"/>
      <c r="Q25" s="42"/>
      <c r="R25" s="47"/>
      <c r="S25" s="43"/>
      <c r="T25" s="42"/>
      <c r="U25" s="42"/>
      <c r="V25" s="42"/>
      <c r="W25" s="42"/>
      <c r="X25" s="46">
        <f t="shared" si="2"/>
        <v>26400</v>
      </c>
      <c r="Y25" s="47">
        <f t="shared" si="4"/>
        <v>1689.6</v>
      </c>
      <c r="Z25" s="22"/>
      <c r="AD25" s="3"/>
      <c r="AE25" s="4"/>
    </row>
    <row r="26">
      <c r="B26" s="25"/>
      <c r="C26" s="15"/>
      <c r="D26" s="15"/>
      <c r="E26" s="54"/>
      <c r="F26" s="17">
        <v>18.0</v>
      </c>
      <c r="G26" s="42">
        <f>SUM(11200*0.2)</f>
        <v>2240</v>
      </c>
      <c r="H26" s="42">
        <f>SUM(11200*0.8)</f>
        <v>8960</v>
      </c>
      <c r="I26" s="42">
        <f t="shared" si="1"/>
        <v>11200</v>
      </c>
      <c r="J26" s="47"/>
      <c r="K26" s="47"/>
      <c r="L26" s="42"/>
      <c r="M26" s="42"/>
      <c r="N26" s="42"/>
      <c r="O26" s="42"/>
      <c r="P26" s="42"/>
      <c r="Q26" s="42"/>
      <c r="R26" s="45"/>
      <c r="S26" s="42"/>
      <c r="T26" s="42"/>
      <c r="U26" s="42"/>
      <c r="V26" s="42"/>
      <c r="W26" s="42"/>
      <c r="X26" s="46">
        <f t="shared" si="2"/>
        <v>22400</v>
      </c>
      <c r="Y26" s="47">
        <f t="shared" si="4"/>
        <v>1433.6</v>
      </c>
      <c r="Z26" s="22"/>
      <c r="AD26" s="3"/>
      <c r="AE26" s="4"/>
    </row>
    <row r="27">
      <c r="B27" s="25"/>
      <c r="C27" s="15"/>
      <c r="D27" s="15"/>
      <c r="E27" s="54"/>
      <c r="F27" s="17">
        <v>19.0</v>
      </c>
      <c r="G27" s="42">
        <f>SUM(13200*0.2)</f>
        <v>2640</v>
      </c>
      <c r="H27" s="42">
        <f>SUM(13200*0.8)</f>
        <v>10560</v>
      </c>
      <c r="I27" s="42">
        <f t="shared" si="1"/>
        <v>13200</v>
      </c>
      <c r="J27" s="47"/>
      <c r="K27" s="42"/>
      <c r="L27" s="42"/>
      <c r="M27" s="42"/>
      <c r="N27" s="42"/>
      <c r="O27" s="42"/>
      <c r="P27" s="42"/>
      <c r="Q27" s="42"/>
      <c r="R27" s="47"/>
      <c r="S27" s="43"/>
      <c r="T27" s="42"/>
      <c r="U27" s="42"/>
      <c r="V27" s="42"/>
      <c r="W27" s="42"/>
      <c r="X27" s="46">
        <f t="shared" si="2"/>
        <v>26400</v>
      </c>
      <c r="Y27" s="47">
        <f t="shared" si="4"/>
        <v>1689.6</v>
      </c>
      <c r="Z27" s="22"/>
      <c r="AD27" s="3"/>
      <c r="AE27" s="4"/>
    </row>
    <row r="28">
      <c r="B28" s="25"/>
      <c r="C28" s="27"/>
      <c r="D28" s="27"/>
      <c r="E28" s="25"/>
      <c r="F28" s="17">
        <v>20.0</v>
      </c>
      <c r="G28" s="122">
        <f t="shared" ref="G28:G29" si="11">SUM(0*0.2)</f>
        <v>0</v>
      </c>
      <c r="H28" s="122">
        <f t="shared" ref="H28:H29" si="12">SUM(0*0.8)</f>
        <v>0</v>
      </c>
      <c r="I28" s="122">
        <f t="shared" si="1"/>
        <v>0</v>
      </c>
      <c r="J28" s="123"/>
      <c r="K28" s="123"/>
      <c r="L28" s="122"/>
      <c r="M28" s="122"/>
      <c r="N28" s="122"/>
      <c r="O28" s="122"/>
      <c r="P28" s="122"/>
      <c r="Q28" s="122"/>
      <c r="R28" s="124"/>
      <c r="S28" s="122"/>
      <c r="T28" s="122"/>
      <c r="U28" s="122"/>
      <c r="V28" s="122"/>
      <c r="W28" s="122"/>
      <c r="X28" s="125">
        <f t="shared" si="2"/>
        <v>0</v>
      </c>
      <c r="Y28" s="117">
        <f t="shared" ref="Y28:Y30" si="13">SUM(G28*0.08)+(H28*0.14)+(J28*27)+(K28*40)+(M28*50)+(O28*350)+(P28*550)+(Q28*160)+(R28*200)+(S28*260)+(T28*330)+(U28*110)+(V28*120)+(W28*0.7)+(I28*0.04)</f>
        <v>0</v>
      </c>
      <c r="Z28" s="22"/>
      <c r="AD28" s="3"/>
      <c r="AE28" s="4"/>
    </row>
    <row r="29">
      <c r="B29" s="25"/>
      <c r="C29" s="27"/>
      <c r="D29" s="27"/>
      <c r="E29" s="25"/>
      <c r="F29" s="17">
        <v>21.0</v>
      </c>
      <c r="G29" s="122">
        <f t="shared" si="11"/>
        <v>0</v>
      </c>
      <c r="H29" s="122">
        <f t="shared" si="12"/>
        <v>0</v>
      </c>
      <c r="I29" s="122">
        <f t="shared" si="1"/>
        <v>0</v>
      </c>
      <c r="J29" s="123"/>
      <c r="K29" s="122"/>
      <c r="L29" s="122"/>
      <c r="M29" s="122"/>
      <c r="N29" s="122"/>
      <c r="O29" s="122"/>
      <c r="P29" s="122"/>
      <c r="Q29" s="122"/>
      <c r="R29" s="123"/>
      <c r="S29" s="128"/>
      <c r="T29" s="122"/>
      <c r="U29" s="122"/>
      <c r="V29" s="122"/>
      <c r="W29" s="122"/>
      <c r="X29" s="125">
        <f t="shared" si="2"/>
        <v>0</v>
      </c>
      <c r="Y29" s="117">
        <f t="shared" si="13"/>
        <v>0</v>
      </c>
      <c r="Z29" s="22"/>
      <c r="AD29" s="3"/>
      <c r="AE29" s="4"/>
    </row>
    <row r="30">
      <c r="B30" s="25"/>
      <c r="C30" s="15" t="s">
        <v>104</v>
      </c>
      <c r="D30" s="15" t="s">
        <v>110</v>
      </c>
      <c r="E30" s="25"/>
      <c r="F30" s="17">
        <v>22.0</v>
      </c>
      <c r="G30" s="42">
        <f>SUM(13900*0.2)</f>
        <v>2780</v>
      </c>
      <c r="H30" s="42">
        <f>SUM(13900*0.8)</f>
        <v>11120</v>
      </c>
      <c r="I30" s="42">
        <f t="shared" si="1"/>
        <v>13900</v>
      </c>
      <c r="J30" s="47"/>
      <c r="K30" s="42"/>
      <c r="L30" s="42"/>
      <c r="M30" s="42"/>
      <c r="N30" s="42"/>
      <c r="O30" s="42"/>
      <c r="P30" s="42"/>
      <c r="Q30" s="42"/>
      <c r="R30" s="47"/>
      <c r="S30" s="43"/>
      <c r="T30" s="42"/>
      <c r="U30" s="42"/>
      <c r="V30" s="42"/>
      <c r="W30" s="42"/>
      <c r="X30" s="46">
        <f t="shared" si="2"/>
        <v>27800</v>
      </c>
      <c r="Y30" s="47">
        <f t="shared" si="13"/>
        <v>2335.2</v>
      </c>
      <c r="Z30" s="22"/>
      <c r="AD30" s="3"/>
      <c r="AE30" s="4"/>
    </row>
    <row r="31">
      <c r="B31" s="25"/>
      <c r="C31" s="27"/>
      <c r="D31" s="27"/>
      <c r="E31" s="25"/>
      <c r="F31" s="17">
        <v>23.0</v>
      </c>
      <c r="G31" s="42">
        <f>SUM(15200*0.2)</f>
        <v>3040</v>
      </c>
      <c r="H31" s="42">
        <f>SUM(15200*0.8)</f>
        <v>12160</v>
      </c>
      <c r="I31" s="42">
        <f t="shared" si="1"/>
        <v>15200</v>
      </c>
      <c r="J31" s="47"/>
      <c r="K31" s="47"/>
      <c r="L31" s="42"/>
      <c r="M31" s="42"/>
      <c r="N31" s="42"/>
      <c r="O31" s="42"/>
      <c r="P31" s="42"/>
      <c r="Q31" s="42"/>
      <c r="R31" s="45"/>
      <c r="S31" s="42"/>
      <c r="T31" s="42"/>
      <c r="U31" s="42"/>
      <c r="V31" s="42"/>
      <c r="W31" s="42"/>
      <c r="X31" s="46">
        <f t="shared" si="2"/>
        <v>30400</v>
      </c>
      <c r="Y31" s="47">
        <f t="shared" ref="Y31:Y33" si="14">SUM(G31*0.04)+(H31*0.1)+(J31*27)+(K31*40)+(M31*50)+(O31*350)+(P31*550)+(Q31*160)+(R31*200)+(S31*260)+(T31*330)+(U31*110)+(V31*120)+(W31*0.7)+(I31*0.04)</f>
        <v>1945.6</v>
      </c>
      <c r="Z31" s="22"/>
      <c r="AD31" s="3"/>
      <c r="AE31" s="4"/>
    </row>
    <row r="32">
      <c r="B32" s="25"/>
      <c r="C32" s="27"/>
      <c r="D32" s="27"/>
      <c r="E32" s="25"/>
      <c r="F32" s="17">
        <v>24.0</v>
      </c>
      <c r="G32" s="42">
        <f>SUM(11500*0.2)</f>
        <v>2300</v>
      </c>
      <c r="H32" s="42">
        <f>SUM(11500*0.8)</f>
        <v>9200</v>
      </c>
      <c r="I32" s="42">
        <f t="shared" si="1"/>
        <v>11500</v>
      </c>
      <c r="J32" s="47"/>
      <c r="K32" s="42"/>
      <c r="L32" s="42"/>
      <c r="M32" s="42"/>
      <c r="N32" s="42"/>
      <c r="O32" s="42"/>
      <c r="P32" s="42"/>
      <c r="Q32" s="42"/>
      <c r="R32" s="47"/>
      <c r="S32" s="43"/>
      <c r="T32" s="42"/>
      <c r="U32" s="42"/>
      <c r="V32" s="42"/>
      <c r="W32" s="42"/>
      <c r="X32" s="46">
        <f t="shared" si="2"/>
        <v>23000</v>
      </c>
      <c r="Y32" s="47">
        <f t="shared" si="14"/>
        <v>1472</v>
      </c>
      <c r="Z32" s="22"/>
      <c r="AD32" s="3"/>
      <c r="AE32" s="4"/>
    </row>
    <row r="33">
      <c r="B33" s="59"/>
      <c r="C33" s="103"/>
      <c r="D33" s="60"/>
      <c r="E33" s="59"/>
      <c r="F33" s="17">
        <v>25.0</v>
      </c>
      <c r="G33" s="42">
        <f>SUM(10800*0.2)</f>
        <v>2160</v>
      </c>
      <c r="H33" s="42">
        <f>SUM(10800*0.8)</f>
        <v>8640</v>
      </c>
      <c r="I33" s="42">
        <f t="shared" si="1"/>
        <v>10800</v>
      </c>
      <c r="J33" s="47"/>
      <c r="K33" s="42"/>
      <c r="L33" s="42"/>
      <c r="M33" s="42"/>
      <c r="N33" s="42"/>
      <c r="O33" s="42"/>
      <c r="P33" s="42"/>
      <c r="Q33" s="42"/>
      <c r="R33" s="47"/>
      <c r="S33" s="43"/>
      <c r="T33" s="42"/>
      <c r="U33" s="42"/>
      <c r="V33" s="42"/>
      <c r="W33" s="42"/>
      <c r="X33" s="46">
        <f t="shared" si="2"/>
        <v>21600</v>
      </c>
      <c r="Y33" s="47">
        <f t="shared" si="14"/>
        <v>1382.4</v>
      </c>
      <c r="Z33" s="22"/>
      <c r="AD33" s="3"/>
      <c r="AE33" s="4"/>
    </row>
    <row r="34">
      <c r="B34" s="1"/>
      <c r="E34" s="1"/>
      <c r="F34" s="2"/>
      <c r="Z34" s="1"/>
      <c r="AD34" s="3"/>
      <c r="AE34" s="4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6.13"/>
    <col customWidth="1" min="4" max="4" width="35.25"/>
    <col customWidth="1" min="5" max="5" width="17.25"/>
    <col customWidth="1" min="6" max="6" width="4.38"/>
    <col customWidth="1" min="7" max="7" width="11.13"/>
    <col customWidth="1" min="8" max="9" width="9.38"/>
    <col customWidth="1" min="10" max="10" width="6.63"/>
    <col customWidth="1" min="11" max="11" width="6.38"/>
    <col customWidth="1" min="12" max="12" width="6.25"/>
    <col customWidth="1" min="13" max="13" width="6.63"/>
    <col customWidth="1" min="14" max="14" width="5.5"/>
    <col customWidth="1" min="15" max="17" width="9.38"/>
    <col customWidth="1" min="18" max="18" width="7.5"/>
    <col customWidth="1" min="19" max="22" width="9.38"/>
    <col customWidth="1" min="23" max="23" width="7.25"/>
    <col customWidth="1" min="25" max="25" width="7.63"/>
    <col customWidth="1" min="26" max="26" width="63.88"/>
    <col customWidth="1" min="27" max="27" width="25.13"/>
    <col customWidth="1" min="28" max="28" width="12.25"/>
    <col customWidth="1" min="29" max="29" width="3.0"/>
    <col customWidth="1" min="30" max="30" width="15.25"/>
    <col customWidth="1" min="31" max="31" width="11.25"/>
  </cols>
  <sheetData>
    <row r="1" ht="27.0" customHeight="1">
      <c r="A1" s="10"/>
      <c r="B1" s="10"/>
      <c r="C1" s="10"/>
      <c r="D1" s="10"/>
      <c r="E1" s="10"/>
      <c r="F1" s="13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35"/>
      <c r="AE1" s="10"/>
      <c r="AF1" s="10"/>
      <c r="AG1" s="10"/>
      <c r="AH1" s="10"/>
      <c r="AI1" s="10"/>
      <c r="AJ1" s="10"/>
      <c r="AK1" s="10"/>
    </row>
    <row r="2" ht="19.5" customHeight="1">
      <c r="A2" s="97"/>
      <c r="B2" s="6" t="s">
        <v>0</v>
      </c>
      <c r="C2" s="6" t="s">
        <v>37</v>
      </c>
      <c r="D2" s="6" t="s">
        <v>38</v>
      </c>
      <c r="E2" s="6" t="s">
        <v>3</v>
      </c>
      <c r="F2" s="7" t="s">
        <v>4</v>
      </c>
      <c r="G2" s="8" t="s">
        <v>5</v>
      </c>
      <c r="H2" s="8" t="s">
        <v>56</v>
      </c>
      <c r="I2" s="8" t="s">
        <v>52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9" t="s">
        <v>15</v>
      </c>
      <c r="R2" s="8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7" t="s">
        <v>22</v>
      </c>
      <c r="Y2" s="7" t="s">
        <v>23</v>
      </c>
      <c r="Z2" s="10"/>
      <c r="AA2" s="10"/>
      <c r="AB2" s="10"/>
      <c r="AC2" s="10"/>
      <c r="AD2" s="135"/>
      <c r="AE2" s="10"/>
      <c r="AF2" s="10"/>
      <c r="AG2" s="10"/>
      <c r="AH2" s="10"/>
      <c r="AI2" s="10"/>
      <c r="AJ2" s="10"/>
      <c r="AK2" s="10"/>
    </row>
    <row r="3">
      <c r="A3" s="10"/>
      <c r="B3" s="136"/>
      <c r="C3" s="137"/>
      <c r="D3" s="137"/>
      <c r="E3" s="137"/>
      <c r="F3" s="7">
        <v>26.0</v>
      </c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9"/>
      <c r="T3" s="138"/>
      <c r="U3" s="138"/>
      <c r="V3" s="138"/>
      <c r="W3" s="138"/>
      <c r="X3" s="140"/>
      <c r="Y3" s="138"/>
      <c r="Z3" s="97" t="s">
        <v>109</v>
      </c>
      <c r="AA3" s="141" t="s">
        <v>24</v>
      </c>
      <c r="AB3" s="142">
        <f>SUM(Y3:Y32)</f>
        <v>25878</v>
      </c>
      <c r="AC3" s="10"/>
      <c r="AD3" s="135"/>
      <c r="AE3" s="10"/>
      <c r="AF3" s="10"/>
      <c r="AG3" s="10"/>
      <c r="AH3" s="10"/>
      <c r="AI3" s="10"/>
      <c r="AJ3" s="10"/>
      <c r="AK3" s="10"/>
    </row>
    <row r="4">
      <c r="A4" s="10"/>
      <c r="B4" s="143"/>
      <c r="C4" s="137"/>
      <c r="D4" s="137"/>
      <c r="E4" s="137"/>
      <c r="F4" s="7">
        <v>27.0</v>
      </c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5"/>
      <c r="S4" s="144"/>
      <c r="T4" s="144"/>
      <c r="U4" s="144"/>
      <c r="V4" s="144"/>
      <c r="W4" s="144"/>
      <c r="X4" s="146"/>
      <c r="Y4" s="144"/>
      <c r="Z4" s="97"/>
      <c r="AA4" s="10"/>
      <c r="AB4" s="10"/>
      <c r="AC4" s="10"/>
      <c r="AD4" s="135"/>
      <c r="AE4" s="10"/>
      <c r="AF4" s="10"/>
      <c r="AG4" s="10"/>
      <c r="AH4" s="10"/>
      <c r="AI4" s="10"/>
      <c r="AJ4" s="10"/>
      <c r="AK4" s="10"/>
    </row>
    <row r="5">
      <c r="A5" s="10"/>
      <c r="B5" s="143"/>
      <c r="C5" s="137"/>
      <c r="D5" s="137"/>
      <c r="E5" s="137"/>
      <c r="F5" s="7">
        <v>28.0</v>
      </c>
      <c r="G5" s="144">
        <f>SUM(0*0.2)</f>
        <v>0</v>
      </c>
      <c r="H5" s="144">
        <f>SUM(0*0.8)</f>
        <v>0</v>
      </c>
      <c r="I5" s="144">
        <f>SUM(G5+H5)</f>
        <v>0</v>
      </c>
      <c r="J5" s="144"/>
      <c r="K5" s="144"/>
      <c r="L5" s="144"/>
      <c r="M5" s="144"/>
      <c r="N5" s="144"/>
      <c r="O5" s="144"/>
      <c r="P5" s="144"/>
      <c r="Q5" s="144"/>
      <c r="R5" s="144"/>
      <c r="S5" s="147"/>
      <c r="T5" s="144"/>
      <c r="U5" s="144"/>
      <c r="V5" s="144"/>
      <c r="W5" s="144"/>
      <c r="X5" s="146">
        <f t="shared" ref="X5:X32" si="1">SUM(G5:W5)</f>
        <v>0</v>
      </c>
      <c r="Y5" s="144">
        <f>SUM(G5*0.08)+(H5*0.14)+(J5*27)+(K5*40)+(M5*50)+(O5*350)+(P5*550)+(Q5*160)+(R5*200)+(S5*260)+(T5*330)+(U5*110)+(V5*120)+(W5*0.7)+(I5*0.04)</f>
        <v>0</v>
      </c>
      <c r="Z5" s="97"/>
      <c r="AA5" s="10"/>
      <c r="AB5" s="10"/>
      <c r="AC5" s="10"/>
      <c r="AD5" s="135"/>
      <c r="AE5" s="10"/>
      <c r="AF5" s="10"/>
      <c r="AG5" s="10"/>
      <c r="AH5" s="10"/>
      <c r="AI5" s="10"/>
      <c r="AJ5" s="10"/>
      <c r="AK5" s="10"/>
    </row>
    <row r="6">
      <c r="A6" s="10"/>
      <c r="B6" s="143"/>
      <c r="C6" s="137">
        <v>276.0</v>
      </c>
      <c r="D6" s="10"/>
      <c r="E6" s="137"/>
      <c r="F6" s="7">
        <v>29.0</v>
      </c>
      <c r="G6" s="148">
        <f>SUM(16900*0.2)</f>
        <v>3380</v>
      </c>
      <c r="H6" s="148">
        <f>SUM(16900*0.8)</f>
        <v>13520</v>
      </c>
      <c r="I6" s="148">
        <f t="shared" ref="I6:I32" si="2">SUM(H6)</f>
        <v>13520</v>
      </c>
      <c r="J6" s="148"/>
      <c r="K6" s="148"/>
      <c r="L6" s="148"/>
      <c r="M6" s="148"/>
      <c r="N6" s="148"/>
      <c r="O6" s="148"/>
      <c r="P6" s="148"/>
      <c r="Q6" s="148"/>
      <c r="R6" s="148"/>
      <c r="S6" s="149"/>
      <c r="T6" s="148"/>
      <c r="U6" s="148"/>
      <c r="V6" s="148"/>
      <c r="W6" s="148"/>
      <c r="X6" s="150">
        <f t="shared" si="1"/>
        <v>30420</v>
      </c>
      <c r="Y6" s="148">
        <f>SUM(G6*0.04)+(H6*0.1)+(I6*0.04)+(J6*27)+(K6*40)+(M6*50)+(O6*350)+(P6*550)+(Q6*160)+(R6*200)+(S6*260)+(T6*330)+(U6*110)+(V6*120)+(W6*0.7)</f>
        <v>2028</v>
      </c>
      <c r="Z6" s="97"/>
      <c r="AA6" s="10"/>
      <c r="AB6" s="10"/>
      <c r="AC6" s="10"/>
      <c r="AD6" s="135"/>
      <c r="AE6" s="10"/>
      <c r="AF6" s="10"/>
      <c r="AG6" s="10"/>
      <c r="AH6" s="10"/>
      <c r="AI6" s="10"/>
      <c r="AJ6" s="10"/>
      <c r="AK6" s="10"/>
    </row>
    <row r="7">
      <c r="A7" s="10"/>
      <c r="B7" s="143"/>
      <c r="C7" s="137">
        <v>276.0</v>
      </c>
      <c r="D7" s="10"/>
      <c r="E7" s="143"/>
      <c r="F7" s="7">
        <v>30.0</v>
      </c>
      <c r="G7" s="148">
        <f>SUM(8400*0.2)</f>
        <v>1680</v>
      </c>
      <c r="H7" s="148">
        <f>SUM(8400*0.8)</f>
        <v>6720</v>
      </c>
      <c r="I7" s="148">
        <f t="shared" si="2"/>
        <v>6720</v>
      </c>
      <c r="J7" s="148"/>
      <c r="K7" s="148"/>
      <c r="L7" s="148"/>
      <c r="M7" s="148"/>
      <c r="N7" s="148"/>
      <c r="O7" s="148"/>
      <c r="P7" s="148"/>
      <c r="Q7" s="148"/>
      <c r="R7" s="151"/>
      <c r="S7" s="148"/>
      <c r="T7" s="148"/>
      <c r="U7" s="148"/>
      <c r="V7" s="148"/>
      <c r="W7" s="148"/>
      <c r="X7" s="150">
        <f t="shared" si="1"/>
        <v>15120</v>
      </c>
      <c r="Y7" s="148">
        <f>SUM(G7*0.08)+(H7*0.14)+(J7*27)+(K7*40)+(M7*50)+(O7*350)+(P7*550)+(Q7*160)+(R7*200)+(S7*260)+(T7*330)+(U7*110)+(V7*120)+(W7*0.7)+(I7*0.04)</f>
        <v>1344</v>
      </c>
      <c r="Z7" s="97"/>
      <c r="AA7" s="10"/>
      <c r="AB7" s="10"/>
      <c r="AC7" s="10"/>
      <c r="AD7" s="135"/>
      <c r="AE7" s="10"/>
      <c r="AF7" s="10"/>
      <c r="AG7" s="10"/>
      <c r="AH7" s="10"/>
      <c r="AI7" s="10"/>
      <c r="AJ7" s="10"/>
      <c r="AK7" s="10"/>
    </row>
    <row r="8">
      <c r="A8" s="10"/>
      <c r="B8" s="143"/>
      <c r="C8" s="152">
        <v>276.0</v>
      </c>
      <c r="D8" s="153"/>
      <c r="E8" s="153"/>
      <c r="F8" s="7">
        <v>1.0</v>
      </c>
      <c r="G8" s="148">
        <f>SUM(12000*0.2)</f>
        <v>2400</v>
      </c>
      <c r="H8" s="148">
        <f>SUM(12000*0.8)</f>
        <v>9600</v>
      </c>
      <c r="I8" s="148">
        <f t="shared" si="2"/>
        <v>9600</v>
      </c>
      <c r="J8" s="148"/>
      <c r="K8" s="148"/>
      <c r="L8" s="148"/>
      <c r="M8" s="148"/>
      <c r="N8" s="148"/>
      <c r="O8" s="148"/>
      <c r="P8" s="148"/>
      <c r="Q8" s="148"/>
      <c r="R8" s="151"/>
      <c r="S8" s="148"/>
      <c r="T8" s="148"/>
      <c r="U8" s="148"/>
      <c r="V8" s="148"/>
      <c r="W8" s="148"/>
      <c r="X8" s="150">
        <f t="shared" si="1"/>
        <v>21600</v>
      </c>
      <c r="Y8" s="148">
        <f t="shared" ref="Y8:Y24" si="3">SUM(G8*0.04)+(H8*0.1)+(J8*27)+(K8*40)+(M8*50)+(O8*350)+(P8*550)+(Q8*160)+(R8*200)+(S8*260)+(T8*330)+(U8*110)+(V8*120)+(W8*0.7)+(I8*0.04)</f>
        <v>1440</v>
      </c>
      <c r="Z8" s="97"/>
      <c r="AA8" s="154"/>
      <c r="AB8" s="10"/>
      <c r="AC8" s="10"/>
      <c r="AD8" s="135"/>
      <c r="AE8" s="10"/>
      <c r="AF8" s="10"/>
      <c r="AG8" s="10"/>
      <c r="AH8" s="10"/>
      <c r="AI8" s="10"/>
      <c r="AJ8" s="10"/>
      <c r="AK8" s="10"/>
    </row>
    <row r="9">
      <c r="A9" s="10"/>
      <c r="B9" s="143"/>
      <c r="C9" s="155"/>
      <c r="D9" s="156"/>
      <c r="E9" s="153"/>
      <c r="F9" s="7">
        <v>2.0</v>
      </c>
      <c r="G9" s="157">
        <f>SUM(0*0.2)</f>
        <v>0</v>
      </c>
      <c r="H9" s="157">
        <f>SUM(0*0.8)</f>
        <v>0</v>
      </c>
      <c r="I9" s="157">
        <f t="shared" si="2"/>
        <v>0</v>
      </c>
      <c r="J9" s="157"/>
      <c r="K9" s="157"/>
      <c r="L9" s="157"/>
      <c r="M9" s="157"/>
      <c r="N9" s="157"/>
      <c r="O9" s="157"/>
      <c r="P9" s="157"/>
      <c r="Q9" s="157"/>
      <c r="R9" s="157"/>
      <c r="S9" s="158"/>
      <c r="T9" s="157"/>
      <c r="U9" s="157"/>
      <c r="V9" s="157"/>
      <c r="W9" s="157"/>
      <c r="X9" s="159">
        <f t="shared" si="1"/>
        <v>0</v>
      </c>
      <c r="Y9" s="157">
        <f t="shared" si="3"/>
        <v>0</v>
      </c>
      <c r="Z9" s="97" t="s">
        <v>111</v>
      </c>
      <c r="AA9" s="10"/>
      <c r="AB9" s="10"/>
      <c r="AC9" s="10"/>
      <c r="AD9" s="135"/>
      <c r="AE9" s="10"/>
      <c r="AF9" s="10"/>
      <c r="AG9" s="10"/>
      <c r="AH9" s="10"/>
      <c r="AI9" s="10"/>
      <c r="AJ9" s="10"/>
      <c r="AK9" s="10"/>
    </row>
    <row r="10">
      <c r="A10" s="10"/>
      <c r="B10" s="143"/>
      <c r="C10" s="160"/>
      <c r="D10" s="161"/>
      <c r="E10" s="153"/>
      <c r="F10" s="7">
        <v>3.0</v>
      </c>
      <c r="G10" s="148">
        <f>SUM(8550*0.2)</f>
        <v>1710</v>
      </c>
      <c r="H10" s="148">
        <f>SUM(8550*0.8)</f>
        <v>6840</v>
      </c>
      <c r="I10" s="148">
        <f t="shared" si="2"/>
        <v>6840</v>
      </c>
      <c r="J10" s="148"/>
      <c r="K10" s="148"/>
      <c r="L10" s="148"/>
      <c r="M10" s="148"/>
      <c r="N10" s="148"/>
      <c r="O10" s="148"/>
      <c r="P10" s="148"/>
      <c r="Q10" s="148"/>
      <c r="R10" s="151"/>
      <c r="S10" s="148"/>
      <c r="T10" s="148"/>
      <c r="U10" s="148"/>
      <c r="V10" s="148"/>
      <c r="W10" s="148"/>
      <c r="X10" s="150">
        <f t="shared" si="1"/>
        <v>15390</v>
      </c>
      <c r="Y10" s="148">
        <f t="shared" si="3"/>
        <v>1026</v>
      </c>
      <c r="Z10" s="97" t="s">
        <v>112</v>
      </c>
      <c r="AA10" s="10"/>
      <c r="AB10" s="10"/>
      <c r="AC10" s="10"/>
      <c r="AD10" s="135"/>
      <c r="AE10" s="10"/>
      <c r="AF10" s="10"/>
      <c r="AG10" s="10"/>
      <c r="AH10" s="10"/>
      <c r="AI10" s="10"/>
      <c r="AJ10" s="10"/>
      <c r="AK10" s="10"/>
    </row>
    <row r="11">
      <c r="A11" s="10"/>
      <c r="B11" s="143"/>
      <c r="C11" s="160"/>
      <c r="D11" s="161"/>
      <c r="E11" s="162"/>
      <c r="F11" s="7">
        <v>4.0</v>
      </c>
      <c r="G11" s="144">
        <f t="shared" ref="G11:G12" si="4">SUM(0*0.2)</f>
        <v>0</v>
      </c>
      <c r="H11" s="144">
        <f t="shared" ref="H11:H12" si="5">SUM(0*0.8)</f>
        <v>0</v>
      </c>
      <c r="I11" s="144">
        <f t="shared" si="2"/>
        <v>0</v>
      </c>
      <c r="J11" s="144"/>
      <c r="K11" s="144"/>
      <c r="L11" s="144"/>
      <c r="M11" s="144"/>
      <c r="N11" s="144"/>
      <c r="O11" s="144"/>
      <c r="P11" s="144"/>
      <c r="Q11" s="144"/>
      <c r="R11" s="144"/>
      <c r="S11" s="147"/>
      <c r="T11" s="144"/>
      <c r="U11" s="144"/>
      <c r="V11" s="144"/>
      <c r="W11" s="144"/>
      <c r="X11" s="146">
        <f t="shared" si="1"/>
        <v>0</v>
      </c>
      <c r="Y11" s="144">
        <f t="shared" si="3"/>
        <v>0</v>
      </c>
      <c r="Z11" s="97"/>
      <c r="AA11" s="10"/>
      <c r="AB11" s="10"/>
      <c r="AC11" s="10"/>
      <c r="AD11" s="135"/>
      <c r="AE11" s="10"/>
      <c r="AF11" s="10"/>
      <c r="AG11" s="10"/>
      <c r="AH11" s="10"/>
      <c r="AI11" s="10"/>
      <c r="AJ11" s="10"/>
      <c r="AK11" s="10"/>
    </row>
    <row r="12">
      <c r="A12" s="10"/>
      <c r="B12" s="143"/>
      <c r="C12" s="160"/>
      <c r="D12" s="161"/>
      <c r="E12" s="162"/>
      <c r="F12" s="7">
        <v>5.0</v>
      </c>
      <c r="G12" s="144">
        <f t="shared" si="4"/>
        <v>0</v>
      </c>
      <c r="H12" s="144">
        <f t="shared" si="5"/>
        <v>0</v>
      </c>
      <c r="I12" s="144">
        <f t="shared" si="2"/>
        <v>0</v>
      </c>
      <c r="J12" s="144"/>
      <c r="K12" s="144"/>
      <c r="L12" s="144"/>
      <c r="M12" s="144"/>
      <c r="N12" s="144"/>
      <c r="O12" s="144"/>
      <c r="P12" s="144"/>
      <c r="Q12" s="144"/>
      <c r="R12" s="144"/>
      <c r="S12" s="147"/>
      <c r="T12" s="144"/>
      <c r="U12" s="144"/>
      <c r="V12" s="144"/>
      <c r="W12" s="144"/>
      <c r="X12" s="146">
        <f t="shared" si="1"/>
        <v>0</v>
      </c>
      <c r="Y12" s="144">
        <f t="shared" si="3"/>
        <v>0</v>
      </c>
      <c r="Z12" s="97"/>
      <c r="AA12" s="10"/>
      <c r="AB12" s="10"/>
      <c r="AC12" s="10"/>
      <c r="AD12" s="135"/>
      <c r="AE12" s="10"/>
      <c r="AF12" s="10"/>
      <c r="AG12" s="10"/>
      <c r="AH12" s="10"/>
      <c r="AI12" s="10"/>
      <c r="AJ12" s="10"/>
      <c r="AK12" s="10"/>
    </row>
    <row r="13">
      <c r="A13" s="10"/>
      <c r="B13" s="143"/>
      <c r="C13" s="160"/>
      <c r="D13" s="152"/>
      <c r="E13" s="153"/>
      <c r="F13" s="7">
        <v>6.0</v>
      </c>
      <c r="G13" s="148">
        <f>SUM(9450*0.2)</f>
        <v>1890</v>
      </c>
      <c r="H13" s="148">
        <f>SUM(9450*0.8)</f>
        <v>7560</v>
      </c>
      <c r="I13" s="148">
        <f t="shared" si="2"/>
        <v>7560</v>
      </c>
      <c r="J13" s="148"/>
      <c r="K13" s="148"/>
      <c r="L13" s="148"/>
      <c r="M13" s="148"/>
      <c r="N13" s="148"/>
      <c r="O13" s="148"/>
      <c r="P13" s="148"/>
      <c r="Q13" s="148"/>
      <c r="R13" s="151"/>
      <c r="S13" s="148"/>
      <c r="T13" s="148"/>
      <c r="U13" s="148"/>
      <c r="V13" s="148"/>
      <c r="W13" s="148"/>
      <c r="X13" s="150">
        <f t="shared" si="1"/>
        <v>17010</v>
      </c>
      <c r="Y13" s="148">
        <f t="shared" si="3"/>
        <v>1134</v>
      </c>
      <c r="Z13" s="97"/>
      <c r="AA13" s="10"/>
      <c r="AB13" s="10"/>
      <c r="AC13" s="10"/>
      <c r="AD13" s="135"/>
      <c r="AE13" s="10"/>
      <c r="AF13" s="10"/>
      <c r="AG13" s="10"/>
      <c r="AH13" s="10"/>
      <c r="AI13" s="10"/>
      <c r="AJ13" s="10"/>
      <c r="AK13" s="10"/>
    </row>
    <row r="14">
      <c r="A14" s="10"/>
      <c r="B14" s="143"/>
      <c r="C14" s="160">
        <v>240.0</v>
      </c>
      <c r="D14" s="156"/>
      <c r="E14" s="153"/>
      <c r="F14" s="7">
        <v>7.0</v>
      </c>
      <c r="G14" s="148">
        <f>SUM(12000*0.2)</f>
        <v>2400</v>
      </c>
      <c r="H14" s="148">
        <f>SUM(12000*0.8)</f>
        <v>9600</v>
      </c>
      <c r="I14" s="148">
        <f t="shared" si="2"/>
        <v>9600</v>
      </c>
      <c r="J14" s="148"/>
      <c r="K14" s="148"/>
      <c r="L14" s="148"/>
      <c r="M14" s="148"/>
      <c r="N14" s="148"/>
      <c r="O14" s="148"/>
      <c r="P14" s="148"/>
      <c r="Q14" s="148"/>
      <c r="R14" s="148"/>
      <c r="S14" s="149"/>
      <c r="T14" s="148"/>
      <c r="U14" s="148"/>
      <c r="V14" s="148"/>
      <c r="W14" s="148"/>
      <c r="X14" s="150">
        <f t="shared" si="1"/>
        <v>21600</v>
      </c>
      <c r="Y14" s="148">
        <f t="shared" si="3"/>
        <v>1440</v>
      </c>
      <c r="Z14" s="97"/>
      <c r="AA14" s="10"/>
      <c r="AB14" s="10"/>
      <c r="AC14" s="10"/>
      <c r="AD14" s="135"/>
      <c r="AE14" s="10"/>
      <c r="AF14" s="10"/>
      <c r="AG14" s="10"/>
      <c r="AH14" s="10"/>
      <c r="AI14" s="10"/>
      <c r="AJ14" s="10"/>
      <c r="AK14" s="10"/>
    </row>
    <row r="15">
      <c r="A15" s="10"/>
      <c r="B15" s="143"/>
      <c r="C15" s="160">
        <v>240.0</v>
      </c>
      <c r="D15" s="156"/>
      <c r="E15" s="153"/>
      <c r="F15" s="7">
        <v>8.0</v>
      </c>
      <c r="G15" s="148">
        <f>SUM(10500*0.2)</f>
        <v>2100</v>
      </c>
      <c r="H15" s="148">
        <f>SUM(10500*0.8)</f>
        <v>8400</v>
      </c>
      <c r="I15" s="148">
        <f t="shared" si="2"/>
        <v>8400</v>
      </c>
      <c r="J15" s="148"/>
      <c r="K15" s="148"/>
      <c r="L15" s="148"/>
      <c r="M15" s="148"/>
      <c r="N15" s="148"/>
      <c r="O15" s="148"/>
      <c r="P15" s="148"/>
      <c r="Q15" s="148"/>
      <c r="R15" s="151"/>
      <c r="S15" s="148"/>
      <c r="T15" s="148"/>
      <c r="U15" s="148"/>
      <c r="V15" s="148"/>
      <c r="W15" s="148"/>
      <c r="X15" s="150">
        <f t="shared" si="1"/>
        <v>18900</v>
      </c>
      <c r="Y15" s="148">
        <f t="shared" si="3"/>
        <v>1260</v>
      </c>
      <c r="Z15" s="97"/>
      <c r="AA15" s="10"/>
      <c r="AB15" s="10"/>
      <c r="AC15" s="10"/>
      <c r="AD15" s="135"/>
      <c r="AE15" s="10"/>
      <c r="AF15" s="10"/>
      <c r="AG15" s="10"/>
      <c r="AH15" s="10"/>
      <c r="AI15" s="10"/>
      <c r="AJ15" s="10"/>
      <c r="AK15" s="10"/>
    </row>
    <row r="16">
      <c r="A16" s="10"/>
      <c r="B16" s="143"/>
      <c r="C16" s="160">
        <v>240.0</v>
      </c>
      <c r="D16" s="152"/>
      <c r="E16" s="163"/>
      <c r="F16" s="7">
        <v>9.0</v>
      </c>
      <c r="G16" s="148">
        <f>SUM(9700*0.2)</f>
        <v>1940</v>
      </c>
      <c r="H16" s="148">
        <f>SUM(9700*0.8)</f>
        <v>7760</v>
      </c>
      <c r="I16" s="148">
        <f t="shared" si="2"/>
        <v>7760</v>
      </c>
      <c r="J16" s="148"/>
      <c r="K16" s="148"/>
      <c r="L16" s="148"/>
      <c r="M16" s="148"/>
      <c r="N16" s="148"/>
      <c r="O16" s="148"/>
      <c r="P16" s="148"/>
      <c r="Q16" s="148"/>
      <c r="R16" s="151"/>
      <c r="S16" s="148"/>
      <c r="T16" s="148"/>
      <c r="U16" s="148"/>
      <c r="V16" s="148"/>
      <c r="W16" s="148"/>
      <c r="X16" s="150">
        <f t="shared" si="1"/>
        <v>17460</v>
      </c>
      <c r="Y16" s="148">
        <f t="shared" si="3"/>
        <v>1164</v>
      </c>
      <c r="Z16" s="97"/>
      <c r="AA16" s="10"/>
      <c r="AB16" s="10"/>
      <c r="AC16" s="10"/>
      <c r="AD16" s="135"/>
      <c r="AE16" s="10"/>
      <c r="AF16" s="10"/>
      <c r="AG16" s="10"/>
      <c r="AH16" s="10"/>
      <c r="AI16" s="10"/>
      <c r="AJ16" s="10"/>
      <c r="AK16" s="10"/>
    </row>
    <row r="17">
      <c r="A17" s="10"/>
      <c r="B17" s="143"/>
      <c r="C17" s="160">
        <v>240.0</v>
      </c>
      <c r="D17" s="161"/>
      <c r="E17" s="163"/>
      <c r="F17" s="7">
        <v>10.0</v>
      </c>
      <c r="G17" s="148">
        <f>SUM(10000*0.2)</f>
        <v>2000</v>
      </c>
      <c r="H17" s="148">
        <f>SUM(10000*0.8)</f>
        <v>8000</v>
      </c>
      <c r="I17" s="148">
        <f t="shared" si="2"/>
        <v>8000</v>
      </c>
      <c r="J17" s="148"/>
      <c r="K17" s="148"/>
      <c r="L17" s="148"/>
      <c r="M17" s="148"/>
      <c r="N17" s="148"/>
      <c r="O17" s="148"/>
      <c r="P17" s="148"/>
      <c r="Q17" s="148"/>
      <c r="R17" s="148"/>
      <c r="S17" s="149"/>
      <c r="T17" s="148"/>
      <c r="U17" s="148"/>
      <c r="V17" s="148"/>
      <c r="W17" s="148"/>
      <c r="X17" s="150">
        <f t="shared" si="1"/>
        <v>18000</v>
      </c>
      <c r="Y17" s="148">
        <f t="shared" si="3"/>
        <v>1200</v>
      </c>
      <c r="Z17" s="97"/>
      <c r="AA17" s="10"/>
      <c r="AB17" s="10"/>
      <c r="AC17" s="10"/>
      <c r="AD17" s="135"/>
      <c r="AE17" s="10"/>
      <c r="AF17" s="10"/>
      <c r="AG17" s="10"/>
      <c r="AH17" s="10"/>
      <c r="AI17" s="10"/>
      <c r="AJ17" s="10"/>
      <c r="AK17" s="10"/>
    </row>
    <row r="18">
      <c r="A18" s="10"/>
      <c r="B18" s="143"/>
      <c r="C18" s="160"/>
      <c r="D18" s="152"/>
      <c r="E18" s="164"/>
      <c r="F18" s="7">
        <v>11.0</v>
      </c>
      <c r="G18" s="148">
        <f t="shared" ref="G18:G19" si="6">SUM(0*0.2)</f>
        <v>0</v>
      </c>
      <c r="H18" s="148">
        <f t="shared" ref="H18:H19" si="7">SUM(0*0.8)</f>
        <v>0</v>
      </c>
      <c r="I18" s="148">
        <f t="shared" si="2"/>
        <v>0</v>
      </c>
      <c r="J18" s="148"/>
      <c r="K18" s="148"/>
      <c r="L18" s="148"/>
      <c r="M18" s="148"/>
      <c r="N18" s="148"/>
      <c r="O18" s="148"/>
      <c r="P18" s="148"/>
      <c r="Q18" s="148"/>
      <c r="R18" s="151"/>
      <c r="S18" s="148"/>
      <c r="T18" s="148"/>
      <c r="U18" s="148"/>
      <c r="V18" s="148"/>
      <c r="W18" s="148"/>
      <c r="X18" s="150">
        <f t="shared" si="1"/>
        <v>0</v>
      </c>
      <c r="Y18" s="148">
        <f t="shared" si="3"/>
        <v>0</v>
      </c>
      <c r="Z18" s="97"/>
      <c r="AA18" s="10"/>
      <c r="AB18" s="10"/>
      <c r="AC18" s="10"/>
      <c r="AD18" s="135"/>
      <c r="AE18" s="10"/>
      <c r="AF18" s="10"/>
      <c r="AG18" s="10"/>
      <c r="AH18" s="10"/>
      <c r="AI18" s="10"/>
      <c r="AJ18" s="10"/>
      <c r="AK18" s="10"/>
    </row>
    <row r="19">
      <c r="A19" s="10"/>
      <c r="B19" s="143"/>
      <c r="C19" s="160"/>
      <c r="D19" s="152"/>
      <c r="E19" s="163"/>
      <c r="F19" s="7">
        <v>12.0</v>
      </c>
      <c r="G19" s="148">
        <f t="shared" si="6"/>
        <v>0</v>
      </c>
      <c r="H19" s="148">
        <f t="shared" si="7"/>
        <v>0</v>
      </c>
      <c r="I19" s="148">
        <f t="shared" si="2"/>
        <v>0</v>
      </c>
      <c r="J19" s="148"/>
      <c r="K19" s="148"/>
      <c r="L19" s="148"/>
      <c r="M19" s="148"/>
      <c r="N19" s="148"/>
      <c r="O19" s="148"/>
      <c r="P19" s="148"/>
      <c r="Q19" s="148"/>
      <c r="R19" s="148"/>
      <c r="S19" s="149"/>
      <c r="T19" s="148"/>
      <c r="U19" s="148"/>
      <c r="V19" s="148"/>
      <c r="W19" s="148"/>
      <c r="X19" s="150">
        <f t="shared" si="1"/>
        <v>0</v>
      </c>
      <c r="Y19" s="148">
        <f t="shared" si="3"/>
        <v>0</v>
      </c>
      <c r="Z19" s="97"/>
      <c r="AA19" s="10"/>
      <c r="AB19" s="10"/>
      <c r="AC19" s="10"/>
      <c r="AD19" s="135"/>
      <c r="AE19" s="10"/>
      <c r="AF19" s="10"/>
      <c r="AG19" s="10"/>
      <c r="AH19" s="10"/>
      <c r="AI19" s="10"/>
      <c r="AJ19" s="10"/>
      <c r="AK19" s="10"/>
    </row>
    <row r="20">
      <c r="A20" s="10"/>
      <c r="B20" s="143"/>
      <c r="C20" s="160">
        <v>240.0</v>
      </c>
      <c r="D20" s="152"/>
      <c r="E20" s="163"/>
      <c r="F20" s="7">
        <v>13.0</v>
      </c>
      <c r="G20" s="148">
        <f>SUM(12100*0.2)</f>
        <v>2420</v>
      </c>
      <c r="H20" s="148">
        <f>SUM(12100*0.8)</f>
        <v>9680</v>
      </c>
      <c r="I20" s="148">
        <f t="shared" si="2"/>
        <v>9680</v>
      </c>
      <c r="J20" s="148"/>
      <c r="K20" s="148"/>
      <c r="L20" s="148"/>
      <c r="M20" s="148"/>
      <c r="N20" s="148"/>
      <c r="O20" s="148"/>
      <c r="P20" s="148"/>
      <c r="Q20" s="148"/>
      <c r="R20" s="151"/>
      <c r="S20" s="148"/>
      <c r="T20" s="148"/>
      <c r="U20" s="148"/>
      <c r="V20" s="148"/>
      <c r="W20" s="148"/>
      <c r="X20" s="150">
        <f t="shared" si="1"/>
        <v>21780</v>
      </c>
      <c r="Y20" s="148">
        <f t="shared" si="3"/>
        <v>1452</v>
      </c>
      <c r="Z20" s="97"/>
      <c r="AA20" s="10"/>
      <c r="AB20" s="10"/>
      <c r="AC20" s="10"/>
      <c r="AD20" s="135"/>
      <c r="AE20" s="10"/>
      <c r="AF20" s="10"/>
      <c r="AG20" s="10"/>
      <c r="AH20" s="10"/>
      <c r="AI20" s="10"/>
      <c r="AJ20" s="10"/>
      <c r="AK20" s="10"/>
    </row>
    <row r="21">
      <c r="A21" s="10"/>
      <c r="B21" s="143"/>
      <c r="C21" s="160">
        <v>240.0</v>
      </c>
      <c r="D21" s="156"/>
      <c r="E21" s="153"/>
      <c r="F21" s="7">
        <v>14.0</v>
      </c>
      <c r="G21" s="148">
        <f>SUM(11700*0.2)</f>
        <v>2340</v>
      </c>
      <c r="H21" s="148">
        <f>SUM(11700*0.8)</f>
        <v>9360</v>
      </c>
      <c r="I21" s="148">
        <f t="shared" si="2"/>
        <v>9360</v>
      </c>
      <c r="J21" s="148"/>
      <c r="K21" s="148"/>
      <c r="L21" s="148"/>
      <c r="M21" s="148"/>
      <c r="N21" s="148"/>
      <c r="O21" s="148"/>
      <c r="P21" s="148"/>
      <c r="Q21" s="148"/>
      <c r="R21" s="148"/>
      <c r="S21" s="149"/>
      <c r="T21" s="148"/>
      <c r="U21" s="148"/>
      <c r="V21" s="148"/>
      <c r="W21" s="148"/>
      <c r="X21" s="150">
        <f t="shared" si="1"/>
        <v>21060</v>
      </c>
      <c r="Y21" s="148">
        <f t="shared" si="3"/>
        <v>1404</v>
      </c>
      <c r="Z21" s="97"/>
      <c r="AA21" s="10"/>
      <c r="AB21" s="10"/>
      <c r="AC21" s="10"/>
      <c r="AD21" s="135"/>
      <c r="AE21" s="10"/>
      <c r="AF21" s="10"/>
      <c r="AG21" s="10"/>
      <c r="AH21" s="10"/>
      <c r="AI21" s="10"/>
      <c r="AJ21" s="10"/>
      <c r="AK21" s="10"/>
    </row>
    <row r="22">
      <c r="A22" s="10"/>
      <c r="B22" s="143"/>
      <c r="C22" s="137">
        <v>240.0</v>
      </c>
      <c r="D22" s="143"/>
      <c r="E22" s="143"/>
      <c r="F22" s="7">
        <v>15.0</v>
      </c>
      <c r="G22" s="148">
        <f>SUM(12100*0.2)</f>
        <v>2420</v>
      </c>
      <c r="H22" s="148">
        <f>SUM(12100*0.8)</f>
        <v>9680</v>
      </c>
      <c r="I22" s="148">
        <f t="shared" si="2"/>
        <v>9680</v>
      </c>
      <c r="J22" s="148"/>
      <c r="K22" s="148"/>
      <c r="L22" s="148"/>
      <c r="M22" s="148"/>
      <c r="N22" s="148"/>
      <c r="O22" s="148"/>
      <c r="P22" s="148"/>
      <c r="Q22" s="148"/>
      <c r="R22" s="148"/>
      <c r="S22" s="149"/>
      <c r="T22" s="148"/>
      <c r="U22" s="148"/>
      <c r="V22" s="148"/>
      <c r="W22" s="148"/>
      <c r="X22" s="150">
        <f t="shared" si="1"/>
        <v>21780</v>
      </c>
      <c r="Y22" s="148">
        <f t="shared" si="3"/>
        <v>1452</v>
      </c>
      <c r="Z22" s="97"/>
      <c r="AA22" s="10"/>
      <c r="AB22" s="10"/>
      <c r="AC22" s="10"/>
      <c r="AD22" s="135"/>
      <c r="AE22" s="10"/>
      <c r="AF22" s="10"/>
      <c r="AG22" s="10"/>
      <c r="AH22" s="10"/>
      <c r="AI22" s="10"/>
      <c r="AJ22" s="10"/>
      <c r="AK22" s="10"/>
    </row>
    <row r="23">
      <c r="A23" s="10"/>
      <c r="B23" s="143"/>
      <c r="C23" s="137">
        <v>240.0</v>
      </c>
      <c r="D23" s="137"/>
      <c r="E23" s="137"/>
      <c r="F23" s="7">
        <v>16.0</v>
      </c>
      <c r="G23" s="148">
        <f>SUM(12600*0.2)</f>
        <v>2520</v>
      </c>
      <c r="H23" s="148">
        <f>SUM(12600*0.8)</f>
        <v>10080</v>
      </c>
      <c r="I23" s="148">
        <f t="shared" si="2"/>
        <v>10080</v>
      </c>
      <c r="J23" s="148"/>
      <c r="K23" s="148"/>
      <c r="L23" s="148"/>
      <c r="M23" s="148"/>
      <c r="N23" s="148"/>
      <c r="O23" s="148"/>
      <c r="P23" s="148"/>
      <c r="Q23" s="148"/>
      <c r="R23" s="151"/>
      <c r="S23" s="148"/>
      <c r="T23" s="148"/>
      <c r="U23" s="148"/>
      <c r="V23" s="148"/>
      <c r="W23" s="148"/>
      <c r="X23" s="150">
        <f t="shared" si="1"/>
        <v>22680</v>
      </c>
      <c r="Y23" s="148">
        <f t="shared" si="3"/>
        <v>1512</v>
      </c>
      <c r="Z23" s="97"/>
      <c r="AA23" s="10"/>
      <c r="AB23" s="10"/>
      <c r="AC23" s="10"/>
      <c r="AD23" s="135"/>
      <c r="AE23" s="10"/>
      <c r="AF23" s="10"/>
      <c r="AG23" s="10"/>
      <c r="AH23" s="10"/>
      <c r="AI23" s="10"/>
      <c r="AJ23" s="10"/>
      <c r="AK23" s="10"/>
    </row>
    <row r="24">
      <c r="A24" s="10"/>
      <c r="B24" s="143"/>
      <c r="C24" s="137">
        <v>240.0</v>
      </c>
      <c r="D24" s="137"/>
      <c r="E24" s="165"/>
      <c r="F24" s="7">
        <v>17.0</v>
      </c>
      <c r="G24" s="148">
        <f>SUM(7700*0.2)</f>
        <v>1540</v>
      </c>
      <c r="H24" s="148">
        <f>SUM(7700*0.8)</f>
        <v>6160</v>
      </c>
      <c r="I24" s="148">
        <f t="shared" si="2"/>
        <v>6160</v>
      </c>
      <c r="J24" s="148"/>
      <c r="K24" s="148"/>
      <c r="L24" s="148"/>
      <c r="M24" s="148"/>
      <c r="N24" s="148"/>
      <c r="O24" s="148"/>
      <c r="P24" s="148"/>
      <c r="Q24" s="148"/>
      <c r="R24" s="148"/>
      <c r="S24" s="149"/>
      <c r="T24" s="148"/>
      <c r="U24" s="148"/>
      <c r="V24" s="148"/>
      <c r="W24" s="148"/>
      <c r="X24" s="150">
        <f t="shared" si="1"/>
        <v>13860</v>
      </c>
      <c r="Y24" s="148">
        <f t="shared" si="3"/>
        <v>924</v>
      </c>
      <c r="Z24" s="97"/>
      <c r="AA24" s="10"/>
      <c r="AB24" s="10"/>
      <c r="AC24" s="10"/>
      <c r="AD24" s="135"/>
      <c r="AE24" s="10"/>
      <c r="AF24" s="10"/>
      <c r="AG24" s="10"/>
      <c r="AH24" s="10"/>
      <c r="AI24" s="10"/>
      <c r="AJ24" s="10"/>
      <c r="AK24" s="10"/>
    </row>
    <row r="25">
      <c r="A25" s="10"/>
      <c r="B25" s="143"/>
      <c r="C25" s="137"/>
      <c r="D25" s="137"/>
      <c r="E25" s="165"/>
      <c r="F25" s="7">
        <v>18.0</v>
      </c>
      <c r="G25" s="148">
        <f t="shared" ref="G25:G26" si="8">SUM(0*0.2)</f>
        <v>0</v>
      </c>
      <c r="H25" s="148">
        <f t="shared" ref="H25:H26" si="9">SUM(0*0.8)</f>
        <v>0</v>
      </c>
      <c r="I25" s="148">
        <f t="shared" si="2"/>
        <v>0</v>
      </c>
      <c r="J25" s="148"/>
      <c r="K25" s="148"/>
      <c r="L25" s="148"/>
      <c r="M25" s="148"/>
      <c r="N25" s="148"/>
      <c r="O25" s="148"/>
      <c r="P25" s="148"/>
      <c r="Q25" s="148"/>
      <c r="R25" s="151"/>
      <c r="S25" s="148"/>
      <c r="T25" s="148"/>
      <c r="U25" s="148"/>
      <c r="V25" s="148"/>
      <c r="W25" s="148"/>
      <c r="X25" s="150">
        <f t="shared" si="1"/>
        <v>0</v>
      </c>
      <c r="Y25" s="148">
        <f t="shared" ref="Y25:Y26" si="10">SUM(0*0.2)</f>
        <v>0</v>
      </c>
      <c r="Z25" s="97"/>
      <c r="AA25" s="10"/>
      <c r="AB25" s="10"/>
      <c r="AC25" s="10"/>
      <c r="AD25" s="135"/>
      <c r="AE25" s="10"/>
      <c r="AF25" s="10"/>
      <c r="AG25" s="10"/>
      <c r="AH25" s="10"/>
      <c r="AI25" s="10"/>
      <c r="AJ25" s="10"/>
      <c r="AK25" s="10"/>
    </row>
    <row r="26">
      <c r="A26" s="10"/>
      <c r="B26" s="143"/>
      <c r="C26" s="137"/>
      <c r="D26" s="137"/>
      <c r="E26" s="165"/>
      <c r="F26" s="7">
        <v>19.0</v>
      </c>
      <c r="G26" s="148">
        <f t="shared" si="8"/>
        <v>0</v>
      </c>
      <c r="H26" s="148">
        <f t="shared" si="9"/>
        <v>0</v>
      </c>
      <c r="I26" s="148">
        <f t="shared" si="2"/>
        <v>0</v>
      </c>
      <c r="J26" s="148"/>
      <c r="K26" s="148"/>
      <c r="L26" s="148"/>
      <c r="M26" s="148"/>
      <c r="N26" s="148"/>
      <c r="O26" s="148"/>
      <c r="P26" s="148"/>
      <c r="Q26" s="148"/>
      <c r="R26" s="148"/>
      <c r="S26" s="149"/>
      <c r="T26" s="148"/>
      <c r="U26" s="148"/>
      <c r="V26" s="148"/>
      <c r="W26" s="148"/>
      <c r="X26" s="150">
        <f t="shared" si="1"/>
        <v>0</v>
      </c>
      <c r="Y26" s="148">
        <f t="shared" si="10"/>
        <v>0</v>
      </c>
      <c r="Z26" s="97"/>
      <c r="AA26" s="10"/>
      <c r="AB26" s="10"/>
      <c r="AC26" s="10"/>
      <c r="AD26" s="135"/>
      <c r="AE26" s="10"/>
      <c r="AF26" s="10"/>
      <c r="AG26" s="10"/>
      <c r="AH26" s="10"/>
      <c r="AI26" s="10"/>
      <c r="AJ26" s="10"/>
      <c r="AK26" s="10"/>
    </row>
    <row r="27">
      <c r="A27" s="10"/>
      <c r="B27" s="143"/>
      <c r="C27" s="137">
        <v>240.0</v>
      </c>
      <c r="D27" s="143"/>
      <c r="E27" s="143"/>
      <c r="F27" s="7">
        <v>20.0</v>
      </c>
      <c r="G27" s="148">
        <f>SUM(10450*0.2)</f>
        <v>2090</v>
      </c>
      <c r="H27" s="148">
        <f>SUM(10450*0.8)</f>
        <v>8360</v>
      </c>
      <c r="I27" s="148">
        <f t="shared" si="2"/>
        <v>8360</v>
      </c>
      <c r="J27" s="148"/>
      <c r="K27" s="148"/>
      <c r="L27" s="148"/>
      <c r="M27" s="148"/>
      <c r="N27" s="148"/>
      <c r="O27" s="148"/>
      <c r="P27" s="148"/>
      <c r="Q27" s="148"/>
      <c r="R27" s="148"/>
      <c r="S27" s="149"/>
      <c r="T27" s="148"/>
      <c r="U27" s="148"/>
      <c r="V27" s="148"/>
      <c r="W27" s="148"/>
      <c r="X27" s="150">
        <f t="shared" si="1"/>
        <v>18810</v>
      </c>
      <c r="Y27" s="148">
        <f t="shared" ref="Y27:Y32" si="11">SUM(G27*0.04)+(H27*0.1)+(J27*27)+(K27*40)+(M27*50)+(O27*350)+(P27*550)+(Q27*160)+(R27*200)+(S27*260)+(T27*330)+(U27*110)+(V27*120)+(W27*0.7)+(I27*0.04)</f>
        <v>1254</v>
      </c>
      <c r="Z27" s="97"/>
      <c r="AA27" s="10"/>
      <c r="AB27" s="10"/>
      <c r="AC27" s="10"/>
      <c r="AD27" s="135"/>
      <c r="AE27" s="10"/>
      <c r="AF27" s="10"/>
      <c r="AG27" s="10"/>
      <c r="AH27" s="10"/>
      <c r="AI27" s="10"/>
      <c r="AJ27" s="10"/>
      <c r="AK27" s="10"/>
    </row>
    <row r="28">
      <c r="A28" s="10"/>
      <c r="B28" s="143"/>
      <c r="C28" s="137">
        <v>240.0</v>
      </c>
      <c r="D28" s="143"/>
      <c r="E28" s="143"/>
      <c r="F28" s="7">
        <v>21.0</v>
      </c>
      <c r="G28" s="148">
        <f>SUM(7200*0.2)</f>
        <v>1440</v>
      </c>
      <c r="H28" s="148">
        <f>SUM(7200*0.8)</f>
        <v>5760</v>
      </c>
      <c r="I28" s="148">
        <f t="shared" si="2"/>
        <v>5760</v>
      </c>
      <c r="J28" s="148"/>
      <c r="K28" s="148"/>
      <c r="L28" s="148"/>
      <c r="M28" s="148"/>
      <c r="N28" s="148"/>
      <c r="O28" s="148"/>
      <c r="P28" s="148"/>
      <c r="Q28" s="148"/>
      <c r="R28" s="151"/>
      <c r="S28" s="148"/>
      <c r="T28" s="148"/>
      <c r="U28" s="148"/>
      <c r="V28" s="148"/>
      <c r="W28" s="148"/>
      <c r="X28" s="150">
        <f t="shared" si="1"/>
        <v>12960</v>
      </c>
      <c r="Y28" s="148">
        <f t="shared" si="11"/>
        <v>864</v>
      </c>
      <c r="Z28" s="97"/>
      <c r="AA28" s="10"/>
      <c r="AB28" s="10"/>
      <c r="AC28" s="10"/>
      <c r="AD28" s="135"/>
      <c r="AE28" s="10"/>
      <c r="AF28" s="10"/>
      <c r="AG28" s="10"/>
      <c r="AH28" s="10"/>
      <c r="AI28" s="10"/>
      <c r="AJ28" s="10"/>
      <c r="AK28" s="10"/>
    </row>
    <row r="29">
      <c r="A29" s="10"/>
      <c r="B29" s="143"/>
      <c r="C29" s="137">
        <v>240.0</v>
      </c>
      <c r="D29" s="143"/>
      <c r="E29" s="143"/>
      <c r="F29" s="7">
        <v>22.0</v>
      </c>
      <c r="G29" s="148">
        <f>SUM(8700*0.2)</f>
        <v>1740</v>
      </c>
      <c r="H29" s="148">
        <f>SUM(8700*0.8)</f>
        <v>6960</v>
      </c>
      <c r="I29" s="148">
        <f t="shared" si="2"/>
        <v>6960</v>
      </c>
      <c r="J29" s="148"/>
      <c r="K29" s="148"/>
      <c r="L29" s="148"/>
      <c r="M29" s="148"/>
      <c r="N29" s="148"/>
      <c r="O29" s="148"/>
      <c r="P29" s="148"/>
      <c r="Q29" s="148"/>
      <c r="R29" s="148"/>
      <c r="S29" s="149"/>
      <c r="T29" s="148"/>
      <c r="U29" s="148"/>
      <c r="V29" s="148"/>
      <c r="W29" s="148"/>
      <c r="X29" s="150">
        <f t="shared" si="1"/>
        <v>15660</v>
      </c>
      <c r="Y29" s="148">
        <f t="shared" si="11"/>
        <v>1044</v>
      </c>
      <c r="Z29" s="97"/>
      <c r="AA29" s="10"/>
      <c r="AB29" s="10"/>
      <c r="AC29" s="10"/>
      <c r="AD29" s="135"/>
      <c r="AE29" s="10"/>
      <c r="AF29" s="10"/>
      <c r="AG29" s="10"/>
      <c r="AH29" s="10"/>
      <c r="AI29" s="10"/>
      <c r="AJ29" s="10"/>
      <c r="AK29" s="10"/>
    </row>
    <row r="30">
      <c r="A30" s="10"/>
      <c r="B30" s="143"/>
      <c r="C30" s="137">
        <v>240.0</v>
      </c>
      <c r="D30" s="143"/>
      <c r="E30" s="143"/>
      <c r="F30" s="7">
        <v>23.0</v>
      </c>
      <c r="G30" s="148">
        <f>SUM(16000*0.2)</f>
        <v>3200</v>
      </c>
      <c r="H30" s="148">
        <f>SUM(16000*0.8)</f>
        <v>12800</v>
      </c>
      <c r="I30" s="148">
        <f t="shared" si="2"/>
        <v>12800</v>
      </c>
      <c r="J30" s="148"/>
      <c r="K30" s="148"/>
      <c r="L30" s="148"/>
      <c r="M30" s="148"/>
      <c r="N30" s="148"/>
      <c r="O30" s="148"/>
      <c r="P30" s="148"/>
      <c r="Q30" s="148"/>
      <c r="R30" s="151"/>
      <c r="S30" s="148"/>
      <c r="T30" s="148"/>
      <c r="U30" s="148"/>
      <c r="V30" s="148"/>
      <c r="W30" s="148"/>
      <c r="X30" s="150">
        <f t="shared" si="1"/>
        <v>28800</v>
      </c>
      <c r="Y30" s="148">
        <f t="shared" si="11"/>
        <v>1920</v>
      </c>
      <c r="Z30" s="97"/>
      <c r="AA30" s="10"/>
      <c r="AB30" s="10"/>
      <c r="AC30" s="10"/>
      <c r="AD30" s="135"/>
      <c r="AE30" s="10"/>
      <c r="AF30" s="10"/>
      <c r="AG30" s="10"/>
      <c r="AH30" s="10"/>
      <c r="AI30" s="10"/>
      <c r="AJ30" s="10"/>
      <c r="AK30" s="10"/>
    </row>
    <row r="31">
      <c r="A31" s="10"/>
      <c r="B31" s="143"/>
      <c r="C31" s="137">
        <v>240.0</v>
      </c>
      <c r="D31" s="143"/>
      <c r="E31" s="143"/>
      <c r="F31" s="7">
        <v>24.0</v>
      </c>
      <c r="G31" s="148">
        <f>SUM(16800*0.2)</f>
        <v>3360</v>
      </c>
      <c r="H31" s="148">
        <f>SUM(16800*0.8)</f>
        <v>13440</v>
      </c>
      <c r="I31" s="148">
        <f t="shared" si="2"/>
        <v>13440</v>
      </c>
      <c r="J31" s="148"/>
      <c r="K31" s="148"/>
      <c r="L31" s="148"/>
      <c r="M31" s="148"/>
      <c r="N31" s="148"/>
      <c r="O31" s="148"/>
      <c r="P31" s="148"/>
      <c r="Q31" s="148"/>
      <c r="R31" s="148"/>
      <c r="S31" s="149"/>
      <c r="T31" s="148"/>
      <c r="U31" s="148"/>
      <c r="V31" s="148"/>
      <c r="W31" s="148"/>
      <c r="X31" s="150">
        <f t="shared" si="1"/>
        <v>30240</v>
      </c>
      <c r="Y31" s="148">
        <f t="shared" si="11"/>
        <v>2016</v>
      </c>
      <c r="Z31" s="97"/>
      <c r="AA31" s="10"/>
      <c r="AB31" s="10"/>
      <c r="AC31" s="10"/>
      <c r="AD31" s="135"/>
      <c r="AE31" s="10"/>
      <c r="AF31" s="10"/>
      <c r="AG31" s="10"/>
      <c r="AH31" s="10"/>
      <c r="AI31" s="10"/>
      <c r="AJ31" s="10"/>
      <c r="AK31" s="10"/>
    </row>
    <row r="32">
      <c r="A32" s="10"/>
      <c r="B32" s="166"/>
      <c r="C32" s="167"/>
      <c r="D32" s="166"/>
      <c r="E32" s="166"/>
      <c r="F32" s="7">
        <v>25.0</v>
      </c>
      <c r="G32" s="148">
        <f>SUM(0*0.2)</f>
        <v>0</v>
      </c>
      <c r="H32" s="148">
        <f>SUM(0*0.8)</f>
        <v>0</v>
      </c>
      <c r="I32" s="148">
        <f t="shared" si="2"/>
        <v>0</v>
      </c>
      <c r="J32" s="148"/>
      <c r="K32" s="148"/>
      <c r="L32" s="148"/>
      <c r="M32" s="148"/>
      <c r="N32" s="148"/>
      <c r="O32" s="148"/>
      <c r="P32" s="148"/>
      <c r="Q32" s="148"/>
      <c r="R32" s="148"/>
      <c r="S32" s="149"/>
      <c r="T32" s="148"/>
      <c r="U32" s="148"/>
      <c r="V32" s="148"/>
      <c r="W32" s="148"/>
      <c r="X32" s="150">
        <f t="shared" si="1"/>
        <v>0</v>
      </c>
      <c r="Y32" s="148">
        <f t="shared" si="11"/>
        <v>0</v>
      </c>
      <c r="Z32" s="97"/>
      <c r="AA32" s="10"/>
      <c r="AB32" s="10"/>
      <c r="AC32" s="10"/>
      <c r="AD32" s="135"/>
      <c r="AE32" s="10"/>
      <c r="AF32" s="10"/>
      <c r="AG32" s="10"/>
      <c r="AH32" s="10"/>
      <c r="AI32" s="10"/>
      <c r="AJ32" s="10"/>
      <c r="AK32" s="10"/>
    </row>
    <row r="33">
      <c r="A33" s="10"/>
      <c r="B33" s="10"/>
      <c r="C33" s="10"/>
      <c r="D33" s="10"/>
      <c r="E33" s="10"/>
      <c r="F33" s="134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35"/>
      <c r="AE33" s="10"/>
      <c r="AF33" s="10"/>
      <c r="AG33" s="10"/>
      <c r="AH33" s="10"/>
      <c r="AI33" s="10"/>
      <c r="AJ33" s="10"/>
      <c r="AK33" s="10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6.13"/>
    <col customWidth="1" min="4" max="4" width="33.0"/>
    <col customWidth="1" min="5" max="5" width="17.25"/>
    <col customWidth="1" min="6" max="6" width="4.38"/>
    <col customWidth="1" min="7" max="7" width="11.13"/>
    <col customWidth="1" min="8" max="9" width="9.38"/>
    <col customWidth="1" min="10" max="10" width="6.63"/>
    <col customWidth="1" min="11" max="11" width="6.38"/>
    <col customWidth="1" min="12" max="12" width="6.25"/>
    <col customWidth="1" min="13" max="13" width="6.63"/>
    <col customWidth="1" min="14" max="14" width="5.5"/>
    <col customWidth="1" min="15" max="17" width="9.38"/>
    <col customWidth="1" min="18" max="18" width="7.5"/>
    <col customWidth="1" min="19" max="22" width="9.38"/>
    <col customWidth="1" min="23" max="23" width="7.25"/>
    <col customWidth="1" min="25" max="25" width="7.63"/>
    <col customWidth="1" min="26" max="26" width="7.25"/>
    <col customWidth="1" min="27" max="27" width="25.13"/>
    <col customWidth="1" min="28" max="28" width="12.25"/>
    <col customWidth="1" min="29" max="29" width="3.0"/>
    <col customWidth="1" min="30" max="30" width="15.25"/>
    <col customWidth="1" min="31" max="31" width="11.25"/>
  </cols>
  <sheetData>
    <row r="1" ht="27.0" customHeight="1">
      <c r="B1" s="1"/>
      <c r="E1" s="1"/>
      <c r="F1" s="2"/>
      <c r="Z1" s="1"/>
      <c r="AD1" s="3"/>
      <c r="AE1" s="4"/>
    </row>
    <row r="2" ht="19.5" customHeight="1">
      <c r="A2" s="5"/>
      <c r="B2" s="6" t="s">
        <v>0</v>
      </c>
      <c r="C2" s="6" t="s">
        <v>37</v>
      </c>
      <c r="D2" s="6" t="s">
        <v>38</v>
      </c>
      <c r="E2" s="6" t="s">
        <v>3</v>
      </c>
      <c r="F2" s="7" t="s">
        <v>4</v>
      </c>
      <c r="G2" s="8" t="s">
        <v>113</v>
      </c>
      <c r="H2" s="8" t="s">
        <v>114</v>
      </c>
      <c r="I2" s="8" t="s">
        <v>52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9" t="s">
        <v>15</v>
      </c>
      <c r="R2" s="8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7" t="s">
        <v>22</v>
      </c>
      <c r="Y2" s="7" t="s">
        <v>23</v>
      </c>
      <c r="Z2" s="10"/>
      <c r="AA2" s="11"/>
      <c r="AB2" s="11"/>
      <c r="AC2" s="11"/>
      <c r="AD2" s="12"/>
      <c r="AE2" s="13"/>
      <c r="AF2" s="11"/>
      <c r="AG2" s="11"/>
      <c r="AH2" s="11"/>
      <c r="AI2" s="11"/>
      <c r="AJ2" s="11"/>
      <c r="AK2" s="11"/>
    </row>
    <row r="3">
      <c r="B3" s="14"/>
      <c r="C3" s="15"/>
      <c r="D3" s="15"/>
      <c r="E3" s="16"/>
      <c r="F3" s="17">
        <v>26.0</v>
      </c>
      <c r="G3" s="42"/>
      <c r="H3" s="42"/>
      <c r="I3" s="42"/>
      <c r="J3" s="45"/>
      <c r="K3" s="42"/>
      <c r="L3" s="42"/>
      <c r="M3" s="42"/>
      <c r="N3" s="42"/>
      <c r="O3" s="42"/>
      <c r="P3" s="42"/>
      <c r="Q3" s="42"/>
      <c r="R3" s="45"/>
      <c r="S3" s="42"/>
      <c r="T3" s="42"/>
      <c r="U3" s="42"/>
      <c r="V3" s="42"/>
      <c r="W3" s="42"/>
      <c r="X3" s="46">
        <f t="shared" ref="X3:X33" si="1">SUM(G3:W3)</f>
        <v>0</v>
      </c>
      <c r="Y3" s="47">
        <f>SUM(G3*0.08)+(H3*0.14)+(J3*27)+(K3*40)+(M3*50)+(O3*350)+(P3*550)+(Q3*160)+(R3*200)+(S3*260)+(T3*330)+(U3*110)+(V3*120)+(W3*0.7)</f>
        <v>0</v>
      </c>
      <c r="Z3" s="22"/>
      <c r="AA3" s="23" t="s">
        <v>24</v>
      </c>
      <c r="AB3" s="24">
        <f>SUM(Y3:Y33)</f>
        <v>34867.712</v>
      </c>
      <c r="AD3" s="3"/>
      <c r="AE3" s="4"/>
    </row>
    <row r="4">
      <c r="B4" s="25"/>
      <c r="C4" s="15">
        <v>240.0</v>
      </c>
      <c r="D4" s="15"/>
      <c r="E4" s="16"/>
      <c r="F4" s="17">
        <v>27.0</v>
      </c>
      <c r="G4" s="43">
        <f>SUM(11400*0.2)</f>
        <v>2280</v>
      </c>
      <c r="H4" s="43">
        <f>SUM(11400*0.8)</f>
        <v>9120</v>
      </c>
      <c r="I4" s="45">
        <f t="shared" ref="I4:I33" si="2">SUM(0.8*H4)</f>
        <v>7296</v>
      </c>
      <c r="J4" s="45"/>
      <c r="K4" s="42"/>
      <c r="L4" s="42"/>
      <c r="M4" s="42"/>
      <c r="N4" s="42"/>
      <c r="O4" s="42"/>
      <c r="P4" s="42"/>
      <c r="Q4" s="42"/>
      <c r="R4" s="45"/>
      <c r="S4" s="42"/>
      <c r="T4" s="42"/>
      <c r="U4" s="42"/>
      <c r="V4" s="42"/>
      <c r="W4" s="42"/>
      <c r="X4" s="46">
        <f t="shared" si="1"/>
        <v>18696</v>
      </c>
      <c r="Y4" s="47">
        <f t="shared" ref="Y4:Y33" si="3">SUM(G4*0.04)+(H4*0.1)+(I4*0.04)+(J4*27)+(K4*40)+(M4*50)+(O4*350)+(P4*550)+(Q4*160)+(R4*200)+(S4*260)+(T4*330)+(U4*110)+(V4*120)+(W4*0.7)</f>
        <v>1295.04</v>
      </c>
      <c r="Z4" s="22"/>
      <c r="AD4" s="3"/>
      <c r="AE4" s="4"/>
    </row>
    <row r="5">
      <c r="B5" s="25"/>
      <c r="C5" s="15">
        <v>240.0</v>
      </c>
      <c r="D5" s="15"/>
      <c r="E5" s="16"/>
      <c r="F5" s="17">
        <v>28.0</v>
      </c>
      <c r="G5" s="43">
        <f>SUM(15200*0.2)</f>
        <v>3040</v>
      </c>
      <c r="H5" s="43">
        <f>SUM(15200*0.8)</f>
        <v>12160</v>
      </c>
      <c r="I5" s="45">
        <f t="shared" si="2"/>
        <v>9728</v>
      </c>
      <c r="J5" s="45"/>
      <c r="K5" s="42"/>
      <c r="L5" s="42"/>
      <c r="M5" s="42"/>
      <c r="N5" s="42"/>
      <c r="O5" s="42"/>
      <c r="P5" s="42"/>
      <c r="Q5" s="42"/>
      <c r="R5" s="45"/>
      <c r="S5" s="42"/>
      <c r="T5" s="42"/>
      <c r="U5" s="42"/>
      <c r="V5" s="42"/>
      <c r="W5" s="42"/>
      <c r="X5" s="46">
        <f t="shared" si="1"/>
        <v>24928</v>
      </c>
      <c r="Y5" s="47">
        <f t="shared" si="3"/>
        <v>1726.72</v>
      </c>
      <c r="Z5" s="22"/>
      <c r="AD5" s="3"/>
      <c r="AE5" s="4"/>
    </row>
    <row r="6">
      <c r="B6" s="25"/>
      <c r="C6" s="15">
        <v>240.0</v>
      </c>
      <c r="D6" s="15"/>
      <c r="E6" s="16"/>
      <c r="F6" s="17">
        <v>29.0</v>
      </c>
      <c r="G6" s="47">
        <f>SUM(10500*0.2)</f>
        <v>2100</v>
      </c>
      <c r="H6" s="168">
        <f>SUM(10500*0.8)</f>
        <v>8400</v>
      </c>
      <c r="I6" s="45">
        <f t="shared" si="2"/>
        <v>6720</v>
      </c>
      <c r="J6" s="169"/>
      <c r="K6" s="169"/>
      <c r="L6" s="169"/>
      <c r="M6" s="169"/>
      <c r="N6" s="169"/>
      <c r="O6" s="169"/>
      <c r="P6" s="169"/>
      <c r="Q6" s="169"/>
      <c r="R6" s="170"/>
      <c r="S6" s="169"/>
      <c r="T6" s="169"/>
      <c r="U6" s="169"/>
      <c r="V6" s="169"/>
      <c r="W6" s="169"/>
      <c r="X6" s="168">
        <f t="shared" si="1"/>
        <v>17220</v>
      </c>
      <c r="Y6" s="168">
        <f t="shared" si="3"/>
        <v>1192.8</v>
      </c>
      <c r="Z6" s="22"/>
      <c r="AD6" s="3"/>
      <c r="AE6" s="4"/>
    </row>
    <row r="7">
      <c r="B7" s="25"/>
      <c r="C7" s="15">
        <v>240.0</v>
      </c>
      <c r="D7" s="27"/>
      <c r="E7" s="25"/>
      <c r="F7" s="17">
        <v>30.0</v>
      </c>
      <c r="G7" s="47">
        <f>SUM(8400*0.2)</f>
        <v>1680</v>
      </c>
      <c r="H7" s="168">
        <f>SUM(8400*0.8)</f>
        <v>6720</v>
      </c>
      <c r="I7" s="45">
        <f t="shared" si="2"/>
        <v>5376</v>
      </c>
      <c r="J7" s="169"/>
      <c r="K7" s="169"/>
      <c r="L7" s="169"/>
      <c r="M7" s="169"/>
      <c r="N7" s="169"/>
      <c r="O7" s="169"/>
      <c r="P7" s="169"/>
      <c r="Q7" s="169"/>
      <c r="R7" s="170"/>
      <c r="S7" s="169"/>
      <c r="T7" s="169"/>
      <c r="U7" s="169"/>
      <c r="V7" s="169"/>
      <c r="W7" s="169"/>
      <c r="X7" s="168">
        <f t="shared" si="1"/>
        <v>13776</v>
      </c>
      <c r="Y7" s="168">
        <f t="shared" si="3"/>
        <v>954.24</v>
      </c>
      <c r="Z7" s="22"/>
      <c r="AD7" s="3"/>
      <c r="AE7" s="4"/>
    </row>
    <row r="8">
      <c r="B8" s="25"/>
      <c r="C8" s="15">
        <v>240.0</v>
      </c>
      <c r="D8" s="27"/>
      <c r="E8" s="25"/>
      <c r="F8" s="17">
        <v>31.0</v>
      </c>
      <c r="G8" s="47">
        <f>SUM(5400*0.2)</f>
        <v>1080</v>
      </c>
      <c r="H8" s="168">
        <f>SUM(5400*0.8)</f>
        <v>4320</v>
      </c>
      <c r="I8" s="45">
        <f t="shared" si="2"/>
        <v>3456</v>
      </c>
      <c r="J8" s="171">
        <v>21.0</v>
      </c>
      <c r="K8" s="169"/>
      <c r="L8" s="169"/>
      <c r="M8" s="169"/>
      <c r="N8" s="169"/>
      <c r="O8" s="169"/>
      <c r="P8" s="169"/>
      <c r="Q8" s="171">
        <v>5.0</v>
      </c>
      <c r="R8" s="170"/>
      <c r="S8" s="169"/>
      <c r="T8" s="169"/>
      <c r="U8" s="169"/>
      <c r="V8" s="169"/>
      <c r="W8" s="169"/>
      <c r="X8" s="168">
        <f t="shared" si="1"/>
        <v>8882</v>
      </c>
      <c r="Y8" s="168">
        <f t="shared" si="3"/>
        <v>1980.44</v>
      </c>
      <c r="Z8" s="22"/>
      <c r="AD8" s="3"/>
      <c r="AE8" s="4"/>
    </row>
    <row r="9">
      <c r="B9" s="25"/>
      <c r="C9" s="27"/>
      <c r="D9" s="27"/>
      <c r="E9" s="25"/>
      <c r="F9" s="17">
        <v>1.0</v>
      </c>
      <c r="G9" s="47">
        <f t="shared" ref="G9:G10" si="4">SUM(0*0.2)</f>
        <v>0</v>
      </c>
      <c r="H9" s="168">
        <f t="shared" ref="H9:H10" si="5">SUM(0*0.8)</f>
        <v>0</v>
      </c>
      <c r="I9" s="45">
        <f t="shared" si="2"/>
        <v>0</v>
      </c>
      <c r="J9" s="169"/>
      <c r="K9" s="169"/>
      <c r="L9" s="169"/>
      <c r="M9" s="169"/>
      <c r="N9" s="169"/>
      <c r="O9" s="169"/>
      <c r="P9" s="169"/>
      <c r="Q9" s="169"/>
      <c r="R9" s="170"/>
      <c r="S9" s="169"/>
      <c r="T9" s="169"/>
      <c r="U9" s="169"/>
      <c r="V9" s="169"/>
      <c r="W9" s="169"/>
      <c r="X9" s="168">
        <f t="shared" si="1"/>
        <v>0</v>
      </c>
      <c r="Y9" s="168">
        <f t="shared" si="3"/>
        <v>0</v>
      </c>
      <c r="Z9" s="22"/>
      <c r="AA9" s="29"/>
      <c r="AD9" s="3"/>
      <c r="AE9" s="4"/>
    </row>
    <row r="10">
      <c r="B10" s="25"/>
      <c r="C10" s="27"/>
      <c r="D10" s="27"/>
      <c r="E10" s="25"/>
      <c r="F10" s="17">
        <v>2.0</v>
      </c>
      <c r="G10" s="47">
        <f t="shared" si="4"/>
        <v>0</v>
      </c>
      <c r="H10" s="168">
        <f t="shared" si="5"/>
        <v>0</v>
      </c>
      <c r="I10" s="45">
        <f t="shared" si="2"/>
        <v>0</v>
      </c>
      <c r="J10" s="169"/>
      <c r="K10" s="169"/>
      <c r="L10" s="169"/>
      <c r="M10" s="169"/>
      <c r="N10" s="169"/>
      <c r="O10" s="169"/>
      <c r="P10" s="169"/>
      <c r="Q10" s="169"/>
      <c r="R10" s="170"/>
      <c r="S10" s="169"/>
      <c r="T10" s="169"/>
      <c r="U10" s="169"/>
      <c r="V10" s="169"/>
      <c r="W10" s="169"/>
      <c r="X10" s="168">
        <f t="shared" si="1"/>
        <v>0</v>
      </c>
      <c r="Y10" s="168">
        <f t="shared" si="3"/>
        <v>0</v>
      </c>
      <c r="Z10" s="22"/>
      <c r="AD10" s="3"/>
      <c r="AE10" s="4"/>
    </row>
    <row r="11">
      <c r="B11" s="25"/>
      <c r="C11" s="15">
        <v>240.0</v>
      </c>
      <c r="D11" s="27"/>
      <c r="E11" s="25"/>
      <c r="F11" s="17">
        <v>3.0</v>
      </c>
      <c r="G11" s="47">
        <f>SUM(12000*0.2)</f>
        <v>2400</v>
      </c>
      <c r="H11" s="168">
        <f>SUM(12000*0.8)</f>
        <v>9600</v>
      </c>
      <c r="I11" s="45">
        <f t="shared" si="2"/>
        <v>7680</v>
      </c>
      <c r="J11" s="169"/>
      <c r="K11" s="169"/>
      <c r="L11" s="169"/>
      <c r="M11" s="169"/>
      <c r="N11" s="169"/>
      <c r="O11" s="169"/>
      <c r="P11" s="169"/>
      <c r="Q11" s="169"/>
      <c r="R11" s="170"/>
      <c r="S11" s="169"/>
      <c r="T11" s="169"/>
      <c r="U11" s="169"/>
      <c r="V11" s="169"/>
      <c r="W11" s="169"/>
      <c r="X11" s="168">
        <f t="shared" si="1"/>
        <v>19680</v>
      </c>
      <c r="Y11" s="168">
        <f t="shared" si="3"/>
        <v>1363.2</v>
      </c>
      <c r="Z11" s="22"/>
      <c r="AD11" s="3"/>
      <c r="AE11" s="4"/>
    </row>
    <row r="12">
      <c r="B12" s="25"/>
      <c r="C12" s="15">
        <v>240.0</v>
      </c>
      <c r="D12" s="75"/>
      <c r="E12" s="33"/>
      <c r="F12" s="17">
        <v>4.0</v>
      </c>
      <c r="G12" s="47">
        <f>SUM(11500*0.2)</f>
        <v>2300</v>
      </c>
      <c r="H12" s="168">
        <f>SUM(11500*0.8)</f>
        <v>9200</v>
      </c>
      <c r="I12" s="45">
        <f t="shared" si="2"/>
        <v>7360</v>
      </c>
      <c r="J12" s="169"/>
      <c r="K12" s="169"/>
      <c r="L12" s="169"/>
      <c r="M12" s="169"/>
      <c r="N12" s="169"/>
      <c r="O12" s="169"/>
      <c r="P12" s="169"/>
      <c r="Q12" s="169"/>
      <c r="R12" s="170"/>
      <c r="S12" s="169"/>
      <c r="T12" s="169"/>
      <c r="U12" s="169"/>
      <c r="V12" s="169"/>
      <c r="W12" s="169"/>
      <c r="X12" s="168">
        <f t="shared" si="1"/>
        <v>18860</v>
      </c>
      <c r="Y12" s="168">
        <f t="shared" si="3"/>
        <v>1306.4</v>
      </c>
      <c r="Z12" s="22"/>
      <c r="AD12" s="3"/>
      <c r="AE12" s="4"/>
    </row>
    <row r="13">
      <c r="B13" s="25"/>
      <c r="C13" s="15">
        <v>240.0</v>
      </c>
      <c r="D13" s="75"/>
      <c r="E13" s="33"/>
      <c r="F13" s="17">
        <v>5.0</v>
      </c>
      <c r="G13" s="47">
        <f>SUM(14250*0.2)</f>
        <v>2850</v>
      </c>
      <c r="H13" s="168">
        <f>SUM(14250*0.8)</f>
        <v>11400</v>
      </c>
      <c r="I13" s="45">
        <f t="shared" si="2"/>
        <v>9120</v>
      </c>
      <c r="J13" s="169"/>
      <c r="K13" s="169"/>
      <c r="L13" s="169"/>
      <c r="M13" s="169"/>
      <c r="N13" s="169"/>
      <c r="O13" s="169"/>
      <c r="P13" s="169"/>
      <c r="Q13" s="169"/>
      <c r="R13" s="170"/>
      <c r="S13" s="169"/>
      <c r="T13" s="169"/>
      <c r="U13" s="169"/>
      <c r="V13" s="169"/>
      <c r="W13" s="169"/>
      <c r="X13" s="168">
        <f t="shared" si="1"/>
        <v>23370</v>
      </c>
      <c r="Y13" s="168">
        <f t="shared" si="3"/>
        <v>1618.8</v>
      </c>
      <c r="Z13" s="22"/>
      <c r="AD13" s="3"/>
      <c r="AE13" s="4"/>
    </row>
    <row r="14">
      <c r="B14" s="25"/>
      <c r="C14" s="15">
        <v>240.0</v>
      </c>
      <c r="D14" s="34"/>
      <c r="E14" s="36"/>
      <c r="F14" s="17">
        <v>6.0</v>
      </c>
      <c r="G14" s="47">
        <f>SUM(6000*0.2)</f>
        <v>1200</v>
      </c>
      <c r="H14" s="168">
        <f>SUM(6000*0.8)</f>
        <v>4800</v>
      </c>
      <c r="I14" s="45">
        <f t="shared" si="2"/>
        <v>3840</v>
      </c>
      <c r="J14" s="169"/>
      <c r="K14" s="169"/>
      <c r="L14" s="169"/>
      <c r="M14" s="169"/>
      <c r="N14" s="169"/>
      <c r="O14" s="169"/>
      <c r="P14" s="169"/>
      <c r="Q14" s="169"/>
      <c r="R14" s="170"/>
      <c r="S14" s="169"/>
      <c r="T14" s="169"/>
      <c r="U14" s="169"/>
      <c r="V14" s="169"/>
      <c r="W14" s="169"/>
      <c r="X14" s="168">
        <f t="shared" si="1"/>
        <v>9840</v>
      </c>
      <c r="Y14" s="168">
        <f t="shared" si="3"/>
        <v>681.6</v>
      </c>
      <c r="Z14" s="22"/>
      <c r="AD14" s="3"/>
      <c r="AE14" s="4"/>
    </row>
    <row r="15">
      <c r="B15" s="25"/>
      <c r="C15" s="15">
        <v>240.0</v>
      </c>
      <c r="D15" s="27"/>
      <c r="E15" s="25"/>
      <c r="F15" s="17">
        <v>7.0</v>
      </c>
      <c r="G15" s="47">
        <f>SUM(10200*0.2)</f>
        <v>2040</v>
      </c>
      <c r="H15" s="168">
        <f>SUM(10200*0.8)</f>
        <v>8160</v>
      </c>
      <c r="I15" s="45">
        <f t="shared" si="2"/>
        <v>6528</v>
      </c>
      <c r="J15" s="169"/>
      <c r="K15" s="169"/>
      <c r="L15" s="169"/>
      <c r="M15" s="169"/>
      <c r="N15" s="169"/>
      <c r="O15" s="169"/>
      <c r="P15" s="169"/>
      <c r="Q15" s="169"/>
      <c r="R15" s="170"/>
      <c r="S15" s="169"/>
      <c r="T15" s="169"/>
      <c r="U15" s="169"/>
      <c r="V15" s="169"/>
      <c r="W15" s="169"/>
      <c r="X15" s="168">
        <f t="shared" si="1"/>
        <v>16728</v>
      </c>
      <c r="Y15" s="168">
        <f t="shared" si="3"/>
        <v>1158.72</v>
      </c>
      <c r="Z15" s="22"/>
      <c r="AD15" s="3"/>
      <c r="AE15" s="4"/>
    </row>
    <row r="16">
      <c r="B16" s="25"/>
      <c r="C16" s="27"/>
      <c r="D16" s="27"/>
      <c r="E16" s="25"/>
      <c r="F16" s="17">
        <v>8.0</v>
      </c>
      <c r="G16" s="47">
        <f t="shared" ref="G16:G17" si="6">SUM(0*0.2)</f>
        <v>0</v>
      </c>
      <c r="H16" s="168">
        <f t="shared" ref="H16:H17" si="7">SUM(0*0.8)</f>
        <v>0</v>
      </c>
      <c r="I16" s="45">
        <f t="shared" si="2"/>
        <v>0</v>
      </c>
      <c r="J16" s="169"/>
      <c r="K16" s="169"/>
      <c r="L16" s="169"/>
      <c r="M16" s="169"/>
      <c r="N16" s="169"/>
      <c r="O16" s="169"/>
      <c r="P16" s="169"/>
      <c r="Q16" s="169"/>
      <c r="R16" s="170"/>
      <c r="S16" s="169"/>
      <c r="T16" s="169"/>
      <c r="U16" s="169"/>
      <c r="V16" s="169"/>
      <c r="W16" s="169"/>
      <c r="X16" s="168">
        <f t="shared" si="1"/>
        <v>0</v>
      </c>
      <c r="Y16" s="168">
        <f t="shared" si="3"/>
        <v>0</v>
      </c>
      <c r="Z16" s="22"/>
      <c r="AD16" s="3"/>
      <c r="AE16" s="4"/>
    </row>
    <row r="17">
      <c r="B17" s="25"/>
      <c r="C17" s="15"/>
      <c r="D17" s="38"/>
      <c r="E17" s="16"/>
      <c r="F17" s="17">
        <v>9.0</v>
      </c>
      <c r="G17" s="47">
        <f t="shared" si="6"/>
        <v>0</v>
      </c>
      <c r="H17" s="168">
        <f t="shared" si="7"/>
        <v>0</v>
      </c>
      <c r="I17" s="45">
        <f t="shared" si="2"/>
        <v>0</v>
      </c>
      <c r="J17" s="169"/>
      <c r="K17" s="169"/>
      <c r="L17" s="169"/>
      <c r="M17" s="169"/>
      <c r="N17" s="169"/>
      <c r="O17" s="169"/>
      <c r="P17" s="169"/>
      <c r="Q17" s="169"/>
      <c r="R17" s="170"/>
      <c r="S17" s="169"/>
      <c r="T17" s="169"/>
      <c r="U17" s="169"/>
      <c r="V17" s="169"/>
      <c r="W17" s="169"/>
      <c r="X17" s="168">
        <f t="shared" si="1"/>
        <v>0</v>
      </c>
      <c r="Y17" s="168">
        <f t="shared" si="3"/>
        <v>0</v>
      </c>
      <c r="Z17" s="22"/>
      <c r="AD17" s="3"/>
      <c r="AE17" s="4"/>
    </row>
    <row r="18">
      <c r="B18" s="25"/>
      <c r="C18" s="15">
        <v>240.0</v>
      </c>
      <c r="D18" s="15"/>
      <c r="E18" s="16"/>
      <c r="F18" s="17">
        <v>10.0</v>
      </c>
      <c r="G18" s="47">
        <f>SUM(16600*0.2)</f>
        <v>3320</v>
      </c>
      <c r="H18" s="168">
        <f>SUM(16600*0.8)</f>
        <v>13280</v>
      </c>
      <c r="I18" s="45">
        <f t="shared" si="2"/>
        <v>10624</v>
      </c>
      <c r="J18" s="169"/>
      <c r="K18" s="169"/>
      <c r="L18" s="169"/>
      <c r="M18" s="169"/>
      <c r="N18" s="169"/>
      <c r="O18" s="169"/>
      <c r="P18" s="169"/>
      <c r="Q18" s="169"/>
      <c r="R18" s="170"/>
      <c r="S18" s="169"/>
      <c r="T18" s="169"/>
      <c r="U18" s="169"/>
      <c r="V18" s="169"/>
      <c r="W18" s="169"/>
      <c r="X18" s="168">
        <f t="shared" si="1"/>
        <v>27224</v>
      </c>
      <c r="Y18" s="168">
        <f t="shared" si="3"/>
        <v>1885.76</v>
      </c>
      <c r="Z18" s="22"/>
      <c r="AD18" s="3"/>
      <c r="AE18" s="4"/>
    </row>
    <row r="19">
      <c r="B19" s="25"/>
      <c r="C19" s="15">
        <v>240.0</v>
      </c>
      <c r="D19" s="15"/>
      <c r="E19" s="76"/>
      <c r="F19" s="17">
        <v>11.0</v>
      </c>
      <c r="G19" s="47">
        <f>SUM(11400*0.2)</f>
        <v>2280</v>
      </c>
      <c r="H19" s="168">
        <f>SUM(11400*0.8)</f>
        <v>9120</v>
      </c>
      <c r="I19" s="45">
        <f t="shared" si="2"/>
        <v>7296</v>
      </c>
      <c r="J19" s="169"/>
      <c r="K19" s="169"/>
      <c r="L19" s="169"/>
      <c r="M19" s="169"/>
      <c r="N19" s="169"/>
      <c r="O19" s="169"/>
      <c r="P19" s="169"/>
      <c r="Q19" s="169"/>
      <c r="R19" s="170"/>
      <c r="S19" s="169"/>
      <c r="T19" s="169"/>
      <c r="U19" s="169"/>
      <c r="V19" s="169"/>
      <c r="W19" s="169"/>
      <c r="X19" s="168">
        <f t="shared" si="1"/>
        <v>18696</v>
      </c>
      <c r="Y19" s="168">
        <f t="shared" si="3"/>
        <v>1295.04</v>
      </c>
      <c r="Z19" s="22"/>
      <c r="AD19" s="3"/>
      <c r="AE19" s="4"/>
    </row>
    <row r="20">
      <c r="B20" s="25"/>
      <c r="C20" s="15">
        <v>240.0</v>
      </c>
      <c r="D20" s="38"/>
      <c r="E20" s="16"/>
      <c r="F20" s="17">
        <v>12.0</v>
      </c>
      <c r="G20" s="47">
        <f>SUM(17109*0.2)</f>
        <v>3421.8</v>
      </c>
      <c r="H20" s="168">
        <f>SUM(17100*0.8)</f>
        <v>13680</v>
      </c>
      <c r="I20" s="45">
        <f t="shared" si="2"/>
        <v>10944</v>
      </c>
      <c r="J20" s="169"/>
      <c r="K20" s="169"/>
      <c r="L20" s="169"/>
      <c r="M20" s="169"/>
      <c r="N20" s="169"/>
      <c r="O20" s="169"/>
      <c r="P20" s="169"/>
      <c r="Q20" s="169"/>
      <c r="R20" s="170"/>
      <c r="S20" s="169"/>
      <c r="T20" s="169"/>
      <c r="U20" s="169"/>
      <c r="V20" s="169"/>
      <c r="W20" s="169"/>
      <c r="X20" s="168">
        <f t="shared" si="1"/>
        <v>28045.8</v>
      </c>
      <c r="Y20" s="168">
        <f t="shared" si="3"/>
        <v>1942.632</v>
      </c>
      <c r="Z20" s="22"/>
      <c r="AD20" s="3"/>
      <c r="AE20" s="4"/>
    </row>
    <row r="21">
      <c r="B21" s="25"/>
      <c r="C21" s="15">
        <v>240.0</v>
      </c>
      <c r="D21" s="38"/>
      <c r="E21" s="16"/>
      <c r="F21" s="17">
        <v>13.0</v>
      </c>
      <c r="G21" s="47">
        <f>SUM(13900*0.2)</f>
        <v>2780</v>
      </c>
      <c r="H21" s="168">
        <f>SUM(13900*0.8)</f>
        <v>11120</v>
      </c>
      <c r="I21" s="45">
        <f t="shared" si="2"/>
        <v>8896</v>
      </c>
      <c r="J21" s="169"/>
      <c r="K21" s="169"/>
      <c r="L21" s="169"/>
      <c r="M21" s="169"/>
      <c r="N21" s="169"/>
      <c r="O21" s="169"/>
      <c r="P21" s="169"/>
      <c r="Q21" s="169"/>
      <c r="R21" s="170"/>
      <c r="S21" s="169"/>
      <c r="T21" s="169"/>
      <c r="U21" s="169"/>
      <c r="V21" s="169"/>
      <c r="W21" s="169"/>
      <c r="X21" s="168">
        <f t="shared" si="1"/>
        <v>22796</v>
      </c>
      <c r="Y21" s="168">
        <f t="shared" si="3"/>
        <v>1579.04</v>
      </c>
      <c r="Z21" s="22"/>
      <c r="AD21" s="3"/>
      <c r="AE21" s="4"/>
    </row>
    <row r="22">
      <c r="B22" s="25"/>
      <c r="C22" s="15">
        <v>240.0</v>
      </c>
      <c r="D22" s="27"/>
      <c r="E22" s="25"/>
      <c r="F22" s="17">
        <v>14.0</v>
      </c>
      <c r="G22" s="47">
        <f>SUM(13500*0.2)</f>
        <v>2700</v>
      </c>
      <c r="H22" s="168">
        <f>SUM(13500*0.8)</f>
        <v>10800</v>
      </c>
      <c r="I22" s="45">
        <f t="shared" si="2"/>
        <v>8640</v>
      </c>
      <c r="J22" s="169"/>
      <c r="K22" s="169"/>
      <c r="L22" s="169"/>
      <c r="M22" s="169"/>
      <c r="N22" s="169"/>
      <c r="O22" s="169"/>
      <c r="P22" s="169"/>
      <c r="Q22" s="169"/>
      <c r="R22" s="170"/>
      <c r="S22" s="169"/>
      <c r="T22" s="169"/>
      <c r="U22" s="169"/>
      <c r="V22" s="169"/>
      <c r="W22" s="169"/>
      <c r="X22" s="168">
        <f t="shared" si="1"/>
        <v>22140</v>
      </c>
      <c r="Y22" s="168">
        <f t="shared" si="3"/>
        <v>1533.6</v>
      </c>
      <c r="Z22" s="22"/>
      <c r="AD22" s="3"/>
      <c r="AE22" s="4"/>
    </row>
    <row r="23">
      <c r="B23" s="25"/>
      <c r="C23" s="27"/>
      <c r="D23" s="27"/>
      <c r="E23" s="25"/>
      <c r="F23" s="17">
        <v>15.0</v>
      </c>
      <c r="G23" s="47">
        <f t="shared" ref="G23:G24" si="8">SUM(0*0.2)</f>
        <v>0</v>
      </c>
      <c r="H23" s="168">
        <f t="shared" ref="H23:H24" si="9">SUM(0*0.8)</f>
        <v>0</v>
      </c>
      <c r="I23" s="45">
        <f t="shared" si="2"/>
        <v>0</v>
      </c>
      <c r="J23" s="169"/>
      <c r="K23" s="169"/>
      <c r="L23" s="169"/>
      <c r="M23" s="169"/>
      <c r="N23" s="169"/>
      <c r="O23" s="169"/>
      <c r="P23" s="169"/>
      <c r="Q23" s="169"/>
      <c r="R23" s="170"/>
      <c r="S23" s="169"/>
      <c r="T23" s="169"/>
      <c r="U23" s="169"/>
      <c r="V23" s="169"/>
      <c r="W23" s="169"/>
      <c r="X23" s="168">
        <f t="shared" si="1"/>
        <v>0</v>
      </c>
      <c r="Y23" s="168">
        <f t="shared" si="3"/>
        <v>0</v>
      </c>
      <c r="Z23" s="22"/>
      <c r="AD23" s="3"/>
      <c r="AE23" s="4"/>
    </row>
    <row r="24">
      <c r="B24" s="25"/>
      <c r="C24" s="15"/>
      <c r="D24" s="15"/>
      <c r="E24" s="16"/>
      <c r="F24" s="17">
        <v>16.0</v>
      </c>
      <c r="G24" s="47">
        <f t="shared" si="8"/>
        <v>0</v>
      </c>
      <c r="H24" s="168">
        <f t="shared" si="9"/>
        <v>0</v>
      </c>
      <c r="I24" s="45">
        <f t="shared" si="2"/>
        <v>0</v>
      </c>
      <c r="J24" s="169"/>
      <c r="K24" s="169"/>
      <c r="L24" s="169"/>
      <c r="M24" s="169"/>
      <c r="N24" s="169"/>
      <c r="O24" s="169"/>
      <c r="P24" s="169"/>
      <c r="Q24" s="169"/>
      <c r="R24" s="170"/>
      <c r="S24" s="169"/>
      <c r="T24" s="169"/>
      <c r="U24" s="169"/>
      <c r="V24" s="169"/>
      <c r="W24" s="169"/>
      <c r="X24" s="168">
        <f t="shared" si="1"/>
        <v>0</v>
      </c>
      <c r="Y24" s="168">
        <f t="shared" si="3"/>
        <v>0</v>
      </c>
      <c r="Z24" s="22"/>
      <c r="AD24" s="3"/>
      <c r="AE24" s="4"/>
    </row>
    <row r="25">
      <c r="B25" s="25"/>
      <c r="C25" s="15">
        <v>240.0</v>
      </c>
      <c r="D25" s="15"/>
      <c r="E25" s="54"/>
      <c r="F25" s="17">
        <v>17.0</v>
      </c>
      <c r="G25" s="47">
        <f>SUM(15200*0.2)</f>
        <v>3040</v>
      </c>
      <c r="H25" s="168">
        <f>SUM(15200*0.8)</f>
        <v>12160</v>
      </c>
      <c r="I25" s="45">
        <f t="shared" si="2"/>
        <v>9728</v>
      </c>
      <c r="J25" s="169"/>
      <c r="K25" s="169"/>
      <c r="L25" s="169"/>
      <c r="M25" s="169"/>
      <c r="N25" s="169"/>
      <c r="O25" s="169"/>
      <c r="P25" s="169"/>
      <c r="Q25" s="169"/>
      <c r="R25" s="170"/>
      <c r="S25" s="169"/>
      <c r="T25" s="169"/>
      <c r="U25" s="169"/>
      <c r="V25" s="169"/>
      <c r="W25" s="169"/>
      <c r="X25" s="168">
        <f t="shared" si="1"/>
        <v>24928</v>
      </c>
      <c r="Y25" s="168">
        <f t="shared" si="3"/>
        <v>1726.72</v>
      </c>
      <c r="Z25" s="22"/>
      <c r="AD25" s="3"/>
      <c r="AE25" s="4"/>
    </row>
    <row r="26">
      <c r="B26" s="25"/>
      <c r="C26" s="15">
        <v>240.0</v>
      </c>
      <c r="D26" s="15"/>
      <c r="E26" s="54"/>
      <c r="F26" s="17">
        <v>18.0</v>
      </c>
      <c r="G26" s="47">
        <f>SUM(15300*0.2)</f>
        <v>3060</v>
      </c>
      <c r="H26" s="168">
        <f>SUM(15300*0.8)</f>
        <v>12240</v>
      </c>
      <c r="I26" s="45">
        <f t="shared" si="2"/>
        <v>9792</v>
      </c>
      <c r="J26" s="169"/>
      <c r="K26" s="169"/>
      <c r="L26" s="169"/>
      <c r="M26" s="169"/>
      <c r="N26" s="169"/>
      <c r="O26" s="169"/>
      <c r="P26" s="169"/>
      <c r="Q26" s="169"/>
      <c r="R26" s="170"/>
      <c r="S26" s="169"/>
      <c r="T26" s="169"/>
      <c r="U26" s="169"/>
      <c r="V26" s="169"/>
      <c r="W26" s="169"/>
      <c r="X26" s="168">
        <f t="shared" si="1"/>
        <v>25092</v>
      </c>
      <c r="Y26" s="168">
        <f t="shared" si="3"/>
        <v>1738.08</v>
      </c>
      <c r="Z26" s="22"/>
      <c r="AD26" s="3"/>
      <c r="AE26" s="4"/>
    </row>
    <row r="27">
      <c r="B27" s="25"/>
      <c r="C27" s="15">
        <v>240.0</v>
      </c>
      <c r="D27" s="15"/>
      <c r="E27" s="54"/>
      <c r="F27" s="17">
        <v>19.0</v>
      </c>
      <c r="G27" s="47">
        <f>SUM(18000*0.2)</f>
        <v>3600</v>
      </c>
      <c r="H27" s="168">
        <f>SUM(18000*0.8)</f>
        <v>14400</v>
      </c>
      <c r="I27" s="45">
        <f t="shared" si="2"/>
        <v>11520</v>
      </c>
      <c r="J27" s="169"/>
      <c r="K27" s="169"/>
      <c r="L27" s="169"/>
      <c r="M27" s="169"/>
      <c r="N27" s="169"/>
      <c r="O27" s="169"/>
      <c r="P27" s="169"/>
      <c r="Q27" s="169"/>
      <c r="R27" s="170"/>
      <c r="S27" s="169"/>
      <c r="T27" s="169"/>
      <c r="U27" s="169"/>
      <c r="V27" s="169"/>
      <c r="W27" s="169"/>
      <c r="X27" s="168">
        <f t="shared" si="1"/>
        <v>29520</v>
      </c>
      <c r="Y27" s="168">
        <f t="shared" si="3"/>
        <v>2044.8</v>
      </c>
      <c r="Z27" s="22"/>
      <c r="AD27" s="3"/>
      <c r="AE27" s="4"/>
    </row>
    <row r="28">
      <c r="B28" s="25"/>
      <c r="C28" s="15">
        <v>240.0</v>
      </c>
      <c r="D28" s="27"/>
      <c r="E28" s="25"/>
      <c r="F28" s="17">
        <v>20.0</v>
      </c>
      <c r="G28" s="47">
        <f>SUM(15750*0.2)</f>
        <v>3150</v>
      </c>
      <c r="H28" s="168">
        <f>SUM(15750*0.8)</f>
        <v>12600</v>
      </c>
      <c r="I28" s="45">
        <f t="shared" si="2"/>
        <v>10080</v>
      </c>
      <c r="J28" s="169"/>
      <c r="K28" s="169"/>
      <c r="L28" s="169"/>
      <c r="M28" s="169"/>
      <c r="N28" s="169"/>
      <c r="O28" s="169"/>
      <c r="P28" s="169"/>
      <c r="Q28" s="169"/>
      <c r="R28" s="170"/>
      <c r="S28" s="169"/>
      <c r="T28" s="169"/>
      <c r="U28" s="169"/>
      <c r="V28" s="169"/>
      <c r="W28" s="169"/>
      <c r="X28" s="168">
        <f t="shared" si="1"/>
        <v>25830</v>
      </c>
      <c r="Y28" s="168">
        <f t="shared" si="3"/>
        <v>1789.2</v>
      </c>
      <c r="Z28" s="22"/>
      <c r="AD28" s="3"/>
      <c r="AE28" s="4"/>
    </row>
    <row r="29">
      <c r="B29" s="25"/>
      <c r="C29" s="15">
        <v>240.0</v>
      </c>
      <c r="D29" s="27"/>
      <c r="E29" s="25"/>
      <c r="F29" s="17">
        <v>21.0</v>
      </c>
      <c r="G29" s="47">
        <f>SUM(19250*0.2)</f>
        <v>3850</v>
      </c>
      <c r="H29" s="168">
        <f>SUM(19250*0.8)</f>
        <v>15400</v>
      </c>
      <c r="I29" s="45">
        <f t="shared" si="2"/>
        <v>12320</v>
      </c>
      <c r="J29" s="169"/>
      <c r="K29" s="169"/>
      <c r="L29" s="169"/>
      <c r="M29" s="169"/>
      <c r="N29" s="169"/>
      <c r="O29" s="169"/>
      <c r="P29" s="169"/>
      <c r="Q29" s="169"/>
      <c r="R29" s="170"/>
      <c r="S29" s="169"/>
      <c r="T29" s="169"/>
      <c r="U29" s="169"/>
      <c r="V29" s="169"/>
      <c r="W29" s="169"/>
      <c r="X29" s="168">
        <f t="shared" si="1"/>
        <v>31570</v>
      </c>
      <c r="Y29" s="168">
        <f t="shared" si="3"/>
        <v>2186.8</v>
      </c>
      <c r="Z29" s="22"/>
      <c r="AD29" s="3"/>
      <c r="AE29" s="4"/>
    </row>
    <row r="30">
      <c r="B30" s="25"/>
      <c r="C30" s="27"/>
      <c r="D30" s="27"/>
      <c r="E30" s="25"/>
      <c r="F30" s="17">
        <v>22.0</v>
      </c>
      <c r="G30" s="47">
        <f t="shared" ref="G30:G31" si="10">SUM(0*0.2)</f>
        <v>0</v>
      </c>
      <c r="H30" s="168">
        <f t="shared" ref="H30:H31" si="11">SUM(0*0.8)</f>
        <v>0</v>
      </c>
      <c r="I30" s="45">
        <f t="shared" si="2"/>
        <v>0</v>
      </c>
      <c r="J30" s="169"/>
      <c r="K30" s="169"/>
      <c r="L30" s="169"/>
      <c r="M30" s="169"/>
      <c r="N30" s="169"/>
      <c r="O30" s="169"/>
      <c r="P30" s="169"/>
      <c r="Q30" s="169"/>
      <c r="R30" s="170"/>
      <c r="S30" s="169"/>
      <c r="T30" s="169"/>
      <c r="U30" s="169"/>
      <c r="V30" s="169"/>
      <c r="W30" s="169"/>
      <c r="X30" s="168">
        <f t="shared" si="1"/>
        <v>0</v>
      </c>
      <c r="Y30" s="168">
        <f t="shared" si="3"/>
        <v>0</v>
      </c>
      <c r="Z30" s="22"/>
      <c r="AD30" s="3"/>
      <c r="AE30" s="4"/>
    </row>
    <row r="31">
      <c r="B31" s="25"/>
      <c r="C31" s="27"/>
      <c r="D31" s="27"/>
      <c r="E31" s="25"/>
      <c r="F31" s="17">
        <v>23.0</v>
      </c>
      <c r="G31" s="47">
        <f t="shared" si="10"/>
        <v>0</v>
      </c>
      <c r="H31" s="168">
        <f t="shared" si="11"/>
        <v>0</v>
      </c>
      <c r="I31" s="45">
        <f t="shared" si="2"/>
        <v>0</v>
      </c>
      <c r="J31" s="169"/>
      <c r="K31" s="169"/>
      <c r="L31" s="169"/>
      <c r="M31" s="169"/>
      <c r="N31" s="169"/>
      <c r="O31" s="169"/>
      <c r="P31" s="169"/>
      <c r="Q31" s="169"/>
      <c r="R31" s="170"/>
      <c r="S31" s="169"/>
      <c r="T31" s="169"/>
      <c r="U31" s="169"/>
      <c r="V31" s="169"/>
      <c r="W31" s="169"/>
      <c r="X31" s="168">
        <f t="shared" si="1"/>
        <v>0</v>
      </c>
      <c r="Y31" s="168">
        <f t="shared" si="3"/>
        <v>0</v>
      </c>
      <c r="Z31" s="22"/>
      <c r="AD31" s="3"/>
      <c r="AE31" s="4"/>
    </row>
    <row r="32">
      <c r="B32" s="25"/>
      <c r="C32" s="15">
        <v>240.0</v>
      </c>
      <c r="D32" s="27"/>
      <c r="E32" s="25"/>
      <c r="F32" s="17">
        <v>24.0</v>
      </c>
      <c r="G32" s="47">
        <f>SUM(18300*0.2)</f>
        <v>3660</v>
      </c>
      <c r="H32" s="168">
        <f>SUM(18300*0.8)</f>
        <v>14640</v>
      </c>
      <c r="I32" s="45">
        <f t="shared" si="2"/>
        <v>11712</v>
      </c>
      <c r="J32" s="169"/>
      <c r="K32" s="169"/>
      <c r="L32" s="169"/>
      <c r="M32" s="169"/>
      <c r="N32" s="169"/>
      <c r="O32" s="169"/>
      <c r="P32" s="169"/>
      <c r="Q32" s="169"/>
      <c r="R32" s="170"/>
      <c r="S32" s="169"/>
      <c r="T32" s="169"/>
      <c r="U32" s="169"/>
      <c r="V32" s="169"/>
      <c r="W32" s="169"/>
      <c r="X32" s="168">
        <f t="shared" si="1"/>
        <v>30012</v>
      </c>
      <c r="Y32" s="168">
        <f t="shared" si="3"/>
        <v>2078.88</v>
      </c>
      <c r="Z32" s="22"/>
      <c r="AD32" s="3"/>
      <c r="AE32" s="4"/>
    </row>
    <row r="33">
      <c r="B33" s="59"/>
      <c r="C33" s="60"/>
      <c r="D33" s="60"/>
      <c r="E33" s="59"/>
      <c r="F33" s="17">
        <v>25.0</v>
      </c>
      <c r="G33" s="47">
        <f>SUM(15750*0.2)</f>
        <v>3150</v>
      </c>
      <c r="H33" s="168">
        <f>SUM(15750*0.8)</f>
        <v>12600</v>
      </c>
      <c r="I33" s="45">
        <f t="shared" si="2"/>
        <v>10080</v>
      </c>
      <c r="J33" s="169"/>
      <c r="K33" s="169"/>
      <c r="L33" s="169"/>
      <c r="M33" s="169"/>
      <c r="N33" s="169"/>
      <c r="O33" s="169"/>
      <c r="P33" s="169"/>
      <c r="Q33" s="169"/>
      <c r="R33" s="170"/>
      <c r="S33" s="169"/>
      <c r="T33" s="169"/>
      <c r="U33" s="169"/>
      <c r="V33" s="169"/>
      <c r="W33" s="169"/>
      <c r="X33" s="168">
        <f t="shared" si="1"/>
        <v>25830</v>
      </c>
      <c r="Y33" s="168">
        <f t="shared" si="3"/>
        <v>1789.2</v>
      </c>
      <c r="Z33" s="22"/>
      <c r="AD33" s="3"/>
      <c r="AE33" s="4"/>
    </row>
    <row r="34">
      <c r="B34" s="1"/>
      <c r="E34" s="1"/>
      <c r="F34" s="2"/>
      <c r="Z34" s="1"/>
      <c r="AD34" s="3"/>
      <c r="AE34" s="4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5"/>
    <col customWidth="1" min="3" max="3" width="6.13"/>
    <col customWidth="1" min="4" max="4" width="33.0"/>
    <col customWidth="1" min="5" max="5" width="17.25"/>
    <col customWidth="1" min="6" max="6" width="4.38"/>
    <col customWidth="1" min="7" max="7" width="11.13"/>
    <col customWidth="1" min="8" max="9" width="9.38"/>
    <col customWidth="1" min="10" max="10" width="6.63"/>
    <col customWidth="1" min="11" max="11" width="6.38"/>
    <col customWidth="1" min="12" max="12" width="6.25"/>
    <col customWidth="1" min="13" max="13" width="6.63"/>
    <col customWidth="1" min="14" max="14" width="5.5"/>
    <col customWidth="1" min="15" max="17" width="9.38"/>
    <col customWidth="1" min="18" max="18" width="7.5"/>
    <col customWidth="1" min="19" max="22" width="9.38"/>
    <col customWidth="1" min="23" max="23" width="7.25"/>
    <col customWidth="1" min="25" max="25" width="7.63"/>
    <col customWidth="1" min="26" max="26" width="7.25"/>
    <col customWidth="1" min="27" max="27" width="25.13"/>
    <col customWidth="1" min="28" max="28" width="12.25"/>
    <col customWidth="1" min="29" max="29" width="3.0"/>
    <col customWidth="1" min="30" max="30" width="15.25"/>
    <col customWidth="1" min="31" max="31" width="11.25"/>
  </cols>
  <sheetData>
    <row r="1" ht="18.0" customHeight="1">
      <c r="B1" s="1"/>
      <c r="E1" s="1"/>
      <c r="F1" s="2"/>
      <c r="Z1" s="1"/>
      <c r="AD1" s="3"/>
      <c r="AE1" s="4"/>
    </row>
    <row r="2" ht="19.5" customHeight="1">
      <c r="A2" s="5"/>
      <c r="B2" s="6" t="s">
        <v>0</v>
      </c>
      <c r="C2" s="6" t="s">
        <v>37</v>
      </c>
      <c r="D2" s="6" t="s">
        <v>38</v>
      </c>
      <c r="E2" s="6" t="s">
        <v>3</v>
      </c>
      <c r="F2" s="7" t="s">
        <v>4</v>
      </c>
      <c r="G2" s="8" t="s">
        <v>5</v>
      </c>
      <c r="H2" s="8" t="s">
        <v>56</v>
      </c>
      <c r="I2" s="8" t="s">
        <v>52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9" t="s">
        <v>15</v>
      </c>
      <c r="R2" s="8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7" t="s">
        <v>22</v>
      </c>
      <c r="Y2" s="7" t="s">
        <v>23</v>
      </c>
      <c r="Z2" s="10"/>
      <c r="AA2" s="11"/>
      <c r="AB2" s="11"/>
      <c r="AC2" s="11"/>
      <c r="AD2" s="12"/>
      <c r="AE2" s="13"/>
      <c r="AF2" s="11"/>
      <c r="AG2" s="11"/>
      <c r="AH2" s="11"/>
      <c r="AI2" s="11"/>
      <c r="AJ2" s="11"/>
      <c r="AK2" s="11"/>
    </row>
    <row r="3">
      <c r="B3" s="14"/>
      <c r="C3" s="15" t="s">
        <v>104</v>
      </c>
      <c r="D3" s="15"/>
      <c r="E3" s="16"/>
      <c r="F3" s="17">
        <v>26.0</v>
      </c>
      <c r="G3" s="43">
        <f>SUM(0.2*17550)</f>
        <v>3510</v>
      </c>
      <c r="H3" s="43">
        <f>SUM(17550*0.8)</f>
        <v>14040</v>
      </c>
      <c r="I3" s="42">
        <f t="shared" ref="I3:I32" si="1">SUM(H3)</f>
        <v>14040</v>
      </c>
      <c r="J3" s="45"/>
      <c r="K3" s="42"/>
      <c r="L3" s="42"/>
      <c r="M3" s="42"/>
      <c r="N3" s="42"/>
      <c r="O3" s="42"/>
      <c r="P3" s="42"/>
      <c r="Q3" s="42"/>
      <c r="R3" s="45"/>
      <c r="S3" s="42"/>
      <c r="T3" s="42"/>
      <c r="U3" s="42"/>
      <c r="V3" s="42"/>
      <c r="W3" s="42"/>
      <c r="X3" s="46">
        <f t="shared" ref="X3:X32" si="2">SUM(G3:W3)</f>
        <v>31590</v>
      </c>
      <c r="Y3" s="47">
        <f t="shared" ref="Y3:Y32" si="3">SUM(G3*0.08)+(H3*0.14)+(J3*27)+(K3*40)+(M3*50)+(O3*350)+(P3*550)+(Q3*160)+(R3*200)+(S3*260)+(T3*330)+(U3*110)+(V3*120)+(W3*0.7)</f>
        <v>2246.4</v>
      </c>
      <c r="Z3" s="22">
        <f t="shared" ref="Z3:Z5" si="4">SUM(Y3-1000)</f>
        <v>1246.4</v>
      </c>
      <c r="AA3" s="23" t="s">
        <v>24</v>
      </c>
      <c r="AB3" s="24">
        <f>SUM(Y3:Y32)</f>
        <v>29051.52</v>
      </c>
      <c r="AD3" s="3"/>
      <c r="AE3" s="4"/>
    </row>
    <row r="4">
      <c r="B4" s="25"/>
      <c r="C4" s="15">
        <v>240.0</v>
      </c>
      <c r="D4" s="15"/>
      <c r="E4" s="16"/>
      <c r="F4" s="17">
        <v>27.0</v>
      </c>
      <c r="G4" s="43">
        <f>SUM(0.2*19500)</f>
        <v>3900</v>
      </c>
      <c r="H4" s="43">
        <f>SUM(19500*0.8)</f>
        <v>15600</v>
      </c>
      <c r="I4" s="42">
        <f t="shared" si="1"/>
        <v>15600</v>
      </c>
      <c r="J4" s="45"/>
      <c r="K4" s="42"/>
      <c r="L4" s="42"/>
      <c r="M4" s="42"/>
      <c r="N4" s="42"/>
      <c r="O4" s="42"/>
      <c r="P4" s="42"/>
      <c r="Q4" s="42"/>
      <c r="R4" s="45"/>
      <c r="S4" s="42"/>
      <c r="T4" s="42"/>
      <c r="U4" s="42"/>
      <c r="V4" s="42"/>
      <c r="W4" s="42"/>
      <c r="X4" s="46">
        <f t="shared" si="2"/>
        <v>35100</v>
      </c>
      <c r="Y4" s="47">
        <f t="shared" si="3"/>
        <v>2496</v>
      </c>
      <c r="Z4" s="22">
        <f t="shared" si="4"/>
        <v>1496</v>
      </c>
      <c r="AD4" s="3"/>
      <c r="AE4" s="4"/>
    </row>
    <row r="5">
      <c r="B5" s="25"/>
      <c r="C5" s="15">
        <v>240.0</v>
      </c>
      <c r="D5" s="15"/>
      <c r="E5" s="16"/>
      <c r="F5" s="17">
        <v>28.0</v>
      </c>
      <c r="G5" s="43">
        <f>SUM(0.2*19450)</f>
        <v>3890</v>
      </c>
      <c r="H5" s="43">
        <f>SUM(19450*0.8)</f>
        <v>15560</v>
      </c>
      <c r="I5" s="42">
        <f t="shared" si="1"/>
        <v>15560</v>
      </c>
      <c r="J5" s="47"/>
      <c r="K5" s="42"/>
      <c r="L5" s="42"/>
      <c r="M5" s="42"/>
      <c r="N5" s="42"/>
      <c r="O5" s="42"/>
      <c r="P5" s="42"/>
      <c r="Q5" s="42"/>
      <c r="R5" s="45"/>
      <c r="S5" s="42"/>
      <c r="T5" s="42"/>
      <c r="U5" s="42"/>
      <c r="V5" s="42"/>
      <c r="W5" s="42"/>
      <c r="X5" s="46">
        <f t="shared" si="2"/>
        <v>35010</v>
      </c>
      <c r="Y5" s="47">
        <f t="shared" si="3"/>
        <v>2489.6</v>
      </c>
      <c r="Z5" s="22">
        <f t="shared" si="4"/>
        <v>1489.6</v>
      </c>
      <c r="AD5" s="3"/>
      <c r="AE5" s="4"/>
    </row>
    <row r="6">
      <c r="B6" s="25"/>
      <c r="C6" s="15"/>
      <c r="D6" s="15"/>
      <c r="E6" s="16"/>
      <c r="F6" s="17">
        <v>29.0</v>
      </c>
      <c r="G6" s="43">
        <f t="shared" ref="G6:G7" si="5">SUM(0.2*0)</f>
        <v>0</v>
      </c>
      <c r="H6" s="43">
        <f t="shared" ref="H6:H7" si="6">SUM(0.8*0)</f>
        <v>0</v>
      </c>
      <c r="I6" s="42">
        <f t="shared" si="1"/>
        <v>0</v>
      </c>
      <c r="J6" s="47"/>
      <c r="K6" s="47"/>
      <c r="L6" s="42"/>
      <c r="M6" s="42"/>
      <c r="N6" s="42"/>
      <c r="O6" s="42"/>
      <c r="P6" s="42"/>
      <c r="Q6" s="42"/>
      <c r="R6" s="45"/>
      <c r="S6" s="42"/>
      <c r="T6" s="42"/>
      <c r="U6" s="42"/>
      <c r="V6" s="42"/>
      <c r="W6" s="42"/>
      <c r="X6" s="46">
        <f t="shared" si="2"/>
        <v>0</v>
      </c>
      <c r="Y6" s="47">
        <f t="shared" si="3"/>
        <v>0</v>
      </c>
      <c r="Z6" s="22"/>
      <c r="AD6" s="3"/>
      <c r="AE6" s="4"/>
    </row>
    <row r="7">
      <c r="B7" s="25"/>
      <c r="C7" s="27"/>
      <c r="D7" s="27"/>
      <c r="E7" s="25"/>
      <c r="F7" s="17">
        <v>30.0</v>
      </c>
      <c r="G7" s="43">
        <f t="shared" si="5"/>
        <v>0</v>
      </c>
      <c r="H7" s="43">
        <f t="shared" si="6"/>
        <v>0</v>
      </c>
      <c r="I7" s="42">
        <f t="shared" si="1"/>
        <v>0</v>
      </c>
      <c r="J7" s="47"/>
      <c r="K7" s="42"/>
      <c r="L7" s="42"/>
      <c r="M7" s="42"/>
      <c r="N7" s="42"/>
      <c r="O7" s="42"/>
      <c r="P7" s="42"/>
      <c r="Q7" s="42"/>
      <c r="R7" s="47"/>
      <c r="S7" s="43"/>
      <c r="T7" s="42"/>
      <c r="U7" s="42"/>
      <c r="V7" s="42"/>
      <c r="W7" s="42"/>
      <c r="X7" s="46">
        <f t="shared" si="2"/>
        <v>0</v>
      </c>
      <c r="Y7" s="47">
        <f t="shared" si="3"/>
        <v>0</v>
      </c>
      <c r="Z7" s="22"/>
      <c r="AD7" s="3"/>
      <c r="AE7" s="4"/>
    </row>
    <row r="8">
      <c r="B8" s="25"/>
      <c r="C8" s="15">
        <v>240.0</v>
      </c>
      <c r="D8" s="27"/>
      <c r="E8" s="25"/>
      <c r="F8" s="17">
        <v>1.0</v>
      </c>
      <c r="G8" s="43">
        <f>SUM(0.2*15200)</f>
        <v>3040</v>
      </c>
      <c r="H8" s="43">
        <f>SUM(0.8*15200)</f>
        <v>12160</v>
      </c>
      <c r="I8" s="42">
        <f t="shared" si="1"/>
        <v>12160</v>
      </c>
      <c r="J8" s="45"/>
      <c r="K8" s="42"/>
      <c r="L8" s="42"/>
      <c r="M8" s="42"/>
      <c r="N8" s="42"/>
      <c r="O8" s="42"/>
      <c r="P8" s="42"/>
      <c r="Q8" s="42"/>
      <c r="R8" s="45"/>
      <c r="S8" s="42"/>
      <c r="T8" s="42"/>
      <c r="U8" s="42"/>
      <c r="V8" s="42"/>
      <c r="W8" s="42"/>
      <c r="X8" s="46">
        <f t="shared" si="2"/>
        <v>27360</v>
      </c>
      <c r="Y8" s="47">
        <f t="shared" si="3"/>
        <v>1945.6</v>
      </c>
      <c r="Z8" s="22">
        <f t="shared" ref="Z8:Z12" si="7">SUM(Y8-1000)</f>
        <v>945.6</v>
      </c>
      <c r="AA8" s="29"/>
      <c r="AD8" s="3"/>
      <c r="AE8" s="4"/>
    </row>
    <row r="9">
      <c r="B9" s="25"/>
      <c r="C9" s="15" t="s">
        <v>104</v>
      </c>
      <c r="D9" s="27"/>
      <c r="E9" s="25"/>
      <c r="F9" s="17">
        <v>2.0</v>
      </c>
      <c r="G9" s="43">
        <f>SUM(0.2*13250)</f>
        <v>2650</v>
      </c>
      <c r="H9" s="43">
        <f>SUM(0.8*13250)</f>
        <v>10600</v>
      </c>
      <c r="I9" s="42">
        <f t="shared" si="1"/>
        <v>10600</v>
      </c>
      <c r="J9" s="45"/>
      <c r="K9" s="42"/>
      <c r="L9" s="42"/>
      <c r="M9" s="42"/>
      <c r="N9" s="42"/>
      <c r="O9" s="42"/>
      <c r="P9" s="42"/>
      <c r="Q9" s="42"/>
      <c r="R9" s="44"/>
      <c r="S9" s="42"/>
      <c r="T9" s="42"/>
      <c r="U9" s="42"/>
      <c r="V9" s="42"/>
      <c r="W9" s="42"/>
      <c r="X9" s="46">
        <f t="shared" si="2"/>
        <v>23850</v>
      </c>
      <c r="Y9" s="47">
        <f t="shared" si="3"/>
        <v>1696</v>
      </c>
      <c r="Z9" s="22">
        <f t="shared" si="7"/>
        <v>696</v>
      </c>
      <c r="AD9" s="3"/>
      <c r="AE9" s="4"/>
    </row>
    <row r="10">
      <c r="B10" s="25"/>
      <c r="C10" s="15" t="s">
        <v>104</v>
      </c>
      <c r="D10" s="27"/>
      <c r="E10" s="25"/>
      <c r="F10" s="17">
        <v>3.0</v>
      </c>
      <c r="G10" s="43">
        <f>SUM(0.2*17700)</f>
        <v>3540</v>
      </c>
      <c r="H10" s="43">
        <f>SUM(0.8*17700)</f>
        <v>14160</v>
      </c>
      <c r="I10" s="42">
        <f t="shared" si="1"/>
        <v>14160</v>
      </c>
      <c r="J10" s="47"/>
      <c r="K10" s="42"/>
      <c r="L10" s="42"/>
      <c r="M10" s="42"/>
      <c r="N10" s="42"/>
      <c r="O10" s="42"/>
      <c r="P10" s="42"/>
      <c r="Q10" s="42"/>
      <c r="R10" s="45"/>
      <c r="S10" s="42"/>
      <c r="T10" s="42"/>
      <c r="U10" s="42"/>
      <c r="V10" s="42"/>
      <c r="W10" s="42"/>
      <c r="X10" s="46">
        <f t="shared" si="2"/>
        <v>31860</v>
      </c>
      <c r="Y10" s="47">
        <f t="shared" si="3"/>
        <v>2265.6</v>
      </c>
      <c r="Z10" s="22">
        <f t="shared" si="7"/>
        <v>1265.6</v>
      </c>
      <c r="AD10" s="3"/>
      <c r="AE10" s="4"/>
    </row>
    <row r="11">
      <c r="B11" s="25"/>
      <c r="C11" s="15" t="s">
        <v>104</v>
      </c>
      <c r="D11" s="75"/>
      <c r="E11" s="33"/>
      <c r="F11" s="17">
        <v>4.0</v>
      </c>
      <c r="G11" s="43">
        <f>SUM(0.2*14200)</f>
        <v>2840</v>
      </c>
      <c r="H11" s="43">
        <f>SUM(0.8*14200)</f>
        <v>11360</v>
      </c>
      <c r="I11" s="42">
        <f t="shared" si="1"/>
        <v>11360</v>
      </c>
      <c r="J11" s="47"/>
      <c r="K11" s="47"/>
      <c r="L11" s="42"/>
      <c r="M11" s="42"/>
      <c r="N11" s="42"/>
      <c r="O11" s="42"/>
      <c r="P11" s="42"/>
      <c r="Q11" s="42"/>
      <c r="R11" s="45"/>
      <c r="S11" s="42"/>
      <c r="T11" s="42"/>
      <c r="U11" s="42"/>
      <c r="V11" s="42"/>
      <c r="W11" s="42"/>
      <c r="X11" s="46">
        <f t="shared" si="2"/>
        <v>25560</v>
      </c>
      <c r="Y11" s="47">
        <f t="shared" si="3"/>
        <v>1817.6</v>
      </c>
      <c r="Z11" s="22">
        <f t="shared" si="7"/>
        <v>817.6</v>
      </c>
      <c r="AD11" s="3"/>
      <c r="AE11" s="4"/>
    </row>
    <row r="12">
      <c r="B12" s="25"/>
      <c r="C12" s="15"/>
      <c r="D12" s="75"/>
      <c r="E12" s="33"/>
      <c r="F12" s="17">
        <v>5.0</v>
      </c>
      <c r="G12" s="43">
        <f>SUM(17000*0.2)</f>
        <v>3400</v>
      </c>
      <c r="H12" s="43">
        <f>SUM(0.8*17000)</f>
        <v>13600</v>
      </c>
      <c r="I12" s="42">
        <f t="shared" si="1"/>
        <v>13600</v>
      </c>
      <c r="J12" s="47"/>
      <c r="K12" s="42"/>
      <c r="L12" s="42"/>
      <c r="M12" s="42"/>
      <c r="N12" s="42"/>
      <c r="O12" s="42"/>
      <c r="P12" s="42"/>
      <c r="Q12" s="42"/>
      <c r="R12" s="47"/>
      <c r="S12" s="42"/>
      <c r="T12" s="42"/>
      <c r="U12" s="42"/>
      <c r="V12" s="42"/>
      <c r="W12" s="42"/>
      <c r="X12" s="46">
        <f t="shared" si="2"/>
        <v>30600</v>
      </c>
      <c r="Y12" s="47">
        <f t="shared" si="3"/>
        <v>2176</v>
      </c>
      <c r="Z12" s="22">
        <f t="shared" si="7"/>
        <v>1176</v>
      </c>
      <c r="AA12" s="172">
        <f>SUM(Z8:Z12)</f>
        <v>4900.8</v>
      </c>
      <c r="AD12" s="3"/>
      <c r="AE12" s="4"/>
    </row>
    <row r="13">
      <c r="B13" s="25"/>
      <c r="C13" s="27"/>
      <c r="D13" s="34"/>
      <c r="E13" s="36"/>
      <c r="F13" s="17">
        <v>6.0</v>
      </c>
      <c r="G13" s="43">
        <f t="shared" ref="G13:G15" si="8">SUM(0.2*0)</f>
        <v>0</v>
      </c>
      <c r="H13" s="43">
        <f t="shared" ref="H13:H15" si="9">SUM(0.8*0)</f>
        <v>0</v>
      </c>
      <c r="I13" s="42">
        <f t="shared" si="1"/>
        <v>0</v>
      </c>
      <c r="J13" s="45"/>
      <c r="K13" s="42"/>
      <c r="L13" s="42"/>
      <c r="M13" s="42"/>
      <c r="N13" s="42"/>
      <c r="O13" s="42"/>
      <c r="P13" s="42"/>
      <c r="Q13" s="42"/>
      <c r="R13" s="45"/>
      <c r="S13" s="42"/>
      <c r="T13" s="42"/>
      <c r="U13" s="42"/>
      <c r="V13" s="42"/>
      <c r="W13" s="42"/>
      <c r="X13" s="46">
        <f t="shared" si="2"/>
        <v>0</v>
      </c>
      <c r="Y13" s="47">
        <f t="shared" si="3"/>
        <v>0</v>
      </c>
      <c r="Z13" s="22"/>
      <c r="AD13" s="3"/>
      <c r="AE13" s="4"/>
    </row>
    <row r="14">
      <c r="B14" s="25"/>
      <c r="C14" s="27"/>
      <c r="D14" s="27"/>
      <c r="E14" s="25"/>
      <c r="F14" s="17">
        <v>7.0</v>
      </c>
      <c r="G14" s="43">
        <f t="shared" si="8"/>
        <v>0</v>
      </c>
      <c r="H14" s="43">
        <f t="shared" si="9"/>
        <v>0</v>
      </c>
      <c r="I14" s="42">
        <f t="shared" si="1"/>
        <v>0</v>
      </c>
      <c r="J14" s="45"/>
      <c r="K14" s="42"/>
      <c r="L14" s="42"/>
      <c r="M14" s="42"/>
      <c r="N14" s="42"/>
      <c r="O14" s="42"/>
      <c r="P14" s="42"/>
      <c r="Q14" s="42"/>
      <c r="R14" s="45"/>
      <c r="S14" s="42"/>
      <c r="T14" s="42"/>
      <c r="U14" s="42"/>
      <c r="V14" s="42"/>
      <c r="W14" s="42"/>
      <c r="X14" s="46">
        <f t="shared" si="2"/>
        <v>0</v>
      </c>
      <c r="Y14" s="47">
        <f t="shared" si="3"/>
        <v>0</v>
      </c>
      <c r="Z14" s="22"/>
      <c r="AD14" s="3"/>
      <c r="AE14" s="4"/>
    </row>
    <row r="15">
      <c r="B15" s="25"/>
      <c r="C15" s="15"/>
      <c r="D15" s="27"/>
      <c r="E15" s="25"/>
      <c r="F15" s="17">
        <v>8.0</v>
      </c>
      <c r="G15" s="43">
        <f t="shared" si="8"/>
        <v>0</v>
      </c>
      <c r="H15" s="43">
        <f t="shared" si="9"/>
        <v>0</v>
      </c>
      <c r="I15" s="42">
        <f t="shared" si="1"/>
        <v>0</v>
      </c>
      <c r="J15" s="47"/>
      <c r="K15" s="42"/>
      <c r="L15" s="42"/>
      <c r="M15" s="42"/>
      <c r="N15" s="42"/>
      <c r="O15" s="42"/>
      <c r="P15" s="42"/>
      <c r="Q15" s="42"/>
      <c r="R15" s="45"/>
      <c r="S15" s="42"/>
      <c r="T15" s="42"/>
      <c r="U15" s="42"/>
      <c r="V15" s="42"/>
      <c r="W15" s="42"/>
      <c r="X15" s="46">
        <f t="shared" si="2"/>
        <v>0</v>
      </c>
      <c r="Y15" s="47">
        <f t="shared" si="3"/>
        <v>0</v>
      </c>
      <c r="Z15" s="22"/>
      <c r="AD15" s="3"/>
      <c r="AE15" s="4"/>
    </row>
    <row r="16">
      <c r="B16" s="25"/>
      <c r="C16" s="15" t="s">
        <v>104</v>
      </c>
      <c r="D16" s="38"/>
      <c r="E16" s="16"/>
      <c r="F16" s="17">
        <v>9.0</v>
      </c>
      <c r="G16" s="43">
        <f>SUM(0.2*8595)</f>
        <v>1719</v>
      </c>
      <c r="H16" s="43">
        <f>SUM(0.8*8595)</f>
        <v>6876</v>
      </c>
      <c r="I16" s="42">
        <f t="shared" si="1"/>
        <v>6876</v>
      </c>
      <c r="J16" s="47"/>
      <c r="K16" s="47"/>
      <c r="L16" s="42"/>
      <c r="M16" s="42"/>
      <c r="N16" s="42"/>
      <c r="O16" s="42"/>
      <c r="P16" s="42"/>
      <c r="Q16" s="42"/>
      <c r="R16" s="44"/>
      <c r="S16" s="42"/>
      <c r="T16" s="42"/>
      <c r="U16" s="42"/>
      <c r="V16" s="42"/>
      <c r="W16" s="42"/>
      <c r="X16" s="46">
        <f t="shared" si="2"/>
        <v>15471</v>
      </c>
      <c r="Y16" s="47">
        <f t="shared" si="3"/>
        <v>1100.16</v>
      </c>
      <c r="Z16" s="22">
        <f t="shared" ref="Z16:Z19" si="10">SUM(Y16-1000)</f>
        <v>100.16</v>
      </c>
      <c r="AD16" s="3"/>
      <c r="AE16" s="4"/>
    </row>
    <row r="17">
      <c r="B17" s="25"/>
      <c r="C17" s="15" t="s">
        <v>104</v>
      </c>
      <c r="D17" s="15"/>
      <c r="E17" s="16"/>
      <c r="F17" s="17">
        <v>10.0</v>
      </c>
      <c r="G17" s="43">
        <f>SUM(0.2*8630) </f>
        <v>1726</v>
      </c>
      <c r="H17" s="43">
        <f>SUM(0.8*8630)</f>
        <v>6904</v>
      </c>
      <c r="I17" s="42">
        <f t="shared" si="1"/>
        <v>6904</v>
      </c>
      <c r="J17" s="47"/>
      <c r="K17" s="42"/>
      <c r="L17" s="42"/>
      <c r="M17" s="42"/>
      <c r="N17" s="42"/>
      <c r="O17" s="42"/>
      <c r="P17" s="42"/>
      <c r="Q17" s="42"/>
      <c r="R17" s="47"/>
      <c r="S17" s="43"/>
      <c r="T17" s="42"/>
      <c r="U17" s="42"/>
      <c r="V17" s="42"/>
      <c r="W17" s="42"/>
      <c r="X17" s="46">
        <f t="shared" si="2"/>
        <v>15534</v>
      </c>
      <c r="Y17" s="47">
        <f t="shared" si="3"/>
        <v>1104.64</v>
      </c>
      <c r="Z17" s="22">
        <f t="shared" si="10"/>
        <v>104.64</v>
      </c>
      <c r="AD17" s="3"/>
      <c r="AE17" s="4"/>
    </row>
    <row r="18">
      <c r="B18" s="25"/>
      <c r="C18" s="15" t="s">
        <v>104</v>
      </c>
      <c r="D18" s="15"/>
      <c r="E18" s="76"/>
      <c r="F18" s="17">
        <v>11.0</v>
      </c>
      <c r="G18" s="43">
        <f>SUM(0.2*10370)</f>
        <v>2074</v>
      </c>
      <c r="H18" s="43">
        <f>SUM(0.8*10370)</f>
        <v>8296</v>
      </c>
      <c r="I18" s="42">
        <f t="shared" si="1"/>
        <v>8296</v>
      </c>
      <c r="J18" s="45"/>
      <c r="K18" s="42"/>
      <c r="L18" s="42"/>
      <c r="M18" s="42"/>
      <c r="N18" s="42"/>
      <c r="O18" s="42"/>
      <c r="P18" s="42"/>
      <c r="Q18" s="42"/>
      <c r="R18" s="45"/>
      <c r="S18" s="42"/>
      <c r="T18" s="42"/>
      <c r="U18" s="42"/>
      <c r="V18" s="42"/>
      <c r="W18" s="42"/>
      <c r="X18" s="46">
        <f t="shared" si="2"/>
        <v>18666</v>
      </c>
      <c r="Y18" s="47">
        <f t="shared" si="3"/>
        <v>1327.36</v>
      </c>
      <c r="Z18" s="22">
        <f t="shared" si="10"/>
        <v>327.36</v>
      </c>
      <c r="AD18" s="3"/>
      <c r="AE18" s="4"/>
    </row>
    <row r="19">
      <c r="B19" s="25"/>
      <c r="C19" s="15" t="s">
        <v>104</v>
      </c>
      <c r="D19" s="38"/>
      <c r="E19" s="16"/>
      <c r="F19" s="17">
        <v>12.0</v>
      </c>
      <c r="G19" s="43">
        <f>SUM(0.2*10870)</f>
        <v>2174</v>
      </c>
      <c r="H19" s="43">
        <f>SUM(0.8*10870)</f>
        <v>8696</v>
      </c>
      <c r="I19" s="42">
        <f t="shared" si="1"/>
        <v>8696</v>
      </c>
      <c r="J19" s="45"/>
      <c r="K19" s="42"/>
      <c r="L19" s="42"/>
      <c r="M19" s="42"/>
      <c r="N19" s="42"/>
      <c r="O19" s="42"/>
      <c r="P19" s="42"/>
      <c r="Q19" s="42"/>
      <c r="R19" s="45"/>
      <c r="S19" s="42"/>
      <c r="T19" s="42"/>
      <c r="U19" s="42"/>
      <c r="V19" s="42"/>
      <c r="W19" s="42"/>
      <c r="X19" s="46">
        <f t="shared" si="2"/>
        <v>19566</v>
      </c>
      <c r="Y19" s="47">
        <f t="shared" si="3"/>
        <v>1391.36</v>
      </c>
      <c r="Z19" s="22">
        <f t="shared" si="10"/>
        <v>391.36</v>
      </c>
      <c r="AD19" s="3"/>
      <c r="AE19" s="4"/>
    </row>
    <row r="20">
      <c r="B20" s="25"/>
      <c r="C20" s="15"/>
      <c r="D20" s="38"/>
      <c r="E20" s="16"/>
      <c r="F20" s="17">
        <v>13.0</v>
      </c>
      <c r="G20" s="43">
        <f t="shared" ref="G20:G21" si="11">SUM(0.2*0)</f>
        <v>0</v>
      </c>
      <c r="H20" s="43">
        <f t="shared" ref="H20:H21" si="12">SUM(0.8*0)</f>
        <v>0</v>
      </c>
      <c r="I20" s="42">
        <f t="shared" si="1"/>
        <v>0</v>
      </c>
      <c r="J20" s="47"/>
      <c r="K20" s="42"/>
      <c r="L20" s="42"/>
      <c r="M20" s="42"/>
      <c r="N20" s="42"/>
      <c r="O20" s="42"/>
      <c r="P20" s="42"/>
      <c r="Q20" s="42"/>
      <c r="R20" s="45"/>
      <c r="S20" s="42"/>
      <c r="T20" s="42"/>
      <c r="U20" s="42"/>
      <c r="V20" s="42"/>
      <c r="W20" s="42"/>
      <c r="X20" s="46">
        <f t="shared" si="2"/>
        <v>0</v>
      </c>
      <c r="Y20" s="47">
        <f t="shared" si="3"/>
        <v>0</v>
      </c>
      <c r="Z20" s="22"/>
      <c r="AD20" s="3"/>
      <c r="AE20" s="4"/>
    </row>
    <row r="21">
      <c r="B21" s="25"/>
      <c r="C21" s="27"/>
      <c r="D21" s="27"/>
      <c r="E21" s="25"/>
      <c r="F21" s="17">
        <v>14.0</v>
      </c>
      <c r="G21" s="43">
        <f t="shared" si="11"/>
        <v>0</v>
      </c>
      <c r="H21" s="43">
        <f t="shared" si="12"/>
        <v>0</v>
      </c>
      <c r="I21" s="42">
        <f t="shared" si="1"/>
        <v>0</v>
      </c>
      <c r="J21" s="47"/>
      <c r="K21" s="47"/>
      <c r="L21" s="42"/>
      <c r="M21" s="42"/>
      <c r="N21" s="42"/>
      <c r="O21" s="42"/>
      <c r="P21" s="42"/>
      <c r="Q21" s="42"/>
      <c r="R21" s="45"/>
      <c r="S21" s="42"/>
      <c r="T21" s="42"/>
      <c r="U21" s="42"/>
      <c r="V21" s="42"/>
      <c r="W21" s="42"/>
      <c r="X21" s="46">
        <f t="shared" si="2"/>
        <v>0</v>
      </c>
      <c r="Y21" s="47">
        <f t="shared" si="3"/>
        <v>0</v>
      </c>
      <c r="Z21" s="22"/>
      <c r="AD21" s="3"/>
      <c r="AE21" s="4"/>
    </row>
    <row r="22">
      <c r="B22" s="25"/>
      <c r="C22" s="15" t="s">
        <v>104</v>
      </c>
      <c r="D22" s="27"/>
      <c r="E22" s="25"/>
      <c r="F22" s="17">
        <v>15.0</v>
      </c>
      <c r="G22" s="43">
        <f>SUM(0.2*16200)</f>
        <v>3240</v>
      </c>
      <c r="H22" s="43">
        <f>SUM(0.8*16200)</f>
        <v>12960</v>
      </c>
      <c r="I22" s="42">
        <f t="shared" si="1"/>
        <v>12960</v>
      </c>
      <c r="J22" s="47"/>
      <c r="K22" s="42"/>
      <c r="L22" s="42"/>
      <c r="M22" s="42"/>
      <c r="N22" s="42"/>
      <c r="O22" s="42"/>
      <c r="P22" s="42"/>
      <c r="Q22" s="42"/>
      <c r="R22" s="47"/>
      <c r="S22" s="42"/>
      <c r="T22" s="42"/>
      <c r="U22" s="42"/>
      <c r="V22" s="42"/>
      <c r="W22" s="42"/>
      <c r="X22" s="46">
        <f t="shared" si="2"/>
        <v>29160</v>
      </c>
      <c r="Y22" s="47">
        <f t="shared" si="3"/>
        <v>2073.6</v>
      </c>
      <c r="Z22" s="22">
        <f t="shared" ref="Z22:Z25" si="13">SUM(Y22-1000)</f>
        <v>1073.6</v>
      </c>
      <c r="AD22" s="3"/>
      <c r="AE22" s="4"/>
    </row>
    <row r="23">
      <c r="B23" s="25"/>
      <c r="C23" s="15" t="s">
        <v>104</v>
      </c>
      <c r="D23" s="15"/>
      <c r="E23" s="16"/>
      <c r="F23" s="17">
        <v>16.0</v>
      </c>
      <c r="G23" s="43">
        <f>SUM(0.2*12900)</f>
        <v>2580</v>
      </c>
      <c r="H23" s="43">
        <f>SUM(0.8*12900)</f>
        <v>10320</v>
      </c>
      <c r="I23" s="42">
        <f t="shared" si="1"/>
        <v>10320</v>
      </c>
      <c r="J23" s="45"/>
      <c r="K23" s="42"/>
      <c r="L23" s="42"/>
      <c r="M23" s="42"/>
      <c r="N23" s="42"/>
      <c r="O23" s="42"/>
      <c r="P23" s="42"/>
      <c r="Q23" s="42"/>
      <c r="R23" s="45"/>
      <c r="S23" s="42"/>
      <c r="T23" s="42"/>
      <c r="U23" s="42"/>
      <c r="V23" s="42"/>
      <c r="W23" s="42"/>
      <c r="X23" s="46">
        <f t="shared" si="2"/>
        <v>23220</v>
      </c>
      <c r="Y23" s="47">
        <f t="shared" si="3"/>
        <v>1651.2</v>
      </c>
      <c r="Z23" s="22">
        <f t="shared" si="13"/>
        <v>651.2</v>
      </c>
      <c r="AD23" s="3"/>
      <c r="AE23" s="4"/>
    </row>
    <row r="24">
      <c r="B24" s="25"/>
      <c r="C24" s="15" t="s">
        <v>104</v>
      </c>
      <c r="D24" s="15"/>
      <c r="E24" s="54"/>
      <c r="F24" s="17">
        <v>17.0</v>
      </c>
      <c r="G24" s="43">
        <f>SUM(0.2*10050)</f>
        <v>2010</v>
      </c>
      <c r="H24" s="43">
        <f>SUM(0.8*10050)</f>
        <v>8040</v>
      </c>
      <c r="I24" s="42">
        <f t="shared" si="1"/>
        <v>8040</v>
      </c>
      <c r="J24" s="45"/>
      <c r="K24" s="42"/>
      <c r="L24" s="42"/>
      <c r="M24" s="42"/>
      <c r="N24" s="42"/>
      <c r="O24" s="42"/>
      <c r="P24" s="42"/>
      <c r="Q24" s="42"/>
      <c r="R24" s="45"/>
      <c r="S24" s="42"/>
      <c r="T24" s="42"/>
      <c r="U24" s="42"/>
      <c r="V24" s="42"/>
      <c r="W24" s="42"/>
      <c r="X24" s="46">
        <f t="shared" si="2"/>
        <v>18090</v>
      </c>
      <c r="Y24" s="47">
        <f t="shared" si="3"/>
        <v>1286.4</v>
      </c>
      <c r="Z24" s="22">
        <f t="shared" si="13"/>
        <v>286.4</v>
      </c>
      <c r="AD24" s="3"/>
      <c r="AE24" s="4"/>
    </row>
    <row r="25">
      <c r="B25" s="25"/>
      <c r="C25" s="15" t="s">
        <v>104</v>
      </c>
      <c r="D25" s="15"/>
      <c r="E25" s="54"/>
      <c r="F25" s="17">
        <v>18.0</v>
      </c>
      <c r="G25" s="43">
        <f>SUM(0.2*15500)</f>
        <v>3100</v>
      </c>
      <c r="H25" s="43">
        <f>SUM(0.8*15500)</f>
        <v>12400</v>
      </c>
      <c r="I25" s="42">
        <f t="shared" si="1"/>
        <v>12400</v>
      </c>
      <c r="J25" s="47"/>
      <c r="K25" s="42"/>
      <c r="L25" s="42"/>
      <c r="M25" s="42"/>
      <c r="N25" s="42"/>
      <c r="O25" s="42"/>
      <c r="P25" s="42"/>
      <c r="Q25" s="42"/>
      <c r="R25" s="45"/>
      <c r="S25" s="42"/>
      <c r="T25" s="42"/>
      <c r="U25" s="42"/>
      <c r="V25" s="42"/>
      <c r="W25" s="42"/>
      <c r="X25" s="46">
        <f t="shared" si="2"/>
        <v>27900</v>
      </c>
      <c r="Y25" s="47">
        <f t="shared" si="3"/>
        <v>1984</v>
      </c>
      <c r="Z25" s="22">
        <f t="shared" si="13"/>
        <v>984</v>
      </c>
      <c r="AD25" s="3"/>
      <c r="AE25" s="4"/>
    </row>
    <row r="26">
      <c r="B26" s="25"/>
      <c r="C26" s="15"/>
      <c r="D26" s="15"/>
      <c r="E26" s="54"/>
      <c r="F26" s="17">
        <v>19.0</v>
      </c>
      <c r="G26" s="43">
        <f t="shared" ref="G26:G32" si="14">SUM(0.2*0)</f>
        <v>0</v>
      </c>
      <c r="H26" s="43">
        <f t="shared" ref="H26:H32" si="15">SUM(0.8*0)</f>
        <v>0</v>
      </c>
      <c r="I26" s="42">
        <f t="shared" si="1"/>
        <v>0</v>
      </c>
      <c r="J26" s="47"/>
      <c r="K26" s="47"/>
      <c r="L26" s="42"/>
      <c r="M26" s="42"/>
      <c r="N26" s="42"/>
      <c r="O26" s="42"/>
      <c r="P26" s="42"/>
      <c r="Q26" s="42"/>
      <c r="R26" s="45"/>
      <c r="S26" s="42"/>
      <c r="T26" s="42"/>
      <c r="U26" s="42"/>
      <c r="V26" s="42"/>
      <c r="W26" s="42"/>
      <c r="X26" s="46">
        <f t="shared" si="2"/>
        <v>0</v>
      </c>
      <c r="Y26" s="47">
        <f t="shared" si="3"/>
        <v>0</v>
      </c>
      <c r="Z26" s="22">
        <f>SUM(0)</f>
        <v>0</v>
      </c>
      <c r="AA26" s="172">
        <f>SUM(Z22:Z26)</f>
        <v>2995.2</v>
      </c>
      <c r="AD26" s="3"/>
      <c r="AE26" s="4"/>
    </row>
    <row r="27">
      <c r="B27" s="25"/>
      <c r="C27" s="27"/>
      <c r="D27" s="27"/>
      <c r="E27" s="25"/>
      <c r="F27" s="17">
        <v>20.0</v>
      </c>
      <c r="G27" s="43">
        <f t="shared" si="14"/>
        <v>0</v>
      </c>
      <c r="H27" s="43">
        <f t="shared" si="15"/>
        <v>0</v>
      </c>
      <c r="I27" s="42">
        <f t="shared" si="1"/>
        <v>0</v>
      </c>
      <c r="J27" s="47"/>
      <c r="K27" s="42"/>
      <c r="L27" s="42"/>
      <c r="M27" s="42"/>
      <c r="N27" s="42"/>
      <c r="O27" s="42"/>
      <c r="P27" s="42"/>
      <c r="Q27" s="42"/>
      <c r="R27" s="47"/>
      <c r="S27" s="42"/>
      <c r="T27" s="42"/>
      <c r="U27" s="42"/>
      <c r="V27" s="42"/>
      <c r="W27" s="42"/>
      <c r="X27" s="46">
        <f t="shared" si="2"/>
        <v>0</v>
      </c>
      <c r="Y27" s="47">
        <f t="shared" si="3"/>
        <v>0</v>
      </c>
      <c r="Z27" s="22"/>
      <c r="AD27" s="3"/>
      <c r="AE27" s="4"/>
    </row>
    <row r="28">
      <c r="B28" s="25"/>
      <c r="C28" s="27"/>
      <c r="D28" s="27"/>
      <c r="E28" s="25"/>
      <c r="F28" s="17">
        <v>21.0</v>
      </c>
      <c r="G28" s="43">
        <f t="shared" si="14"/>
        <v>0</v>
      </c>
      <c r="H28" s="43">
        <f t="shared" si="15"/>
        <v>0</v>
      </c>
      <c r="I28" s="42">
        <f t="shared" si="1"/>
        <v>0</v>
      </c>
      <c r="J28" s="45"/>
      <c r="K28" s="42"/>
      <c r="L28" s="42"/>
      <c r="M28" s="42"/>
      <c r="N28" s="42"/>
      <c r="O28" s="42"/>
      <c r="P28" s="42"/>
      <c r="Q28" s="42"/>
      <c r="R28" s="45"/>
      <c r="S28" s="42"/>
      <c r="T28" s="42"/>
      <c r="U28" s="42"/>
      <c r="V28" s="42"/>
      <c r="W28" s="42"/>
      <c r="X28" s="46">
        <f t="shared" si="2"/>
        <v>0</v>
      </c>
      <c r="Y28" s="47">
        <f t="shared" si="3"/>
        <v>0</v>
      </c>
      <c r="Z28" s="22"/>
      <c r="AD28" s="3"/>
      <c r="AE28" s="4"/>
    </row>
    <row r="29">
      <c r="B29" s="25"/>
      <c r="C29" s="27"/>
      <c r="D29" s="27"/>
      <c r="E29" s="25"/>
      <c r="F29" s="17">
        <v>22.0</v>
      </c>
      <c r="G29" s="43">
        <f t="shared" si="14"/>
        <v>0</v>
      </c>
      <c r="H29" s="43">
        <f t="shared" si="15"/>
        <v>0</v>
      </c>
      <c r="I29" s="42">
        <f t="shared" si="1"/>
        <v>0</v>
      </c>
      <c r="J29" s="45"/>
      <c r="K29" s="42"/>
      <c r="L29" s="42"/>
      <c r="M29" s="42"/>
      <c r="N29" s="42"/>
      <c r="O29" s="42"/>
      <c r="P29" s="42"/>
      <c r="Q29" s="42"/>
      <c r="R29" s="45"/>
      <c r="S29" s="42"/>
      <c r="T29" s="42"/>
      <c r="U29" s="42"/>
      <c r="V29" s="42"/>
      <c r="W29" s="42"/>
      <c r="X29" s="46">
        <f t="shared" si="2"/>
        <v>0</v>
      </c>
      <c r="Y29" s="47">
        <f t="shared" si="3"/>
        <v>0</v>
      </c>
      <c r="Z29" s="22">
        <f t="shared" ref="Z29:Z32" si="16">SUM(Y29-1000)</f>
        <v>-1000</v>
      </c>
      <c r="AD29" s="3"/>
      <c r="AE29" s="4"/>
    </row>
    <row r="30">
      <c r="B30" s="25"/>
      <c r="C30" s="27"/>
      <c r="D30" s="27"/>
      <c r="E30" s="25"/>
      <c r="F30" s="17">
        <v>23.0</v>
      </c>
      <c r="G30" s="43">
        <f t="shared" si="14"/>
        <v>0</v>
      </c>
      <c r="H30" s="43">
        <f t="shared" si="15"/>
        <v>0</v>
      </c>
      <c r="I30" s="42">
        <f t="shared" si="1"/>
        <v>0</v>
      </c>
      <c r="J30" s="47"/>
      <c r="K30" s="42"/>
      <c r="L30" s="42"/>
      <c r="M30" s="42"/>
      <c r="N30" s="42"/>
      <c r="O30" s="42"/>
      <c r="P30" s="42"/>
      <c r="Q30" s="42"/>
      <c r="R30" s="45"/>
      <c r="S30" s="42"/>
      <c r="T30" s="42"/>
      <c r="U30" s="42"/>
      <c r="V30" s="42"/>
      <c r="W30" s="42"/>
      <c r="X30" s="46">
        <f t="shared" si="2"/>
        <v>0</v>
      </c>
      <c r="Y30" s="47">
        <f t="shared" si="3"/>
        <v>0</v>
      </c>
      <c r="Z30" s="22">
        <f t="shared" si="16"/>
        <v>-1000</v>
      </c>
      <c r="AD30" s="3"/>
      <c r="AE30" s="4"/>
    </row>
    <row r="31">
      <c r="B31" s="25"/>
      <c r="C31" s="27"/>
      <c r="D31" s="27"/>
      <c r="E31" s="25"/>
      <c r="F31" s="17">
        <v>24.0</v>
      </c>
      <c r="G31" s="43">
        <f t="shared" si="14"/>
        <v>0</v>
      </c>
      <c r="H31" s="43">
        <f t="shared" si="15"/>
        <v>0</v>
      </c>
      <c r="I31" s="42">
        <f t="shared" si="1"/>
        <v>0</v>
      </c>
      <c r="J31" s="47"/>
      <c r="K31" s="47"/>
      <c r="L31" s="42"/>
      <c r="M31" s="42"/>
      <c r="N31" s="42"/>
      <c r="O31" s="42"/>
      <c r="P31" s="42"/>
      <c r="Q31" s="42"/>
      <c r="R31" s="45"/>
      <c r="S31" s="42"/>
      <c r="T31" s="42"/>
      <c r="U31" s="42"/>
      <c r="V31" s="42"/>
      <c r="W31" s="42"/>
      <c r="X31" s="46">
        <f t="shared" si="2"/>
        <v>0</v>
      </c>
      <c r="Y31" s="47">
        <f t="shared" si="3"/>
        <v>0</v>
      </c>
      <c r="Z31" s="22">
        <f t="shared" si="16"/>
        <v>-1000</v>
      </c>
      <c r="AD31" s="3"/>
      <c r="AE31" s="4"/>
    </row>
    <row r="32">
      <c r="B32" s="59"/>
      <c r="C32" s="60"/>
      <c r="D32" s="60"/>
      <c r="E32" s="59"/>
      <c r="F32" s="17">
        <v>25.0</v>
      </c>
      <c r="G32" s="43">
        <f t="shared" si="14"/>
        <v>0</v>
      </c>
      <c r="H32" s="43">
        <f t="shared" si="15"/>
        <v>0</v>
      </c>
      <c r="I32" s="42">
        <f t="shared" si="1"/>
        <v>0</v>
      </c>
      <c r="J32" s="47"/>
      <c r="K32" s="42"/>
      <c r="L32" s="42"/>
      <c r="M32" s="42"/>
      <c r="N32" s="42"/>
      <c r="O32" s="42"/>
      <c r="P32" s="42"/>
      <c r="Q32" s="42"/>
      <c r="R32" s="47"/>
      <c r="S32" s="42"/>
      <c r="T32" s="42"/>
      <c r="U32" s="42"/>
      <c r="V32" s="42"/>
      <c r="W32" s="42"/>
      <c r="X32" s="46">
        <f t="shared" si="2"/>
        <v>0</v>
      </c>
      <c r="Y32" s="47">
        <f t="shared" si="3"/>
        <v>0</v>
      </c>
      <c r="Z32" s="22">
        <f t="shared" si="16"/>
        <v>-1000</v>
      </c>
      <c r="AD32" s="3"/>
      <c r="AE32" s="4"/>
    </row>
    <row r="33">
      <c r="B33" s="1"/>
      <c r="E33" s="1"/>
      <c r="F33" s="2"/>
      <c r="Z33" s="1"/>
      <c r="AD33" s="3"/>
      <c r="AE33" s="4"/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4" max="5" width="2.5"/>
    <col customWidth="1" min="6" max="6" width="55.75"/>
  </cols>
  <sheetData>
    <row r="2">
      <c r="B2" s="173" t="s">
        <v>115</v>
      </c>
      <c r="C2" s="173" t="s">
        <v>116</v>
      </c>
      <c r="D2" s="173"/>
      <c r="E2" s="173"/>
      <c r="F2" s="174" t="s">
        <v>117</v>
      </c>
      <c r="G2" s="174" t="s">
        <v>118</v>
      </c>
    </row>
    <row r="3">
      <c r="B3" s="42" t="s">
        <v>119</v>
      </c>
      <c r="C3" s="42" t="s">
        <v>39</v>
      </c>
      <c r="D3" s="42"/>
      <c r="E3" s="42"/>
      <c r="F3" s="42" t="s">
        <v>120</v>
      </c>
      <c r="G3" s="47">
        <v>0.08</v>
      </c>
    </row>
    <row r="4">
      <c r="B4" s="42" t="s">
        <v>119</v>
      </c>
      <c r="C4" s="42" t="s">
        <v>121</v>
      </c>
      <c r="D4" s="42"/>
      <c r="E4" s="42"/>
      <c r="F4" s="42" t="s">
        <v>122</v>
      </c>
      <c r="G4" s="47">
        <v>0.14</v>
      </c>
    </row>
    <row r="5">
      <c r="B5" s="42" t="s">
        <v>115</v>
      </c>
      <c r="C5" s="42" t="s">
        <v>123</v>
      </c>
      <c r="D5" s="42"/>
      <c r="E5" s="43" t="s">
        <v>124</v>
      </c>
      <c r="F5" s="42" t="s">
        <v>125</v>
      </c>
      <c r="G5" s="47">
        <v>27.0</v>
      </c>
    </row>
    <row r="6">
      <c r="B6" s="42" t="s">
        <v>115</v>
      </c>
      <c r="C6" s="42" t="s">
        <v>126</v>
      </c>
      <c r="D6" s="42"/>
      <c r="E6" s="43" t="s">
        <v>124</v>
      </c>
      <c r="F6" s="42" t="s">
        <v>127</v>
      </c>
      <c r="G6" s="46">
        <v>40.0</v>
      </c>
    </row>
    <row r="7">
      <c r="B7" s="42" t="s">
        <v>115</v>
      </c>
      <c r="C7" s="42" t="s">
        <v>128</v>
      </c>
      <c r="D7" s="42"/>
      <c r="E7" s="43" t="s">
        <v>124</v>
      </c>
      <c r="F7" s="42" t="s">
        <v>129</v>
      </c>
      <c r="G7" s="46">
        <v>50.0</v>
      </c>
    </row>
    <row r="8">
      <c r="B8" s="42" t="s">
        <v>115</v>
      </c>
      <c r="C8" s="42" t="s">
        <v>13</v>
      </c>
      <c r="D8" s="42"/>
      <c r="E8" s="42"/>
      <c r="F8" s="42" t="s">
        <v>130</v>
      </c>
      <c r="G8" s="46">
        <v>350.0</v>
      </c>
    </row>
    <row r="9">
      <c r="B9" s="42" t="s">
        <v>115</v>
      </c>
      <c r="C9" s="42" t="s">
        <v>131</v>
      </c>
      <c r="D9" s="43" t="s">
        <v>132</v>
      </c>
      <c r="E9" s="43"/>
      <c r="F9" s="42" t="s">
        <v>133</v>
      </c>
      <c r="G9" s="46">
        <v>550.0</v>
      </c>
    </row>
    <row r="10">
      <c r="B10" s="42" t="s">
        <v>115</v>
      </c>
      <c r="C10" s="42" t="s">
        <v>134</v>
      </c>
      <c r="D10" s="42"/>
      <c r="E10" s="43" t="s">
        <v>124</v>
      </c>
      <c r="F10" s="42" t="s">
        <v>135</v>
      </c>
      <c r="G10" s="46">
        <v>160.0</v>
      </c>
    </row>
    <row r="11">
      <c r="B11" s="42" t="s">
        <v>115</v>
      </c>
      <c r="C11" s="42" t="s">
        <v>136</v>
      </c>
      <c r="D11" s="43" t="s">
        <v>132</v>
      </c>
      <c r="E11" s="43" t="s">
        <v>124</v>
      </c>
      <c r="F11" s="42" t="s">
        <v>137</v>
      </c>
      <c r="G11" s="46">
        <v>200.0</v>
      </c>
    </row>
    <row r="12">
      <c r="B12" s="42" t="s">
        <v>115</v>
      </c>
      <c r="C12" s="42" t="s">
        <v>138</v>
      </c>
      <c r="D12" s="42"/>
      <c r="E12" s="42"/>
      <c r="F12" s="42" t="s">
        <v>139</v>
      </c>
      <c r="G12" s="46">
        <v>260.0</v>
      </c>
    </row>
    <row r="13">
      <c r="B13" s="42" t="s">
        <v>115</v>
      </c>
      <c r="C13" s="42" t="s">
        <v>140</v>
      </c>
      <c r="D13" s="43" t="s">
        <v>132</v>
      </c>
      <c r="E13" s="43"/>
      <c r="F13" s="42" t="s">
        <v>141</v>
      </c>
      <c r="G13" s="46">
        <v>330.0</v>
      </c>
    </row>
    <row r="14">
      <c r="B14" s="42" t="s">
        <v>115</v>
      </c>
      <c r="C14" s="42" t="s">
        <v>142</v>
      </c>
      <c r="D14" s="42"/>
      <c r="E14" s="43" t="s">
        <v>124</v>
      </c>
      <c r="F14" s="42" t="s">
        <v>143</v>
      </c>
      <c r="G14" s="46">
        <v>110.0</v>
      </c>
    </row>
    <row r="15">
      <c r="B15" s="42" t="s">
        <v>115</v>
      </c>
      <c r="C15" s="42" t="s">
        <v>144</v>
      </c>
      <c r="D15" s="43" t="s">
        <v>132</v>
      </c>
      <c r="E15" s="43" t="s">
        <v>124</v>
      </c>
      <c r="F15" s="42" t="s">
        <v>145</v>
      </c>
      <c r="G15" s="46">
        <v>120.0</v>
      </c>
    </row>
    <row r="16">
      <c r="B16" s="42" t="s">
        <v>115</v>
      </c>
      <c r="C16" s="42" t="s">
        <v>146</v>
      </c>
      <c r="D16" s="42"/>
      <c r="E16" s="42"/>
      <c r="F16" s="42" t="s">
        <v>147</v>
      </c>
      <c r="G16" s="46">
        <v>0.7</v>
      </c>
    </row>
    <row r="17">
      <c r="B17" s="42" t="s">
        <v>115</v>
      </c>
      <c r="C17" s="42" t="s">
        <v>148</v>
      </c>
      <c r="D17" s="42"/>
      <c r="E17" s="42"/>
      <c r="F17" s="175" t="s">
        <v>149</v>
      </c>
      <c r="G17" s="80"/>
    </row>
    <row r="18">
      <c r="B18" s="176"/>
      <c r="C18" s="176"/>
      <c r="D18" s="176"/>
      <c r="E18" s="176"/>
      <c r="F18" s="176"/>
      <c r="G18" s="176"/>
    </row>
    <row r="19">
      <c r="B19" s="177" t="s">
        <v>150</v>
      </c>
      <c r="C19" s="177" t="s">
        <v>151</v>
      </c>
      <c r="D19" s="177"/>
      <c r="E19" s="177"/>
      <c r="F19" s="177" t="s">
        <v>152</v>
      </c>
      <c r="G19" s="178">
        <v>350.0</v>
      </c>
    </row>
  </sheetData>
  <drawing r:id="rId1"/>
</worksheet>
</file>